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date1904="1" showInkAnnotation="0" codeName="ThisWorkbook" checkCompatibility="1" autoCompressPictures="0"/>
  <bookViews>
    <workbookView xWindow="80" yWindow="0" windowWidth="36840" windowHeight="19580" tabRatio="500"/>
  </bookViews>
  <sheets>
    <sheet name="plot" sheetId="1" r:id="rId1"/>
  </sheets>
  <definedNames>
    <definedName name="_xlnm._FilterDatabase" localSheetId="0" hidden="1">plot!$B$32:$R$242</definedName>
    <definedName name="firstLabel">plot!$B$33</definedName>
    <definedName name="firstZ">plot!$E$33</definedName>
    <definedName name="NrPoints">plot!$H$8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" l="1"/>
  <c r="H17" i="1"/>
  <c r="H40" i="1"/>
  <c r="J12" i="1"/>
  <c r="I11" i="1"/>
  <c r="H11" i="1"/>
  <c r="J11" i="1"/>
  <c r="H12" i="1"/>
  <c r="H18" i="1"/>
  <c r="H14" i="1"/>
  <c r="I16" i="1"/>
  <c r="I17" i="1"/>
  <c r="I40" i="1"/>
  <c r="I18" i="1"/>
  <c r="I14" i="1"/>
  <c r="J16" i="1"/>
  <c r="J17" i="1"/>
  <c r="J40" i="1"/>
  <c r="I12" i="1"/>
  <c r="J18" i="1"/>
  <c r="J14" i="1"/>
  <c r="E27" i="1"/>
  <c r="C27" i="1"/>
  <c r="L40" i="1"/>
  <c r="J27" i="1"/>
  <c r="R40" i="1"/>
  <c r="G40" i="1"/>
  <c r="H41" i="1"/>
  <c r="I41" i="1"/>
  <c r="J41" i="1"/>
  <c r="L41" i="1"/>
  <c r="R41" i="1"/>
  <c r="G41" i="1"/>
  <c r="H42" i="1"/>
  <c r="I42" i="1"/>
  <c r="J42" i="1"/>
  <c r="L42" i="1"/>
  <c r="R42" i="1"/>
  <c r="G42" i="1"/>
  <c r="H43" i="1"/>
  <c r="I43" i="1"/>
  <c r="J43" i="1"/>
  <c r="L43" i="1"/>
  <c r="R43" i="1"/>
  <c r="G43" i="1"/>
  <c r="H44" i="1"/>
  <c r="I44" i="1"/>
  <c r="J44" i="1"/>
  <c r="L44" i="1"/>
  <c r="R44" i="1"/>
  <c r="G44" i="1"/>
  <c r="H45" i="1"/>
  <c r="I45" i="1"/>
  <c r="J45" i="1"/>
  <c r="L45" i="1"/>
  <c r="R45" i="1"/>
  <c r="G45" i="1"/>
  <c r="H46" i="1"/>
  <c r="I46" i="1"/>
  <c r="J46" i="1"/>
  <c r="L46" i="1"/>
  <c r="R46" i="1"/>
  <c r="G46" i="1"/>
  <c r="H47" i="1"/>
  <c r="I47" i="1"/>
  <c r="J47" i="1"/>
  <c r="L47" i="1"/>
  <c r="R47" i="1"/>
  <c r="G47" i="1"/>
  <c r="H48" i="1"/>
  <c r="I48" i="1"/>
  <c r="J48" i="1"/>
  <c r="L48" i="1"/>
  <c r="R48" i="1"/>
  <c r="G48" i="1"/>
  <c r="H49" i="1"/>
  <c r="I49" i="1"/>
  <c r="J49" i="1"/>
  <c r="L49" i="1"/>
  <c r="R49" i="1"/>
  <c r="G49" i="1"/>
  <c r="H50" i="1"/>
  <c r="I50" i="1"/>
  <c r="J50" i="1"/>
  <c r="L50" i="1"/>
  <c r="R50" i="1"/>
  <c r="G50" i="1"/>
  <c r="H51" i="1"/>
  <c r="I51" i="1"/>
  <c r="J51" i="1"/>
  <c r="L51" i="1"/>
  <c r="R51" i="1"/>
  <c r="G51" i="1"/>
  <c r="H52" i="1"/>
  <c r="I52" i="1"/>
  <c r="J52" i="1"/>
  <c r="L52" i="1"/>
  <c r="R52" i="1"/>
  <c r="G52" i="1"/>
  <c r="H53" i="1"/>
  <c r="I53" i="1"/>
  <c r="J53" i="1"/>
  <c r="L53" i="1"/>
  <c r="R53" i="1"/>
  <c r="G53" i="1"/>
  <c r="H54" i="1"/>
  <c r="I54" i="1"/>
  <c r="J54" i="1"/>
  <c r="L54" i="1"/>
  <c r="R54" i="1"/>
  <c r="G54" i="1"/>
  <c r="H55" i="1"/>
  <c r="I55" i="1"/>
  <c r="J55" i="1"/>
  <c r="L55" i="1"/>
  <c r="R55" i="1"/>
  <c r="G55" i="1"/>
  <c r="H56" i="1"/>
  <c r="I56" i="1"/>
  <c r="J56" i="1"/>
  <c r="L56" i="1"/>
  <c r="R56" i="1"/>
  <c r="G56" i="1"/>
  <c r="H57" i="1"/>
  <c r="I57" i="1"/>
  <c r="J57" i="1"/>
  <c r="L57" i="1"/>
  <c r="R57" i="1"/>
  <c r="G57" i="1"/>
  <c r="H58" i="1"/>
  <c r="I58" i="1"/>
  <c r="J58" i="1"/>
  <c r="L58" i="1"/>
  <c r="R58" i="1"/>
  <c r="G58" i="1"/>
  <c r="H59" i="1"/>
  <c r="I59" i="1"/>
  <c r="J59" i="1"/>
  <c r="L59" i="1"/>
  <c r="R59" i="1"/>
  <c r="G59" i="1"/>
  <c r="H60" i="1"/>
  <c r="I60" i="1"/>
  <c r="J60" i="1"/>
  <c r="L60" i="1"/>
  <c r="R60" i="1"/>
  <c r="G60" i="1"/>
  <c r="H61" i="1"/>
  <c r="I61" i="1"/>
  <c r="J61" i="1"/>
  <c r="L61" i="1"/>
  <c r="R61" i="1"/>
  <c r="G61" i="1"/>
  <c r="H62" i="1"/>
  <c r="I62" i="1"/>
  <c r="J62" i="1"/>
  <c r="L62" i="1"/>
  <c r="R62" i="1"/>
  <c r="G62" i="1"/>
  <c r="H63" i="1"/>
  <c r="I63" i="1"/>
  <c r="J63" i="1"/>
  <c r="L63" i="1"/>
  <c r="R63" i="1"/>
  <c r="G63" i="1"/>
  <c r="H64" i="1"/>
  <c r="I64" i="1"/>
  <c r="J64" i="1"/>
  <c r="L64" i="1"/>
  <c r="R64" i="1"/>
  <c r="G64" i="1"/>
  <c r="H65" i="1"/>
  <c r="I65" i="1"/>
  <c r="J65" i="1"/>
  <c r="L65" i="1"/>
  <c r="R65" i="1"/>
  <c r="G65" i="1"/>
  <c r="H66" i="1"/>
  <c r="I66" i="1"/>
  <c r="J66" i="1"/>
  <c r="L66" i="1"/>
  <c r="R66" i="1"/>
  <c r="G66" i="1"/>
  <c r="H67" i="1"/>
  <c r="I67" i="1"/>
  <c r="J67" i="1"/>
  <c r="L67" i="1"/>
  <c r="R67" i="1"/>
  <c r="G67" i="1"/>
  <c r="H68" i="1"/>
  <c r="I68" i="1"/>
  <c r="J68" i="1"/>
  <c r="L68" i="1"/>
  <c r="R68" i="1"/>
  <c r="G68" i="1"/>
  <c r="H69" i="1"/>
  <c r="I69" i="1"/>
  <c r="J69" i="1"/>
  <c r="L69" i="1"/>
  <c r="R69" i="1"/>
  <c r="G69" i="1"/>
  <c r="H70" i="1"/>
  <c r="I70" i="1"/>
  <c r="J70" i="1"/>
  <c r="L70" i="1"/>
  <c r="R70" i="1"/>
  <c r="G70" i="1"/>
  <c r="H71" i="1"/>
  <c r="I71" i="1"/>
  <c r="J71" i="1"/>
  <c r="L71" i="1"/>
  <c r="R71" i="1"/>
  <c r="G71" i="1"/>
  <c r="H72" i="1"/>
  <c r="I72" i="1"/>
  <c r="J72" i="1"/>
  <c r="L72" i="1"/>
  <c r="R72" i="1"/>
  <c r="G72" i="1"/>
  <c r="H73" i="1"/>
  <c r="I73" i="1"/>
  <c r="J73" i="1"/>
  <c r="L73" i="1"/>
  <c r="R73" i="1"/>
  <c r="G73" i="1"/>
  <c r="H74" i="1"/>
  <c r="I74" i="1"/>
  <c r="J74" i="1"/>
  <c r="L74" i="1"/>
  <c r="R74" i="1"/>
  <c r="G74" i="1"/>
  <c r="H75" i="1"/>
  <c r="I75" i="1"/>
  <c r="J75" i="1"/>
  <c r="L75" i="1"/>
  <c r="R75" i="1"/>
  <c r="G75" i="1"/>
  <c r="H76" i="1"/>
  <c r="I76" i="1"/>
  <c r="J76" i="1"/>
  <c r="L76" i="1"/>
  <c r="R76" i="1"/>
  <c r="G76" i="1"/>
  <c r="H77" i="1"/>
  <c r="I77" i="1"/>
  <c r="J77" i="1"/>
  <c r="L77" i="1"/>
  <c r="R77" i="1"/>
  <c r="G77" i="1"/>
  <c r="H78" i="1"/>
  <c r="I78" i="1"/>
  <c r="J78" i="1"/>
  <c r="L78" i="1"/>
  <c r="R78" i="1"/>
  <c r="G78" i="1"/>
  <c r="H79" i="1"/>
  <c r="I79" i="1"/>
  <c r="J79" i="1"/>
  <c r="L79" i="1"/>
  <c r="R79" i="1"/>
  <c r="G79" i="1"/>
  <c r="H80" i="1"/>
  <c r="I80" i="1"/>
  <c r="J80" i="1"/>
  <c r="L80" i="1"/>
  <c r="R80" i="1"/>
  <c r="G80" i="1"/>
  <c r="H81" i="1"/>
  <c r="I81" i="1"/>
  <c r="J81" i="1"/>
  <c r="L81" i="1"/>
  <c r="R81" i="1"/>
  <c r="G81" i="1"/>
  <c r="H82" i="1"/>
  <c r="I82" i="1"/>
  <c r="J82" i="1"/>
  <c r="L82" i="1"/>
  <c r="R82" i="1"/>
  <c r="G82" i="1"/>
  <c r="H83" i="1"/>
  <c r="I83" i="1"/>
  <c r="J83" i="1"/>
  <c r="L83" i="1"/>
  <c r="R83" i="1"/>
  <c r="G83" i="1"/>
  <c r="H84" i="1"/>
  <c r="I84" i="1"/>
  <c r="J84" i="1"/>
  <c r="L84" i="1"/>
  <c r="R84" i="1"/>
  <c r="G84" i="1"/>
  <c r="H85" i="1"/>
  <c r="I85" i="1"/>
  <c r="J85" i="1"/>
  <c r="L85" i="1"/>
  <c r="R85" i="1"/>
  <c r="G85" i="1"/>
  <c r="H86" i="1"/>
  <c r="I86" i="1"/>
  <c r="J86" i="1"/>
  <c r="L86" i="1"/>
  <c r="R86" i="1"/>
  <c r="G86" i="1"/>
  <c r="H87" i="1"/>
  <c r="I87" i="1"/>
  <c r="J87" i="1"/>
  <c r="L87" i="1"/>
  <c r="R87" i="1"/>
  <c r="G87" i="1"/>
  <c r="H88" i="1"/>
  <c r="I88" i="1"/>
  <c r="J88" i="1"/>
  <c r="L88" i="1"/>
  <c r="R88" i="1"/>
  <c r="G88" i="1"/>
  <c r="H89" i="1"/>
  <c r="I89" i="1"/>
  <c r="J89" i="1"/>
  <c r="L89" i="1"/>
  <c r="R89" i="1"/>
  <c r="G89" i="1"/>
  <c r="H90" i="1"/>
  <c r="I90" i="1"/>
  <c r="J90" i="1"/>
  <c r="L90" i="1"/>
  <c r="R90" i="1"/>
  <c r="G90" i="1"/>
  <c r="H91" i="1"/>
  <c r="I91" i="1"/>
  <c r="J91" i="1"/>
  <c r="L91" i="1"/>
  <c r="R91" i="1"/>
  <c r="G91" i="1"/>
  <c r="H92" i="1"/>
  <c r="I92" i="1"/>
  <c r="J92" i="1"/>
  <c r="L92" i="1"/>
  <c r="R92" i="1"/>
  <c r="G92" i="1"/>
  <c r="H93" i="1"/>
  <c r="I93" i="1"/>
  <c r="J93" i="1"/>
  <c r="L93" i="1"/>
  <c r="R93" i="1"/>
  <c r="G93" i="1"/>
  <c r="H94" i="1"/>
  <c r="I94" i="1"/>
  <c r="J94" i="1"/>
  <c r="L94" i="1"/>
  <c r="R94" i="1"/>
  <c r="G94" i="1"/>
  <c r="H95" i="1"/>
  <c r="I95" i="1"/>
  <c r="J95" i="1"/>
  <c r="L95" i="1"/>
  <c r="R95" i="1"/>
  <c r="G95" i="1"/>
  <c r="H96" i="1"/>
  <c r="I96" i="1"/>
  <c r="J96" i="1"/>
  <c r="L96" i="1"/>
  <c r="R96" i="1"/>
  <c r="G96" i="1"/>
  <c r="H97" i="1"/>
  <c r="I97" i="1"/>
  <c r="J97" i="1"/>
  <c r="L97" i="1"/>
  <c r="R97" i="1"/>
  <c r="G97" i="1"/>
  <c r="H98" i="1"/>
  <c r="I98" i="1"/>
  <c r="J98" i="1"/>
  <c r="L98" i="1"/>
  <c r="R98" i="1"/>
  <c r="G98" i="1"/>
  <c r="H99" i="1"/>
  <c r="I99" i="1"/>
  <c r="J99" i="1"/>
  <c r="L99" i="1"/>
  <c r="R99" i="1"/>
  <c r="G99" i="1"/>
  <c r="H100" i="1"/>
  <c r="I100" i="1"/>
  <c r="J100" i="1"/>
  <c r="L100" i="1"/>
  <c r="R100" i="1"/>
  <c r="G100" i="1"/>
  <c r="H101" i="1"/>
  <c r="I101" i="1"/>
  <c r="J101" i="1"/>
  <c r="L101" i="1"/>
  <c r="R101" i="1"/>
  <c r="G101" i="1"/>
  <c r="H102" i="1"/>
  <c r="I102" i="1"/>
  <c r="J102" i="1"/>
  <c r="L102" i="1"/>
  <c r="R102" i="1"/>
  <c r="G102" i="1"/>
  <c r="H103" i="1"/>
  <c r="I103" i="1"/>
  <c r="J103" i="1"/>
  <c r="L103" i="1"/>
  <c r="R103" i="1"/>
  <c r="G103" i="1"/>
  <c r="H104" i="1"/>
  <c r="I104" i="1"/>
  <c r="J104" i="1"/>
  <c r="L104" i="1"/>
  <c r="R104" i="1"/>
  <c r="G104" i="1"/>
  <c r="H105" i="1"/>
  <c r="I105" i="1"/>
  <c r="J105" i="1"/>
  <c r="L105" i="1"/>
  <c r="R105" i="1"/>
  <c r="G105" i="1"/>
  <c r="H106" i="1"/>
  <c r="I106" i="1"/>
  <c r="J106" i="1"/>
  <c r="L106" i="1"/>
  <c r="R106" i="1"/>
  <c r="G106" i="1"/>
  <c r="H107" i="1"/>
  <c r="I107" i="1"/>
  <c r="J107" i="1"/>
  <c r="L107" i="1"/>
  <c r="R107" i="1"/>
  <c r="G107" i="1"/>
  <c r="H108" i="1"/>
  <c r="I108" i="1"/>
  <c r="J108" i="1"/>
  <c r="L108" i="1"/>
  <c r="R108" i="1"/>
  <c r="G108" i="1"/>
  <c r="H109" i="1"/>
  <c r="I109" i="1"/>
  <c r="J109" i="1"/>
  <c r="L109" i="1"/>
  <c r="R109" i="1"/>
  <c r="G109" i="1"/>
  <c r="H110" i="1"/>
  <c r="I110" i="1"/>
  <c r="J110" i="1"/>
  <c r="L110" i="1"/>
  <c r="R110" i="1"/>
  <c r="G110" i="1"/>
  <c r="H111" i="1"/>
  <c r="I111" i="1"/>
  <c r="J111" i="1"/>
  <c r="L111" i="1"/>
  <c r="R111" i="1"/>
  <c r="G111" i="1"/>
  <c r="H112" i="1"/>
  <c r="I112" i="1"/>
  <c r="J112" i="1"/>
  <c r="L112" i="1"/>
  <c r="R112" i="1"/>
  <c r="G112" i="1"/>
  <c r="H113" i="1"/>
  <c r="I113" i="1"/>
  <c r="J113" i="1"/>
  <c r="L113" i="1"/>
  <c r="R113" i="1"/>
  <c r="G113" i="1"/>
  <c r="H114" i="1"/>
  <c r="I114" i="1"/>
  <c r="J114" i="1"/>
  <c r="L114" i="1"/>
  <c r="R114" i="1"/>
  <c r="G114" i="1"/>
  <c r="H115" i="1"/>
  <c r="I115" i="1"/>
  <c r="J115" i="1"/>
  <c r="L115" i="1"/>
  <c r="R115" i="1"/>
  <c r="G115" i="1"/>
  <c r="H116" i="1"/>
  <c r="I116" i="1"/>
  <c r="J116" i="1"/>
  <c r="L116" i="1"/>
  <c r="R116" i="1"/>
  <c r="G116" i="1"/>
  <c r="H117" i="1"/>
  <c r="I117" i="1"/>
  <c r="J117" i="1"/>
  <c r="L117" i="1"/>
  <c r="R117" i="1"/>
  <c r="G117" i="1"/>
  <c r="H118" i="1"/>
  <c r="I118" i="1"/>
  <c r="J118" i="1"/>
  <c r="L118" i="1"/>
  <c r="R118" i="1"/>
  <c r="G118" i="1"/>
  <c r="H119" i="1"/>
  <c r="I119" i="1"/>
  <c r="J119" i="1"/>
  <c r="L119" i="1"/>
  <c r="R119" i="1"/>
  <c r="G119" i="1"/>
  <c r="H120" i="1"/>
  <c r="I120" i="1"/>
  <c r="J120" i="1"/>
  <c r="L120" i="1"/>
  <c r="R120" i="1"/>
  <c r="G120" i="1"/>
  <c r="H121" i="1"/>
  <c r="I121" i="1"/>
  <c r="J121" i="1"/>
  <c r="L121" i="1"/>
  <c r="R121" i="1"/>
  <c r="G121" i="1"/>
  <c r="H122" i="1"/>
  <c r="I122" i="1"/>
  <c r="J122" i="1"/>
  <c r="L122" i="1"/>
  <c r="R122" i="1"/>
  <c r="G122" i="1"/>
  <c r="H123" i="1"/>
  <c r="I123" i="1"/>
  <c r="J123" i="1"/>
  <c r="L123" i="1"/>
  <c r="R123" i="1"/>
  <c r="G123" i="1"/>
  <c r="H124" i="1"/>
  <c r="I124" i="1"/>
  <c r="J124" i="1"/>
  <c r="L124" i="1"/>
  <c r="R124" i="1"/>
  <c r="G124" i="1"/>
  <c r="H125" i="1"/>
  <c r="I125" i="1"/>
  <c r="J125" i="1"/>
  <c r="L125" i="1"/>
  <c r="R125" i="1"/>
  <c r="G125" i="1"/>
  <c r="H126" i="1"/>
  <c r="I126" i="1"/>
  <c r="J126" i="1"/>
  <c r="L126" i="1"/>
  <c r="R126" i="1"/>
  <c r="G126" i="1"/>
  <c r="H127" i="1"/>
  <c r="I127" i="1"/>
  <c r="J127" i="1"/>
  <c r="L127" i="1"/>
  <c r="R127" i="1"/>
  <c r="G127" i="1"/>
  <c r="H128" i="1"/>
  <c r="I128" i="1"/>
  <c r="J128" i="1"/>
  <c r="L128" i="1"/>
  <c r="R128" i="1"/>
  <c r="G128" i="1"/>
  <c r="H129" i="1"/>
  <c r="I129" i="1"/>
  <c r="J129" i="1"/>
  <c r="L129" i="1"/>
  <c r="R129" i="1"/>
  <c r="G129" i="1"/>
  <c r="H130" i="1"/>
  <c r="I130" i="1"/>
  <c r="J130" i="1"/>
  <c r="L130" i="1"/>
  <c r="R130" i="1"/>
  <c r="G130" i="1"/>
  <c r="H131" i="1"/>
  <c r="I131" i="1"/>
  <c r="J131" i="1"/>
  <c r="L131" i="1"/>
  <c r="R131" i="1"/>
  <c r="G131" i="1"/>
  <c r="H132" i="1"/>
  <c r="I132" i="1"/>
  <c r="J132" i="1"/>
  <c r="L132" i="1"/>
  <c r="R132" i="1"/>
  <c r="G132" i="1"/>
  <c r="H133" i="1"/>
  <c r="I133" i="1"/>
  <c r="J133" i="1"/>
  <c r="L133" i="1"/>
  <c r="R133" i="1"/>
  <c r="G133" i="1"/>
  <c r="H134" i="1"/>
  <c r="I134" i="1"/>
  <c r="J134" i="1"/>
  <c r="L134" i="1"/>
  <c r="R134" i="1"/>
  <c r="G134" i="1"/>
  <c r="H135" i="1"/>
  <c r="I135" i="1"/>
  <c r="J135" i="1"/>
  <c r="L135" i="1"/>
  <c r="R135" i="1"/>
  <c r="G135" i="1"/>
  <c r="H136" i="1"/>
  <c r="I136" i="1"/>
  <c r="J136" i="1"/>
  <c r="L136" i="1"/>
  <c r="R136" i="1"/>
  <c r="G136" i="1"/>
  <c r="H137" i="1"/>
  <c r="I137" i="1"/>
  <c r="J137" i="1"/>
  <c r="L137" i="1"/>
  <c r="R137" i="1"/>
  <c r="G137" i="1"/>
  <c r="H138" i="1"/>
  <c r="I138" i="1"/>
  <c r="J138" i="1"/>
  <c r="L138" i="1"/>
  <c r="R138" i="1"/>
  <c r="G138" i="1"/>
  <c r="H139" i="1"/>
  <c r="I139" i="1"/>
  <c r="J139" i="1"/>
  <c r="L139" i="1"/>
  <c r="R139" i="1"/>
  <c r="G139" i="1"/>
  <c r="H140" i="1"/>
  <c r="I140" i="1"/>
  <c r="J140" i="1"/>
  <c r="L140" i="1"/>
  <c r="R140" i="1"/>
  <c r="G140" i="1"/>
  <c r="H141" i="1"/>
  <c r="I141" i="1"/>
  <c r="J141" i="1"/>
  <c r="L141" i="1"/>
  <c r="R141" i="1"/>
  <c r="G141" i="1"/>
  <c r="H142" i="1"/>
  <c r="I142" i="1"/>
  <c r="J142" i="1"/>
  <c r="L142" i="1"/>
  <c r="R142" i="1"/>
  <c r="G142" i="1"/>
  <c r="H143" i="1"/>
  <c r="I143" i="1"/>
  <c r="J143" i="1"/>
  <c r="L143" i="1"/>
  <c r="R143" i="1"/>
  <c r="G143" i="1"/>
  <c r="H144" i="1"/>
  <c r="I144" i="1"/>
  <c r="J144" i="1"/>
  <c r="L144" i="1"/>
  <c r="R144" i="1"/>
  <c r="G144" i="1"/>
  <c r="H145" i="1"/>
  <c r="I145" i="1"/>
  <c r="J145" i="1"/>
  <c r="L145" i="1"/>
  <c r="R145" i="1"/>
  <c r="G145" i="1"/>
  <c r="H146" i="1"/>
  <c r="I146" i="1"/>
  <c r="J146" i="1"/>
  <c r="L146" i="1"/>
  <c r="R146" i="1"/>
  <c r="G146" i="1"/>
  <c r="H147" i="1"/>
  <c r="I147" i="1"/>
  <c r="J147" i="1"/>
  <c r="L147" i="1"/>
  <c r="R147" i="1"/>
  <c r="G147" i="1"/>
  <c r="H148" i="1"/>
  <c r="I148" i="1"/>
  <c r="J148" i="1"/>
  <c r="L148" i="1"/>
  <c r="R148" i="1"/>
  <c r="G148" i="1"/>
  <c r="H149" i="1"/>
  <c r="I149" i="1"/>
  <c r="J149" i="1"/>
  <c r="L149" i="1"/>
  <c r="R149" i="1"/>
  <c r="G149" i="1"/>
  <c r="H150" i="1"/>
  <c r="I150" i="1"/>
  <c r="J150" i="1"/>
  <c r="L150" i="1"/>
  <c r="R150" i="1"/>
  <c r="G150" i="1"/>
  <c r="H151" i="1"/>
  <c r="I151" i="1"/>
  <c r="J151" i="1"/>
  <c r="L151" i="1"/>
  <c r="R151" i="1"/>
  <c r="G151" i="1"/>
  <c r="H152" i="1"/>
  <c r="I152" i="1"/>
  <c r="J152" i="1"/>
  <c r="L152" i="1"/>
  <c r="R152" i="1"/>
  <c r="G152" i="1"/>
  <c r="H153" i="1"/>
  <c r="I153" i="1"/>
  <c r="J153" i="1"/>
  <c r="L153" i="1"/>
  <c r="R153" i="1"/>
  <c r="G153" i="1"/>
  <c r="H154" i="1"/>
  <c r="I154" i="1"/>
  <c r="J154" i="1"/>
  <c r="L154" i="1"/>
  <c r="R154" i="1"/>
  <c r="G154" i="1"/>
  <c r="H155" i="1"/>
  <c r="I155" i="1"/>
  <c r="J155" i="1"/>
  <c r="L155" i="1"/>
  <c r="R155" i="1"/>
  <c r="G155" i="1"/>
  <c r="H156" i="1"/>
  <c r="I156" i="1"/>
  <c r="J156" i="1"/>
  <c r="L156" i="1"/>
  <c r="R156" i="1"/>
  <c r="G156" i="1"/>
  <c r="H157" i="1"/>
  <c r="I157" i="1"/>
  <c r="J157" i="1"/>
  <c r="L157" i="1"/>
  <c r="R157" i="1"/>
  <c r="G157" i="1"/>
  <c r="H158" i="1"/>
  <c r="I158" i="1"/>
  <c r="J158" i="1"/>
  <c r="L158" i="1"/>
  <c r="R158" i="1"/>
  <c r="G158" i="1"/>
  <c r="H159" i="1"/>
  <c r="I159" i="1"/>
  <c r="J159" i="1"/>
  <c r="L159" i="1"/>
  <c r="R159" i="1"/>
  <c r="G159" i="1"/>
  <c r="H160" i="1"/>
  <c r="I160" i="1"/>
  <c r="J160" i="1"/>
  <c r="L160" i="1"/>
  <c r="R160" i="1"/>
  <c r="G160" i="1"/>
  <c r="H161" i="1"/>
  <c r="I161" i="1"/>
  <c r="J161" i="1"/>
  <c r="L161" i="1"/>
  <c r="R161" i="1"/>
  <c r="G161" i="1"/>
  <c r="H162" i="1"/>
  <c r="I162" i="1"/>
  <c r="J162" i="1"/>
  <c r="L162" i="1"/>
  <c r="R162" i="1"/>
  <c r="G162" i="1"/>
  <c r="H163" i="1"/>
  <c r="I163" i="1"/>
  <c r="J163" i="1"/>
  <c r="L163" i="1"/>
  <c r="R163" i="1"/>
  <c r="G163" i="1"/>
  <c r="H164" i="1"/>
  <c r="I164" i="1"/>
  <c r="J164" i="1"/>
  <c r="L164" i="1"/>
  <c r="R164" i="1"/>
  <c r="G164" i="1"/>
  <c r="H165" i="1"/>
  <c r="I165" i="1"/>
  <c r="J165" i="1"/>
  <c r="L165" i="1"/>
  <c r="R165" i="1"/>
  <c r="G165" i="1"/>
  <c r="H166" i="1"/>
  <c r="I166" i="1"/>
  <c r="J166" i="1"/>
  <c r="L166" i="1"/>
  <c r="R166" i="1"/>
  <c r="G166" i="1"/>
  <c r="H167" i="1"/>
  <c r="I167" i="1"/>
  <c r="J167" i="1"/>
  <c r="L167" i="1"/>
  <c r="R167" i="1"/>
  <c r="G167" i="1"/>
  <c r="H168" i="1"/>
  <c r="I168" i="1"/>
  <c r="J168" i="1"/>
  <c r="L168" i="1"/>
  <c r="R168" i="1"/>
  <c r="G168" i="1"/>
  <c r="H169" i="1"/>
  <c r="I169" i="1"/>
  <c r="J169" i="1"/>
  <c r="L169" i="1"/>
  <c r="R169" i="1"/>
  <c r="G169" i="1"/>
  <c r="H170" i="1"/>
  <c r="I170" i="1"/>
  <c r="J170" i="1"/>
  <c r="L170" i="1"/>
  <c r="R170" i="1"/>
  <c r="G170" i="1"/>
  <c r="H171" i="1"/>
  <c r="I171" i="1"/>
  <c r="J171" i="1"/>
  <c r="L171" i="1"/>
  <c r="R171" i="1"/>
  <c r="G171" i="1"/>
  <c r="H172" i="1"/>
  <c r="I172" i="1"/>
  <c r="J172" i="1"/>
  <c r="L172" i="1"/>
  <c r="R172" i="1"/>
  <c r="G172" i="1"/>
  <c r="H173" i="1"/>
  <c r="I173" i="1"/>
  <c r="J173" i="1"/>
  <c r="L173" i="1"/>
  <c r="R173" i="1"/>
  <c r="G173" i="1"/>
  <c r="H174" i="1"/>
  <c r="I174" i="1"/>
  <c r="J174" i="1"/>
  <c r="L174" i="1"/>
  <c r="R174" i="1"/>
  <c r="G174" i="1"/>
  <c r="H175" i="1"/>
  <c r="I175" i="1"/>
  <c r="J175" i="1"/>
  <c r="L175" i="1"/>
  <c r="R175" i="1"/>
  <c r="G175" i="1"/>
  <c r="H176" i="1"/>
  <c r="I176" i="1"/>
  <c r="J176" i="1"/>
  <c r="L176" i="1"/>
  <c r="R176" i="1"/>
  <c r="G176" i="1"/>
  <c r="H177" i="1"/>
  <c r="I177" i="1"/>
  <c r="J177" i="1"/>
  <c r="L177" i="1"/>
  <c r="R177" i="1"/>
  <c r="G177" i="1"/>
  <c r="H178" i="1"/>
  <c r="I178" i="1"/>
  <c r="J178" i="1"/>
  <c r="L178" i="1"/>
  <c r="R178" i="1"/>
  <c r="G178" i="1"/>
  <c r="H179" i="1"/>
  <c r="I179" i="1"/>
  <c r="J179" i="1"/>
  <c r="L179" i="1"/>
  <c r="R179" i="1"/>
  <c r="G179" i="1"/>
  <c r="H180" i="1"/>
  <c r="I180" i="1"/>
  <c r="J180" i="1"/>
  <c r="L180" i="1"/>
  <c r="R180" i="1"/>
  <c r="G180" i="1"/>
  <c r="H181" i="1"/>
  <c r="I181" i="1"/>
  <c r="J181" i="1"/>
  <c r="L181" i="1"/>
  <c r="R181" i="1"/>
  <c r="G181" i="1"/>
  <c r="H182" i="1"/>
  <c r="I182" i="1"/>
  <c r="J182" i="1"/>
  <c r="L182" i="1"/>
  <c r="R182" i="1"/>
  <c r="G182" i="1"/>
  <c r="H183" i="1"/>
  <c r="I183" i="1"/>
  <c r="J183" i="1"/>
  <c r="L183" i="1"/>
  <c r="R183" i="1"/>
  <c r="G183" i="1"/>
  <c r="H184" i="1"/>
  <c r="I184" i="1"/>
  <c r="J184" i="1"/>
  <c r="L184" i="1"/>
  <c r="R184" i="1"/>
  <c r="G184" i="1"/>
  <c r="H185" i="1"/>
  <c r="I185" i="1"/>
  <c r="J185" i="1"/>
  <c r="L185" i="1"/>
  <c r="R185" i="1"/>
  <c r="G185" i="1"/>
  <c r="H186" i="1"/>
  <c r="I186" i="1"/>
  <c r="J186" i="1"/>
  <c r="L186" i="1"/>
  <c r="R186" i="1"/>
  <c r="G186" i="1"/>
  <c r="H187" i="1"/>
  <c r="I187" i="1"/>
  <c r="J187" i="1"/>
  <c r="L187" i="1"/>
  <c r="R187" i="1"/>
  <c r="G187" i="1"/>
  <c r="H188" i="1"/>
  <c r="I188" i="1"/>
  <c r="J188" i="1"/>
  <c r="L188" i="1"/>
  <c r="R188" i="1"/>
  <c r="G188" i="1"/>
  <c r="H189" i="1"/>
  <c r="I189" i="1"/>
  <c r="J189" i="1"/>
  <c r="L189" i="1"/>
  <c r="R189" i="1"/>
  <c r="G189" i="1"/>
  <c r="H13" i="1"/>
  <c r="I13" i="1"/>
  <c r="J13" i="1"/>
  <c r="D27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H27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I27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H33" i="1"/>
  <c r="I33" i="1"/>
  <c r="J33" i="1"/>
  <c r="L33" i="1"/>
  <c r="R33" i="1"/>
  <c r="G33" i="1"/>
  <c r="H34" i="1"/>
  <c r="I34" i="1"/>
  <c r="J34" i="1"/>
  <c r="L34" i="1"/>
  <c r="R34" i="1"/>
  <c r="G34" i="1"/>
  <c r="H35" i="1"/>
  <c r="I35" i="1"/>
  <c r="J35" i="1"/>
  <c r="L35" i="1"/>
  <c r="R35" i="1"/>
  <c r="G35" i="1"/>
  <c r="H36" i="1"/>
  <c r="I36" i="1"/>
  <c r="J36" i="1"/>
  <c r="L36" i="1"/>
  <c r="R36" i="1"/>
  <c r="G36" i="1"/>
  <c r="H37" i="1"/>
  <c r="I37" i="1"/>
  <c r="J37" i="1"/>
  <c r="L37" i="1"/>
  <c r="R37" i="1"/>
  <c r="G37" i="1"/>
  <c r="H38" i="1"/>
  <c r="I38" i="1"/>
  <c r="J38" i="1"/>
  <c r="L38" i="1"/>
  <c r="R38" i="1"/>
  <c r="G38" i="1"/>
  <c r="H39" i="1"/>
  <c r="I39" i="1"/>
  <c r="J39" i="1"/>
  <c r="L39" i="1"/>
  <c r="R39" i="1"/>
  <c r="G39" i="1"/>
  <c r="K33" i="1"/>
  <c r="K34" i="1"/>
  <c r="K35" i="1"/>
  <c r="K36" i="1"/>
  <c r="K37" i="1"/>
  <c r="K38" i="1"/>
  <c r="K39" i="1"/>
  <c r="M33" i="1"/>
  <c r="M34" i="1"/>
  <c r="M35" i="1"/>
  <c r="M36" i="1"/>
  <c r="M37" i="1"/>
  <c r="M38" i="1"/>
  <c r="M39" i="1"/>
  <c r="N33" i="1"/>
  <c r="N34" i="1"/>
  <c r="N35" i="1"/>
  <c r="N36" i="1"/>
  <c r="N37" i="1"/>
  <c r="N38" i="1"/>
  <c r="N39" i="1"/>
  <c r="O33" i="1"/>
  <c r="O34" i="1"/>
  <c r="O35" i="1"/>
  <c r="O36" i="1"/>
  <c r="O37" i="1"/>
  <c r="O38" i="1"/>
  <c r="O39" i="1"/>
  <c r="P33" i="1"/>
  <c r="P34" i="1"/>
  <c r="P35" i="1"/>
  <c r="P36" i="1"/>
  <c r="P37" i="1"/>
  <c r="P38" i="1"/>
  <c r="P39" i="1"/>
  <c r="Q33" i="1"/>
  <c r="Q34" i="1"/>
  <c r="Q35" i="1"/>
  <c r="Q36" i="1"/>
  <c r="Q37" i="1"/>
  <c r="Q38" i="1"/>
  <c r="Q39" i="1"/>
  <c r="H8" i="1" a="1"/>
  <c r="H8" i="1"/>
  <c r="J20" i="1"/>
  <c r="J21" i="1"/>
  <c r="J22" i="1"/>
  <c r="J24" i="1"/>
  <c r="J23" i="1"/>
  <c r="AF29" i="1"/>
  <c r="J25" i="1"/>
  <c r="AG29" i="1"/>
  <c r="AJ29" i="1"/>
  <c r="AI29" i="1"/>
  <c r="AF28" i="1"/>
  <c r="AG28" i="1"/>
  <c r="AJ28" i="1"/>
  <c r="AI28" i="1"/>
  <c r="AF27" i="1"/>
  <c r="AG27" i="1"/>
  <c r="AJ27" i="1"/>
  <c r="AI27" i="1"/>
  <c r="AF26" i="1"/>
  <c r="AG26" i="1"/>
  <c r="AJ26" i="1"/>
  <c r="AI26" i="1"/>
  <c r="AF25" i="1"/>
  <c r="AG25" i="1"/>
  <c r="AJ25" i="1"/>
  <c r="AI25" i="1"/>
  <c r="AF24" i="1"/>
  <c r="AG24" i="1"/>
  <c r="AJ24" i="1"/>
  <c r="AI24" i="1"/>
  <c r="AF23" i="1"/>
  <c r="AG23" i="1"/>
  <c r="AJ23" i="1"/>
  <c r="AI23" i="1"/>
  <c r="AF22" i="1"/>
  <c r="AG22" i="1"/>
  <c r="AJ22" i="1"/>
  <c r="AI22" i="1"/>
  <c r="AF21" i="1"/>
  <c r="AG21" i="1"/>
  <c r="AJ21" i="1"/>
  <c r="AI21" i="1"/>
  <c r="AF20" i="1"/>
  <c r="AG20" i="1"/>
  <c r="AJ20" i="1"/>
  <c r="AI20" i="1"/>
  <c r="AF19" i="1"/>
  <c r="AG19" i="1"/>
  <c r="AJ19" i="1"/>
  <c r="AI19" i="1"/>
  <c r="AF18" i="1"/>
  <c r="AG18" i="1"/>
  <c r="AJ18" i="1"/>
  <c r="AI18" i="1"/>
  <c r="AF17" i="1"/>
  <c r="AG17" i="1"/>
  <c r="AJ17" i="1"/>
  <c r="AI17" i="1"/>
  <c r="AF16" i="1"/>
  <c r="AG16" i="1"/>
  <c r="AJ16" i="1"/>
  <c r="AI16" i="1"/>
  <c r="AF15" i="1"/>
  <c r="AG15" i="1"/>
  <c r="AJ15" i="1"/>
  <c r="AI15" i="1"/>
  <c r="AF14" i="1"/>
  <c r="AG14" i="1"/>
  <c r="AJ14" i="1"/>
  <c r="AI14" i="1"/>
  <c r="AF13" i="1"/>
  <c r="AG13" i="1"/>
  <c r="AJ13" i="1"/>
  <c r="AI13" i="1"/>
  <c r="AF12" i="1"/>
  <c r="AG12" i="1"/>
  <c r="AJ12" i="1"/>
  <c r="AI12" i="1"/>
  <c r="AF11" i="1"/>
  <c r="AG11" i="1"/>
  <c r="AJ11" i="1"/>
  <c r="AI11" i="1"/>
  <c r="AF10" i="1"/>
  <c r="AG10" i="1"/>
  <c r="AJ10" i="1"/>
  <c r="AI10" i="1"/>
  <c r="AF9" i="1"/>
  <c r="AG9" i="1"/>
  <c r="AJ9" i="1"/>
  <c r="AI9" i="1"/>
  <c r="H20" i="1"/>
  <c r="H21" i="1"/>
  <c r="H22" i="1"/>
  <c r="H24" i="1"/>
  <c r="H23" i="1"/>
  <c r="V9" i="1"/>
  <c r="H25" i="1"/>
  <c r="W9" i="1"/>
  <c r="Y9" i="1"/>
  <c r="Z9" i="1"/>
  <c r="I20" i="1"/>
  <c r="I21" i="1"/>
  <c r="I22" i="1"/>
  <c r="I24" i="1"/>
  <c r="I23" i="1"/>
  <c r="AA29" i="1"/>
  <c r="I25" i="1"/>
  <c r="AB29" i="1"/>
  <c r="AE29" i="1"/>
  <c r="AD29" i="1"/>
  <c r="AA28" i="1"/>
  <c r="AB28" i="1"/>
  <c r="AE28" i="1"/>
  <c r="AD28" i="1"/>
  <c r="AA27" i="1"/>
  <c r="AB27" i="1"/>
  <c r="AE27" i="1"/>
  <c r="AD27" i="1"/>
  <c r="AA26" i="1"/>
  <c r="AB26" i="1"/>
  <c r="AE26" i="1"/>
  <c r="AD26" i="1"/>
  <c r="AA25" i="1"/>
  <c r="AB25" i="1"/>
  <c r="AE25" i="1"/>
  <c r="AD25" i="1"/>
  <c r="AA24" i="1"/>
  <c r="AB24" i="1"/>
  <c r="AE24" i="1"/>
  <c r="AD24" i="1"/>
  <c r="AA23" i="1"/>
  <c r="AB23" i="1"/>
  <c r="AE23" i="1"/>
  <c r="AD23" i="1"/>
  <c r="AA22" i="1"/>
  <c r="AB22" i="1"/>
  <c r="AE22" i="1"/>
  <c r="AD22" i="1"/>
  <c r="AA21" i="1"/>
  <c r="AB21" i="1"/>
  <c r="AE21" i="1"/>
  <c r="AD21" i="1"/>
  <c r="AA20" i="1"/>
  <c r="AB20" i="1"/>
  <c r="AE20" i="1"/>
  <c r="AD20" i="1"/>
  <c r="AA19" i="1"/>
  <c r="AB19" i="1"/>
  <c r="AE19" i="1"/>
  <c r="AD19" i="1"/>
  <c r="AA18" i="1"/>
  <c r="AB18" i="1"/>
  <c r="AE18" i="1"/>
  <c r="AD18" i="1"/>
  <c r="AA17" i="1"/>
  <c r="AB17" i="1"/>
  <c r="AE17" i="1"/>
  <c r="AD17" i="1"/>
  <c r="AA16" i="1"/>
  <c r="AB16" i="1"/>
  <c r="AE16" i="1"/>
  <c r="AD16" i="1"/>
  <c r="AA15" i="1"/>
  <c r="AB15" i="1"/>
  <c r="AE15" i="1"/>
  <c r="AD15" i="1"/>
  <c r="AA14" i="1"/>
  <c r="AB14" i="1"/>
  <c r="AE14" i="1"/>
  <c r="AD14" i="1"/>
  <c r="AA13" i="1"/>
  <c r="AB13" i="1"/>
  <c r="AE13" i="1"/>
  <c r="AD13" i="1"/>
  <c r="AA12" i="1"/>
  <c r="AB12" i="1"/>
  <c r="AE12" i="1"/>
  <c r="AD12" i="1"/>
  <c r="AA11" i="1"/>
  <c r="AB11" i="1"/>
  <c r="AE11" i="1"/>
  <c r="AD11" i="1"/>
  <c r="AA10" i="1"/>
  <c r="AB10" i="1"/>
  <c r="AE10" i="1"/>
  <c r="AD10" i="1"/>
  <c r="AA9" i="1"/>
  <c r="AB9" i="1"/>
  <c r="AE9" i="1"/>
  <c r="AD9" i="1"/>
  <c r="V29" i="1"/>
  <c r="W29" i="1"/>
  <c r="Z29" i="1"/>
  <c r="Y29" i="1"/>
  <c r="V28" i="1"/>
  <c r="W28" i="1"/>
  <c r="Z28" i="1"/>
  <c r="Y28" i="1"/>
  <c r="V27" i="1"/>
  <c r="W27" i="1"/>
  <c r="Z27" i="1"/>
  <c r="Y27" i="1"/>
  <c r="V26" i="1"/>
  <c r="W26" i="1"/>
  <c r="Z26" i="1"/>
  <c r="Y26" i="1"/>
  <c r="V25" i="1"/>
  <c r="W25" i="1"/>
  <c r="Z25" i="1"/>
  <c r="Y25" i="1"/>
  <c r="V24" i="1"/>
  <c r="W24" i="1"/>
  <c r="Z24" i="1"/>
  <c r="Y24" i="1"/>
  <c r="V23" i="1"/>
  <c r="W23" i="1"/>
  <c r="Z23" i="1"/>
  <c r="Y23" i="1"/>
  <c r="V22" i="1"/>
  <c r="W22" i="1"/>
  <c r="Z22" i="1"/>
  <c r="Y22" i="1"/>
  <c r="V21" i="1"/>
  <c r="W21" i="1"/>
  <c r="Z21" i="1"/>
  <c r="Y21" i="1"/>
  <c r="V20" i="1"/>
  <c r="W20" i="1"/>
  <c r="Z20" i="1"/>
  <c r="Y20" i="1"/>
  <c r="V19" i="1"/>
  <c r="W19" i="1"/>
  <c r="Z19" i="1"/>
  <c r="Y19" i="1"/>
  <c r="V18" i="1"/>
  <c r="W18" i="1"/>
  <c r="Z18" i="1"/>
  <c r="Y18" i="1"/>
  <c r="V17" i="1"/>
  <c r="W17" i="1"/>
  <c r="Z17" i="1"/>
  <c r="Y17" i="1"/>
  <c r="V16" i="1"/>
  <c r="W16" i="1"/>
  <c r="Z16" i="1"/>
  <c r="Y16" i="1"/>
  <c r="V15" i="1"/>
  <c r="W15" i="1"/>
  <c r="Z15" i="1"/>
  <c r="Y15" i="1"/>
  <c r="V14" i="1"/>
  <c r="W14" i="1"/>
  <c r="Z14" i="1"/>
  <c r="Y14" i="1"/>
  <c r="V13" i="1"/>
  <c r="W13" i="1"/>
  <c r="Z13" i="1"/>
  <c r="Y13" i="1"/>
  <c r="V12" i="1"/>
  <c r="W12" i="1"/>
  <c r="Z12" i="1"/>
  <c r="Y12" i="1"/>
  <c r="V11" i="1"/>
  <c r="W11" i="1"/>
  <c r="Z11" i="1"/>
  <c r="Y11" i="1"/>
  <c r="V10" i="1"/>
  <c r="W10" i="1"/>
  <c r="Z10" i="1"/>
  <c r="Y10" i="1"/>
  <c r="AH10" i="1"/>
  <c r="AH28" i="1"/>
  <c r="AH25" i="1"/>
  <c r="AH22" i="1"/>
  <c r="AH19" i="1"/>
  <c r="AH16" i="1"/>
  <c r="AH13" i="1"/>
  <c r="AC28" i="1"/>
  <c r="AC25" i="1"/>
  <c r="AC22" i="1"/>
  <c r="AC19" i="1"/>
  <c r="AC16" i="1"/>
  <c r="AC13" i="1"/>
  <c r="R28" i="1"/>
  <c r="Q28" i="1"/>
  <c r="R27" i="1"/>
  <c r="Q27" i="1"/>
  <c r="R26" i="1"/>
  <c r="Q26" i="1"/>
  <c r="R25" i="1"/>
  <c r="Q25" i="1"/>
  <c r="R24" i="1"/>
  <c r="Q24" i="1"/>
  <c r="P28" i="1"/>
  <c r="O28" i="1"/>
  <c r="P27" i="1"/>
  <c r="O27" i="1"/>
  <c r="P26" i="1"/>
  <c r="O26" i="1"/>
  <c r="P25" i="1"/>
  <c r="O25" i="1"/>
  <c r="P24" i="1"/>
  <c r="O24" i="1"/>
  <c r="N28" i="1"/>
  <c r="N27" i="1"/>
  <c r="N26" i="1"/>
  <c r="N25" i="1"/>
  <c r="N24" i="1"/>
  <c r="M28" i="1"/>
  <c r="M27" i="1"/>
  <c r="M26" i="1"/>
  <c r="M25" i="1"/>
  <c r="M24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X10" i="1"/>
  <c r="AC10" i="1"/>
  <c r="X13" i="1"/>
  <c r="X16" i="1"/>
  <c r="X19" i="1"/>
  <c r="X22" i="1"/>
  <c r="X25" i="1"/>
  <c r="X28" i="1"/>
</calcChain>
</file>

<file path=xl/sharedStrings.xml><?xml version="1.0" encoding="utf-8"?>
<sst xmlns="http://schemas.openxmlformats.org/spreadsheetml/2006/main" count="92" uniqueCount="88">
  <si>
    <t>z drop lines</t>
  </si>
  <si>
    <t>_xs_cpy</t>
  </si>
  <si>
    <t>_ys_cpy</t>
  </si>
  <si>
    <t>_xs_cpz</t>
  </si>
  <si>
    <t>_ys_cpz</t>
  </si>
  <si>
    <t xml:space="preserve"> &lt;- array formula!</t>
  </si>
  <si>
    <t>tick label z</t>
  </si>
  <si>
    <t xml:space="preserve">tmz z </t>
  </si>
  <si>
    <t>vectzc</t>
  </si>
  <si>
    <t>xs_cage</t>
  </si>
  <si>
    <t>ys_cage</t>
  </si>
  <si>
    <t>_tmz_y</t>
  </si>
  <si>
    <t>_tmz_x</t>
  </si>
  <si>
    <t>data normalisation</t>
  </si>
  <si>
    <t>data points</t>
  </si>
  <si>
    <t>cp normalised position</t>
  </si>
  <si>
    <t>cut plane frame</t>
  </si>
  <si>
    <t>cut plane x frame</t>
  </si>
  <si>
    <t>cut plane y frame</t>
  </si>
  <si>
    <t>cut plane z frame</t>
  </si>
  <si>
    <t>shift x</t>
  </si>
  <si>
    <t>shift y</t>
  </si>
  <si>
    <t>zoom</t>
  </si>
  <si>
    <t>4th dimension</t>
  </si>
  <si>
    <t>to-scale-ratios</t>
  </si>
  <si>
    <t>rotation matrix</t>
  </si>
  <si>
    <t>cut planes</t>
  </si>
  <si>
    <t>_xs_cpx</t>
  </si>
  <si>
    <t>cut plane x</t>
  </si>
  <si>
    <t>_ys_cpx</t>
  </si>
  <si>
    <t>cut plane z</t>
  </si>
  <si>
    <t>cut plane y</t>
  </si>
  <si>
    <t>plane 1</t>
  </si>
  <si>
    <t>plane 2</t>
  </si>
  <si>
    <t>labels</t>
  </si>
  <si>
    <t>x</t>
  </si>
  <si>
    <t>y</t>
  </si>
  <si>
    <t>z</t>
  </si>
  <si>
    <t>min</t>
  </si>
  <si>
    <t>range</t>
  </si>
  <si>
    <t>sin a</t>
  </si>
  <si>
    <t>cos a</t>
  </si>
  <si>
    <t>rot 1</t>
  </si>
  <si>
    <t>rot 2</t>
  </si>
  <si>
    <t>rotate x</t>
  </si>
  <si>
    <t>rotate y</t>
  </si>
  <si>
    <t>rotate z</t>
  </si>
  <si>
    <t>cut plane YZ</t>
  </si>
  <si>
    <t>cut plane XZ</t>
  </si>
  <si>
    <t>cut plane XY</t>
  </si>
  <si>
    <t>angles</t>
  </si>
  <si>
    <t>planes</t>
  </si>
  <si>
    <t>norm</t>
  </si>
  <si>
    <t>screen</t>
  </si>
  <si>
    <t>xs</t>
  </si>
  <si>
    <t>ys</t>
  </si>
  <si>
    <t>fract</t>
  </si>
  <si>
    <t>ts tick mark step width</t>
  </si>
  <si>
    <t>ft location first tick mark</t>
  </si>
  <si>
    <t>tx number of tick marks</t>
  </si>
  <si>
    <t>ftn normalised location first tick mark</t>
  </si>
  <si>
    <t>tsn normalised tick mark step width</t>
  </si>
  <si>
    <t>tick marks</t>
  </si>
  <si>
    <t>cage</t>
  </si>
  <si>
    <t>tick mark</t>
  </si>
  <si>
    <t>vect</t>
  </si>
  <si>
    <t>tick label x</t>
  </si>
  <si>
    <t>xsx</t>
  </si>
  <si>
    <t>ysx</t>
  </si>
  <si>
    <t>xsy</t>
  </si>
  <si>
    <t>ysy</t>
  </si>
  <si>
    <t>xsz</t>
  </si>
  <si>
    <t>ysz</t>
  </si>
  <si>
    <t>vectxc</t>
  </si>
  <si>
    <t>tmx x</t>
  </si>
  <si>
    <t>_tmx_y</t>
  </si>
  <si>
    <t>_tmx_z</t>
  </si>
  <si>
    <t>vectyc</t>
  </si>
  <si>
    <t>tmy y</t>
  </si>
  <si>
    <t>_tmy_x</t>
  </si>
  <si>
    <t>_tmy_z</t>
  </si>
  <si>
    <t>tick label y</t>
  </si>
  <si>
    <t>x norm</t>
  </si>
  <si>
    <t>y norm</t>
  </si>
  <si>
    <t>z norm</t>
  </si>
  <si>
    <t>time</t>
  </si>
  <si>
    <t>gridSize</t>
  </si>
  <si>
    <t>blockSize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</si>
</sst>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{0\}"/>
  </numFmts>
  <fonts count="9" x14ac:knownFonts="1">
    <font>
      <sz val="10"/>
      <name val="Verdana"/>
    </font>
    <font>
      <b/>
      <sz val="10"/>
      <name val="Verdana"/>
    </font>
    <font>
      <sz val="10"/>
      <name val="Verdana"/>
    </font>
    <font>
      <sz val="10"/>
      <color indexed="12"/>
      <name val="Verdana"/>
    </font>
    <font>
      <sz val="8"/>
      <name val="Verdana"/>
    </font>
    <font>
      <sz val="10"/>
      <color indexed="60"/>
      <name val="Verdana"/>
    </font>
    <font>
      <i/>
      <sz val="10"/>
      <color indexed="60"/>
      <name val="Verdana"/>
    </font>
    <font>
      <b/>
      <sz val="14"/>
      <name val="Verdana"/>
    </font>
    <font>
      <sz val="10"/>
      <color rgb="FF000000"/>
      <name val="Geneva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0" fillId="0" borderId="0" xfId="0" applyAlignment="1">
      <alignment wrapText="1"/>
    </xf>
    <xf numFmtId="0" fontId="0" fillId="0" borderId="7" xfId="0" applyBorder="1"/>
    <xf numFmtId="0" fontId="0" fillId="0" borderId="8" xfId="0" applyBorder="1"/>
    <xf numFmtId="0" fontId="3" fillId="0" borderId="0" xfId="0" applyFont="1"/>
    <xf numFmtId="0" fontId="2" fillId="0" borderId="0" xfId="0" applyFont="1" applyFill="1"/>
    <xf numFmtId="0" fontId="0" fillId="0" borderId="0" xfId="0" applyFill="1" applyBorder="1"/>
    <xf numFmtId="0" fontId="0" fillId="0" borderId="0" xfId="0" applyAlignment="1"/>
    <xf numFmtId="0" fontId="1" fillId="0" borderId="0" xfId="0" applyFont="1" applyBorder="1"/>
    <xf numFmtId="0" fontId="1" fillId="0" borderId="9" xfId="0" applyFont="1" applyBorder="1"/>
    <xf numFmtId="0" fontId="1" fillId="0" borderId="3" xfId="0" applyFont="1" applyBorder="1"/>
    <xf numFmtId="0" fontId="0" fillId="0" borderId="4" xfId="0" applyFill="1" applyBorder="1"/>
    <xf numFmtId="0" fontId="0" fillId="0" borderId="2" xfId="0" applyFill="1" applyBorder="1"/>
    <xf numFmtId="0" fontId="0" fillId="0" borderId="10" xfId="0" applyFill="1" applyBorder="1"/>
    <xf numFmtId="0" fontId="1" fillId="0" borderId="2" xfId="0" applyFont="1" applyBorder="1"/>
    <xf numFmtId="0" fontId="1" fillId="0" borderId="4" xfId="0" applyFont="1" applyBorder="1"/>
    <xf numFmtId="0" fontId="0" fillId="0" borderId="9" xfId="0" applyBorder="1"/>
    <xf numFmtId="0" fontId="0" fillId="0" borderId="9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" xfId="0" applyFill="1" applyBorder="1"/>
    <xf numFmtId="0" fontId="0" fillId="0" borderId="0" xfId="0" applyAlignment="1">
      <alignment horizontal="right"/>
    </xf>
    <xf numFmtId="0" fontId="0" fillId="0" borderId="0" xfId="0" applyNumberFormat="1"/>
    <xf numFmtId="0" fontId="0" fillId="0" borderId="5" xfId="0" quotePrefix="1" applyNumberFormat="1" applyBorder="1"/>
    <xf numFmtId="0" fontId="0" fillId="0" borderId="6" xfId="0" quotePrefix="1" applyNumberFormat="1" applyBorder="1"/>
    <xf numFmtId="0" fontId="0" fillId="0" borderId="11" xfId="0" applyFill="1" applyBorder="1"/>
    <xf numFmtId="0" fontId="0" fillId="0" borderId="7" xfId="0" applyFill="1" applyBorder="1"/>
    <xf numFmtId="0" fontId="0" fillId="0" borderId="8" xfId="0" applyFill="1" applyBorder="1"/>
    <xf numFmtId="0" fontId="5" fillId="0" borderId="0" xfId="0" applyFont="1" applyFill="1"/>
    <xf numFmtId="0" fontId="5" fillId="0" borderId="0" xfId="0" applyFont="1" applyFill="1" applyBorder="1"/>
    <xf numFmtId="0" fontId="5" fillId="0" borderId="2" xfId="0" applyFont="1" applyFill="1" applyBorder="1"/>
    <xf numFmtId="0" fontId="5" fillId="0" borderId="6" xfId="0" applyFont="1" applyFill="1" applyBorder="1"/>
    <xf numFmtId="0" fontId="5" fillId="0" borderId="10" xfId="0" applyFont="1" applyFill="1" applyBorder="1"/>
    <xf numFmtId="164" fontId="5" fillId="0" borderId="3" xfId="0" applyNumberFormat="1" applyFont="1" applyFill="1" applyBorder="1" applyAlignment="1">
      <alignment horizontal="center"/>
    </xf>
    <xf numFmtId="0" fontId="5" fillId="0" borderId="3" xfId="0" applyFont="1" applyFill="1" applyBorder="1"/>
    <xf numFmtId="0" fontId="5" fillId="0" borderId="9" xfId="0" applyFont="1" applyFill="1" applyBorder="1"/>
    <xf numFmtId="0" fontId="5" fillId="0" borderId="4" xfId="0" applyFont="1" applyFill="1" applyBorder="1"/>
    <xf numFmtId="0" fontId="5" fillId="0" borderId="5" xfId="0" applyFont="1" applyFill="1" applyBorder="1"/>
    <xf numFmtId="0" fontId="5" fillId="0" borderId="0" xfId="0" applyFont="1"/>
    <xf numFmtId="0" fontId="6" fillId="0" borderId="0" xfId="0" applyFont="1" applyFill="1" applyBorder="1"/>
    <xf numFmtId="0" fontId="6" fillId="0" borderId="2" xfId="0" applyFont="1" applyFill="1" applyBorder="1"/>
    <xf numFmtId="0" fontId="6" fillId="0" borderId="6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0" fontId="2" fillId="0" borderId="6" xfId="0" applyFont="1" applyBorder="1"/>
    <xf numFmtId="0" fontId="7" fillId="2" borderId="6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5" fillId="3" borderId="0" xfId="0" applyNumberFormat="1" applyFont="1" applyFill="1" applyBorder="1" applyAlignment="1" applyProtection="1"/>
    <xf numFmtId="0" fontId="5" fillId="3" borderId="1" xfId="0" applyNumberFormat="1" applyFont="1" applyFill="1" applyBorder="1" applyAlignment="1" applyProtection="1"/>
    <xf numFmtId="0" fontId="5" fillId="3" borderId="2" xfId="0" applyNumberFormat="1" applyFont="1" applyFill="1" applyBorder="1" applyAlignment="1" applyProtection="1"/>
    <xf numFmtId="0" fontId="0" fillId="0" borderId="0" xfId="0" applyNumberFormat="1" applyFill="1"/>
    <xf numFmtId="0" fontId="2" fillId="0" borderId="0" xfId="0" applyFont="1"/>
    <xf numFmtId="0" fontId="2" fillId="4" borderId="0" xfId="0" applyFont="1" applyFill="1" applyAlignment="1"/>
    <xf numFmtId="0" fontId="0" fillId="0" borderId="0" xfId="0" applyFont="1"/>
  </cellXfs>
  <cellStyles count="1"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45102781136638"/>
          <c:y val="0.0139049826187717"/>
          <c:w val="0.972188633615478"/>
          <c:h val="0.973348783314021"/>
        </c:manualLayout>
      </c:layout>
      <c:scatterChart>
        <c:scatterStyle val="lineMarker"/>
        <c:varyColors val="0"/>
        <c:ser>
          <c:idx val="0"/>
          <c:order val="0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layout/>
              <c:tx>
                <c:strRef>
                  <c:f>plot!$C$32</c:f>
                  <c:strCache>
                    <c:ptCount val="1"/>
                    <c:pt idx="0">
                      <c:v>gridSize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layout/>
              <c:tx>
                <c:strRef>
                  <c:f>plot!$E$32</c:f>
                  <c:strCache>
                    <c:ptCount val="1"/>
                    <c:pt idx="0">
                      <c:v>time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delete val="1"/>
            </c:dLbl>
            <c:dLbl>
              <c:idx val="10"/>
              <c:layout/>
              <c:tx>
                <c:strRef>
                  <c:f>plot!$D$32</c:f>
                  <c:strCache>
                    <c:ptCount val="1"/>
                    <c:pt idx="0">
                      <c:v>blockSize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plot!$N$10:$N$20</c:f>
              <c:numCache>
                <c:formatCode>General</c:formatCode>
                <c:ptCount val="11"/>
                <c:pt idx="0">
                  <c:v>-0.683012701892219</c:v>
                </c:pt>
                <c:pt idx="1">
                  <c:v>-0.183012701892219</c:v>
                </c:pt>
                <c:pt idx="2">
                  <c:v>-0.183012701892219</c:v>
                </c:pt>
                <c:pt idx="3">
                  <c:v>-0.683012701892219</c:v>
                </c:pt>
                <c:pt idx="4">
                  <c:v>-0.683012701892219</c:v>
                </c:pt>
                <c:pt idx="5">
                  <c:v>0.183012701892219</c:v>
                </c:pt>
                <c:pt idx="6">
                  <c:v>0.683012701892219</c:v>
                </c:pt>
                <c:pt idx="7">
                  <c:v>0.683012701892219</c:v>
                </c:pt>
                <c:pt idx="8">
                  <c:v>-0.183012701892219</c:v>
                </c:pt>
                <c:pt idx="9">
                  <c:v>-0.183012701892219</c:v>
                </c:pt>
                <c:pt idx="10">
                  <c:v>0.683012701892219</c:v>
                </c:pt>
              </c:numCache>
            </c:numRef>
          </c:xVal>
          <c:yVal>
            <c:numRef>
              <c:f>plot!$O$10:$O$20</c:f>
              <c:numCache>
                <c:formatCode>General</c:formatCode>
                <c:ptCount val="11"/>
                <c:pt idx="0">
                  <c:v>-0.524519052838329</c:v>
                </c:pt>
                <c:pt idx="1">
                  <c:v>-0.0915063509461097</c:v>
                </c:pt>
                <c:pt idx="2">
                  <c:v>0.774519052838329</c:v>
                </c:pt>
                <c:pt idx="3">
                  <c:v>0.34150635094611</c:v>
                </c:pt>
                <c:pt idx="4">
                  <c:v>-0.524519052838329</c:v>
                </c:pt>
                <c:pt idx="5">
                  <c:v>-0.774519052838329</c:v>
                </c:pt>
                <c:pt idx="6">
                  <c:v>-0.34150635094611</c:v>
                </c:pt>
                <c:pt idx="7">
                  <c:v>0.524519052838329</c:v>
                </c:pt>
                <c:pt idx="8">
                  <c:v>0.774519052838329</c:v>
                </c:pt>
                <c:pt idx="9">
                  <c:v>-0.0915063509461097</c:v>
                </c:pt>
                <c:pt idx="10">
                  <c:v>-0.34150635094611</c:v>
                </c:pt>
              </c:numCache>
            </c:numRef>
          </c:yVal>
          <c:smooth val="0"/>
        </c:ser>
        <c:ser>
          <c:idx val="1"/>
          <c:order val="1"/>
          <c:tx>
            <c:v>labx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plot!$X$9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plot!$X$10</c:f>
                  <c:strCache>
                    <c:ptCount val="1"/>
                    <c:pt idx="0">
                      <c:v>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plot!$X$11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plot!$X$12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plot!$X$13</c:f>
                  <c:strCache>
                    <c:ptCount val="1"/>
                    <c:pt idx="0">
                      <c:v>12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plot!$X$14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plot!$X$15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strRef>
                  <c:f>plot!$X$16</c:f>
                  <c:strCache>
                    <c:ptCount val="1"/>
                    <c:pt idx="0">
                      <c:v>18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strRef>
                  <c:f>plot!$X$17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strRef>
                  <c:f>plot!$X$18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strRef>
                  <c:f>plot!$X$19</c:f>
                  <c:strCache>
                    <c:ptCount val="1"/>
                    <c:pt idx="0">
                      <c:v>24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strRef>
                  <c:f>plot!$X$20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strRef>
                  <c:f>plot!$X$21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strRef>
                  <c:f>plot!$X$22</c:f>
                  <c:strCache>
                    <c:ptCount val="1"/>
                    <c:pt idx="0">
                      <c:v>30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tx>
                <c:strRef>
                  <c:f>plot!$X$23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strRef>
                  <c:f>plot!$X$24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strRef>
                  <c:f>plot!$X$25</c:f>
                  <c:strCache>
                    <c:ptCount val="1"/>
                    <c:pt idx="0">
                      <c:v>30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strRef>
                  <c:f>plot!$X$26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strRef>
                  <c:f>plot!$X$27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strRef>
                  <c:f>plot!$X$28</c:f>
                  <c:strCache>
                    <c:ptCount val="1"/>
                    <c:pt idx="0">
                      <c:v>30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strRef>
                  <c:f>plot!$X$29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plot!$Y$9:$Y$29</c:f>
              <c:numCache>
                <c:formatCode>General</c:formatCode>
                <c:ptCount val="21"/>
                <c:pt idx="0">
                  <c:v>0.602367540601897</c:v>
                </c:pt>
                <c:pt idx="1">
                  <c:v>0.68897008098034</c:v>
                </c:pt>
                <c:pt idx="2">
                  <c:v>0.602367540601897</c:v>
                </c:pt>
                <c:pt idx="3">
                  <c:v>0.50559334705351</c:v>
                </c:pt>
                <c:pt idx="4">
                  <c:v>0.592195887431953</c:v>
                </c:pt>
                <c:pt idx="5">
                  <c:v>0.50559334705351</c:v>
                </c:pt>
                <c:pt idx="6">
                  <c:v>0.408819153505122</c:v>
                </c:pt>
                <c:pt idx="7">
                  <c:v>0.495421693883566</c:v>
                </c:pt>
                <c:pt idx="8">
                  <c:v>0.408819153505122</c:v>
                </c:pt>
                <c:pt idx="9">
                  <c:v>0.312044959956735</c:v>
                </c:pt>
                <c:pt idx="10">
                  <c:v>0.398647500335179</c:v>
                </c:pt>
                <c:pt idx="11">
                  <c:v>0.312044959956735</c:v>
                </c:pt>
                <c:pt idx="12">
                  <c:v>0.215270766408348</c:v>
                </c:pt>
                <c:pt idx="13">
                  <c:v>0.301873306786792</c:v>
                </c:pt>
                <c:pt idx="14">
                  <c:v>0.215270766408348</c:v>
                </c:pt>
                <c:pt idx="15">
                  <c:v>0.215270766408348</c:v>
                </c:pt>
                <c:pt idx="16">
                  <c:v>0.301873306786792</c:v>
                </c:pt>
                <c:pt idx="17">
                  <c:v>0.215270766408348</c:v>
                </c:pt>
                <c:pt idx="18">
                  <c:v>0.215270766408348</c:v>
                </c:pt>
                <c:pt idx="19">
                  <c:v>0.301873306786792</c:v>
                </c:pt>
                <c:pt idx="20">
                  <c:v>0.215270766408348</c:v>
                </c:pt>
              </c:numCache>
            </c:numRef>
          </c:xVal>
          <c:yVal>
            <c:numRef>
              <c:f>plot!$Z$9:$Z$29</c:f>
              <c:numCache>
                <c:formatCode>General</c:formatCode>
                <c:ptCount val="21"/>
                <c:pt idx="0">
                  <c:v>-0.411347109315823</c:v>
                </c:pt>
                <c:pt idx="1">
                  <c:v>-0.436347109315823</c:v>
                </c:pt>
                <c:pt idx="2">
                  <c:v>-0.411347109315823</c:v>
                </c:pt>
                <c:pt idx="3">
                  <c:v>-0.495156019359478</c:v>
                </c:pt>
                <c:pt idx="4">
                  <c:v>-0.520156019359478</c:v>
                </c:pt>
                <c:pt idx="5">
                  <c:v>-0.495156019359478</c:v>
                </c:pt>
                <c:pt idx="6">
                  <c:v>-0.578964929403133</c:v>
                </c:pt>
                <c:pt idx="7">
                  <c:v>-0.603964929403133</c:v>
                </c:pt>
                <c:pt idx="8">
                  <c:v>-0.578964929403133</c:v>
                </c:pt>
                <c:pt idx="9">
                  <c:v>-0.662773839446788</c:v>
                </c:pt>
                <c:pt idx="10">
                  <c:v>-0.687773839446788</c:v>
                </c:pt>
                <c:pt idx="11">
                  <c:v>-0.662773839446788</c:v>
                </c:pt>
                <c:pt idx="12">
                  <c:v>-0.746582749490444</c:v>
                </c:pt>
                <c:pt idx="13">
                  <c:v>-0.771582749490444</c:v>
                </c:pt>
                <c:pt idx="14">
                  <c:v>-0.746582749490444</c:v>
                </c:pt>
                <c:pt idx="15">
                  <c:v>-0.746582749490444</c:v>
                </c:pt>
                <c:pt idx="16">
                  <c:v>-0.771582749490444</c:v>
                </c:pt>
                <c:pt idx="17">
                  <c:v>-0.746582749490444</c:v>
                </c:pt>
                <c:pt idx="18">
                  <c:v>-0.746582749490444</c:v>
                </c:pt>
                <c:pt idx="19">
                  <c:v>-0.771582749490444</c:v>
                </c:pt>
                <c:pt idx="20">
                  <c:v>-0.746582749490444</c:v>
                </c:pt>
              </c:numCache>
            </c:numRef>
          </c:yVal>
          <c:smooth val="0"/>
        </c:ser>
        <c:ser>
          <c:idx val="3"/>
          <c:order val="2"/>
          <c:tx>
            <c:v>cut_plane_x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6411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plot!$M$33:$M$189</c:f>
              <c:numCache>
                <c:formatCode>General</c:formatCode>
                <c:ptCount val="157"/>
                <c:pt idx="0">
                  <c:v>-0.183012701892219</c:v>
                </c:pt>
                <c:pt idx="1">
                  <c:v>-0.155076398544334</c:v>
                </c:pt>
                <c:pt idx="2">
                  <c:v>-0.127140095196449</c:v>
                </c:pt>
                <c:pt idx="3">
                  <c:v>-0.0992037918485639</c:v>
                </c:pt>
                <c:pt idx="4">
                  <c:v>-0.0712674885006788</c:v>
                </c:pt>
                <c:pt idx="5">
                  <c:v>-0.0433311851527938</c:v>
                </c:pt>
                <c:pt idx="6">
                  <c:v>-0.0153948818049086</c:v>
                </c:pt>
                <c:pt idx="7">
                  <c:v>0.0125414215429765</c:v>
                </c:pt>
                <c:pt idx="8">
                  <c:v>0.0404777248908616</c:v>
                </c:pt>
                <c:pt idx="9">
                  <c:v>0.0684140282387467</c:v>
                </c:pt>
                <c:pt idx="10">
                  <c:v>0.0963503315866318</c:v>
                </c:pt>
                <c:pt idx="11">
                  <c:v>0.124286634934517</c:v>
                </c:pt>
                <c:pt idx="12">
                  <c:v>0.152222938282402</c:v>
                </c:pt>
                <c:pt idx="13">
                  <c:v>0.180159241630287</c:v>
                </c:pt>
                <c:pt idx="14">
                  <c:v>0.208095544978172</c:v>
                </c:pt>
                <c:pt idx="15">
                  <c:v>0.236031848326057</c:v>
                </c:pt>
                <c:pt idx="16">
                  <c:v>0.263968151673943</c:v>
                </c:pt>
                <c:pt idx="17">
                  <c:v>0.291904455021828</c:v>
                </c:pt>
                <c:pt idx="18">
                  <c:v>0.319840758369713</c:v>
                </c:pt>
                <c:pt idx="19">
                  <c:v>0.347777061717598</c:v>
                </c:pt>
                <c:pt idx="20">
                  <c:v>0.375713365065483</c:v>
                </c:pt>
                <c:pt idx="21">
                  <c:v>0.403649668413368</c:v>
                </c:pt>
                <c:pt idx="22">
                  <c:v>0.431585971761253</c:v>
                </c:pt>
                <c:pt idx="23">
                  <c:v>0.459522275109138</c:v>
                </c:pt>
                <c:pt idx="24">
                  <c:v>0.487458578457023</c:v>
                </c:pt>
                <c:pt idx="25">
                  <c:v>0.515394881804909</c:v>
                </c:pt>
                <c:pt idx="26">
                  <c:v>0.543331185152794</c:v>
                </c:pt>
                <c:pt idx="27">
                  <c:v>0.571267488500679</c:v>
                </c:pt>
                <c:pt idx="28">
                  <c:v>0.599203791848564</c:v>
                </c:pt>
                <c:pt idx="29">
                  <c:v>0.627140095196449</c:v>
                </c:pt>
                <c:pt idx="30">
                  <c:v>0.655076398544334</c:v>
                </c:pt>
                <c:pt idx="31">
                  <c:v>0.683012701892219</c:v>
                </c:pt>
                <c:pt idx="32">
                  <c:v>-0.183012701892219</c:v>
                </c:pt>
                <c:pt idx="33">
                  <c:v>-0.155076398544334</c:v>
                </c:pt>
                <c:pt idx="34">
                  <c:v>-0.127140095196449</c:v>
                </c:pt>
                <c:pt idx="35">
                  <c:v>-0.0992037918485639</c:v>
                </c:pt>
                <c:pt idx="36">
                  <c:v>-0.0712674885006788</c:v>
                </c:pt>
                <c:pt idx="37">
                  <c:v>-0.0433311851527938</c:v>
                </c:pt>
                <c:pt idx="38">
                  <c:v>-0.0153948818049086</c:v>
                </c:pt>
                <c:pt idx="39">
                  <c:v>0.0125414215429765</c:v>
                </c:pt>
                <c:pt idx="40">
                  <c:v>0.0404777248908616</c:v>
                </c:pt>
                <c:pt idx="41">
                  <c:v>0.0684140282387467</c:v>
                </c:pt>
                <c:pt idx="42">
                  <c:v>0.0963503315866318</c:v>
                </c:pt>
                <c:pt idx="43">
                  <c:v>0.124286634934517</c:v>
                </c:pt>
                <c:pt idx="44">
                  <c:v>0.152222938282402</c:v>
                </c:pt>
                <c:pt idx="45">
                  <c:v>0.180159241630287</c:v>
                </c:pt>
                <c:pt idx="46">
                  <c:v>0.208095544978172</c:v>
                </c:pt>
                <c:pt idx="47">
                  <c:v>0.236031848326057</c:v>
                </c:pt>
                <c:pt idx="48">
                  <c:v>0.263968151673943</c:v>
                </c:pt>
                <c:pt idx="49">
                  <c:v>0.291904455021828</c:v>
                </c:pt>
                <c:pt idx="50">
                  <c:v>0.319840758369713</c:v>
                </c:pt>
                <c:pt idx="51">
                  <c:v>0.347777061717598</c:v>
                </c:pt>
                <c:pt idx="52">
                  <c:v>0.375713365065483</c:v>
                </c:pt>
                <c:pt idx="53">
                  <c:v>0.403649668413368</c:v>
                </c:pt>
                <c:pt idx="54">
                  <c:v>0.431585971761253</c:v>
                </c:pt>
                <c:pt idx="55">
                  <c:v>0.459522275109138</c:v>
                </c:pt>
                <c:pt idx="56">
                  <c:v>0.487458578457023</c:v>
                </c:pt>
                <c:pt idx="57">
                  <c:v>0.515394881804909</c:v>
                </c:pt>
                <c:pt idx="58">
                  <c:v>0.543331185152794</c:v>
                </c:pt>
                <c:pt idx="59">
                  <c:v>0.571267488500679</c:v>
                </c:pt>
                <c:pt idx="60">
                  <c:v>0.599203791848564</c:v>
                </c:pt>
                <c:pt idx="61">
                  <c:v>0.627140095196449</c:v>
                </c:pt>
                <c:pt idx="62">
                  <c:v>0.655076398544334</c:v>
                </c:pt>
                <c:pt idx="63">
                  <c:v>0.683012701892219</c:v>
                </c:pt>
                <c:pt idx="64">
                  <c:v>-0.183012701892219</c:v>
                </c:pt>
                <c:pt idx="65">
                  <c:v>-0.155076398544334</c:v>
                </c:pt>
                <c:pt idx="66">
                  <c:v>-0.127140095196449</c:v>
                </c:pt>
                <c:pt idx="67">
                  <c:v>-0.0992037918485639</c:v>
                </c:pt>
                <c:pt idx="68">
                  <c:v>-0.0712674885006788</c:v>
                </c:pt>
                <c:pt idx="69">
                  <c:v>-0.0433311851527938</c:v>
                </c:pt>
                <c:pt idx="70">
                  <c:v>-0.0153948818049086</c:v>
                </c:pt>
                <c:pt idx="71">
                  <c:v>0.0125414215429765</c:v>
                </c:pt>
                <c:pt idx="72">
                  <c:v>0.0404777248908616</c:v>
                </c:pt>
                <c:pt idx="73">
                  <c:v>0.0684140282387468</c:v>
                </c:pt>
                <c:pt idx="74">
                  <c:v>0.0963503315866319</c:v>
                </c:pt>
                <c:pt idx="75">
                  <c:v>0.124286634934517</c:v>
                </c:pt>
                <c:pt idx="76">
                  <c:v>0.152222938282402</c:v>
                </c:pt>
                <c:pt idx="77">
                  <c:v>0.180159241630287</c:v>
                </c:pt>
                <c:pt idx="78">
                  <c:v>0.208095544978172</c:v>
                </c:pt>
                <c:pt idx="79">
                  <c:v>0.236031848326057</c:v>
                </c:pt>
                <c:pt idx="80">
                  <c:v>0.263968151673943</c:v>
                </c:pt>
                <c:pt idx="81">
                  <c:v>0.291904455021828</c:v>
                </c:pt>
                <c:pt idx="82">
                  <c:v>0.319840758369713</c:v>
                </c:pt>
                <c:pt idx="83">
                  <c:v>0.347777061717598</c:v>
                </c:pt>
                <c:pt idx="84">
                  <c:v>0.375713365065483</c:v>
                </c:pt>
                <c:pt idx="85">
                  <c:v>0.403649668413368</c:v>
                </c:pt>
                <c:pt idx="86">
                  <c:v>0.431585971761253</c:v>
                </c:pt>
                <c:pt idx="87">
                  <c:v>0.459522275109138</c:v>
                </c:pt>
                <c:pt idx="88">
                  <c:v>0.487458578457023</c:v>
                </c:pt>
                <c:pt idx="89">
                  <c:v>0.515394881804909</c:v>
                </c:pt>
                <c:pt idx="90">
                  <c:v>0.543331185152794</c:v>
                </c:pt>
                <c:pt idx="91">
                  <c:v>0.571267488500679</c:v>
                </c:pt>
                <c:pt idx="92">
                  <c:v>0.599203791848564</c:v>
                </c:pt>
                <c:pt idx="93">
                  <c:v>0.627140095196449</c:v>
                </c:pt>
                <c:pt idx="94">
                  <c:v>0.655076398544334</c:v>
                </c:pt>
                <c:pt idx="95">
                  <c:v>0.683012701892219</c:v>
                </c:pt>
                <c:pt idx="96">
                  <c:v>-0.183012701892219</c:v>
                </c:pt>
                <c:pt idx="97">
                  <c:v>-0.155076398544334</c:v>
                </c:pt>
                <c:pt idx="98">
                  <c:v>-0.127140095196449</c:v>
                </c:pt>
                <c:pt idx="99">
                  <c:v>-0.0992037918485639</c:v>
                </c:pt>
                <c:pt idx="100">
                  <c:v>-0.0712674885006788</c:v>
                </c:pt>
                <c:pt idx="101">
                  <c:v>-0.0433311851527938</c:v>
                </c:pt>
                <c:pt idx="102">
                  <c:v>-0.0153948818049086</c:v>
                </c:pt>
                <c:pt idx="103">
                  <c:v>0.0125414215429765</c:v>
                </c:pt>
                <c:pt idx="104">
                  <c:v>0.0404777248908616</c:v>
                </c:pt>
                <c:pt idx="105">
                  <c:v>0.0684140282387468</c:v>
                </c:pt>
                <c:pt idx="106">
                  <c:v>0.0963503315866319</c:v>
                </c:pt>
                <c:pt idx="107">
                  <c:v>0.124286634934517</c:v>
                </c:pt>
                <c:pt idx="108">
                  <c:v>0.152222938282402</c:v>
                </c:pt>
                <c:pt idx="109">
                  <c:v>0.180159241630287</c:v>
                </c:pt>
                <c:pt idx="110">
                  <c:v>0.208095544978172</c:v>
                </c:pt>
                <c:pt idx="111">
                  <c:v>0.236031848326057</c:v>
                </c:pt>
                <c:pt idx="112">
                  <c:v>0.263968151673943</c:v>
                </c:pt>
                <c:pt idx="113">
                  <c:v>0.291904455021828</c:v>
                </c:pt>
                <c:pt idx="114">
                  <c:v>0.319840758369713</c:v>
                </c:pt>
                <c:pt idx="115">
                  <c:v>0.347777061717598</c:v>
                </c:pt>
                <c:pt idx="116">
                  <c:v>0.375713365065483</c:v>
                </c:pt>
                <c:pt idx="117">
                  <c:v>0.403649668413368</c:v>
                </c:pt>
                <c:pt idx="118">
                  <c:v>0.431585971761253</c:v>
                </c:pt>
                <c:pt idx="119">
                  <c:v>0.459522275109138</c:v>
                </c:pt>
                <c:pt idx="120">
                  <c:v>0.487458578457024</c:v>
                </c:pt>
                <c:pt idx="121">
                  <c:v>0.515394881804909</c:v>
                </c:pt>
                <c:pt idx="122">
                  <c:v>0.543331185152794</c:v>
                </c:pt>
                <c:pt idx="123">
                  <c:v>0.571267488500679</c:v>
                </c:pt>
                <c:pt idx="124">
                  <c:v>0.599203791848564</c:v>
                </c:pt>
                <c:pt idx="125">
                  <c:v>0.627140095196449</c:v>
                </c:pt>
                <c:pt idx="126">
                  <c:v>0.655076398544334</c:v>
                </c:pt>
                <c:pt idx="127">
                  <c:v>0.683012701892219</c:v>
                </c:pt>
                <c:pt idx="128">
                  <c:v>-0.183012701892219</c:v>
                </c:pt>
                <c:pt idx="129">
                  <c:v>-0.155076398544334</c:v>
                </c:pt>
                <c:pt idx="130">
                  <c:v>-0.127140095196449</c:v>
                </c:pt>
                <c:pt idx="131">
                  <c:v>-0.0992037918485639</c:v>
                </c:pt>
                <c:pt idx="132">
                  <c:v>-0.0712674885006788</c:v>
                </c:pt>
                <c:pt idx="133">
                  <c:v>-0.0433311851527937</c:v>
                </c:pt>
                <c:pt idx="134">
                  <c:v>-0.0153948818049086</c:v>
                </c:pt>
                <c:pt idx="135">
                  <c:v>0.0125414215429765</c:v>
                </c:pt>
                <c:pt idx="136">
                  <c:v>0.0404777248908617</c:v>
                </c:pt>
                <c:pt idx="137">
                  <c:v>0.0684140282387468</c:v>
                </c:pt>
                <c:pt idx="138">
                  <c:v>0.0963503315866319</c:v>
                </c:pt>
                <c:pt idx="139">
                  <c:v>0.124286634934517</c:v>
                </c:pt>
                <c:pt idx="140">
                  <c:v>0.152222938282402</c:v>
                </c:pt>
                <c:pt idx="141">
                  <c:v>0.180159241630287</c:v>
                </c:pt>
                <c:pt idx="142">
                  <c:v>0.208095544978172</c:v>
                </c:pt>
                <c:pt idx="143">
                  <c:v>0.236031848326058</c:v>
                </c:pt>
                <c:pt idx="144">
                  <c:v>0.263968151673943</c:v>
                </c:pt>
                <c:pt idx="145">
                  <c:v>0.291904455021828</c:v>
                </c:pt>
                <c:pt idx="146">
                  <c:v>0.319840758369713</c:v>
                </c:pt>
                <c:pt idx="147">
                  <c:v>0.347777061717598</c:v>
                </c:pt>
                <c:pt idx="148">
                  <c:v>-0.183012701892219</c:v>
                </c:pt>
                <c:pt idx="149">
                  <c:v>-0.155076398544334</c:v>
                </c:pt>
                <c:pt idx="150">
                  <c:v>-0.127140095196449</c:v>
                </c:pt>
                <c:pt idx="151">
                  <c:v>-0.0992037918485639</c:v>
                </c:pt>
                <c:pt idx="152">
                  <c:v>-0.0712674885006788</c:v>
                </c:pt>
                <c:pt idx="153">
                  <c:v>-0.0433311851527937</c:v>
                </c:pt>
                <c:pt idx="154">
                  <c:v>-0.0153948818049085</c:v>
                </c:pt>
                <c:pt idx="155">
                  <c:v>0.0125414215429766</c:v>
                </c:pt>
                <c:pt idx="156">
                  <c:v>0.0404777248908617</c:v>
                </c:pt>
              </c:numCache>
            </c:numRef>
          </c:xVal>
          <c:yVal>
            <c:numRef>
              <c:f>plot!$N$33:$N$189</c:f>
              <c:numCache>
                <c:formatCode>General</c:formatCode>
                <c:ptCount val="157"/>
                <c:pt idx="0">
                  <c:v>0.0298327084181567</c:v>
                </c:pt>
                <c:pt idx="1">
                  <c:v>-0.0502439209744289</c:v>
                </c:pt>
                <c:pt idx="2">
                  <c:v>-0.0793628230469911</c:v>
                </c:pt>
                <c:pt idx="3">
                  <c:v>-0.101191555431126</c:v>
                </c:pt>
                <c:pt idx="4">
                  <c:v>-0.112559073254608</c:v>
                </c:pt>
                <c:pt idx="5">
                  <c:v>-0.122647938888745</c:v>
                </c:pt>
                <c:pt idx="6">
                  <c:v>-0.132443590394513</c:v>
                </c:pt>
                <c:pt idx="7">
                  <c:v>-0.144651718172738</c:v>
                </c:pt>
                <c:pt idx="8">
                  <c:v>-0.152920081954184</c:v>
                </c:pt>
                <c:pt idx="9">
                  <c:v>-0.158577877262957</c:v>
                </c:pt>
                <c:pt idx="10">
                  <c:v>-0.164449042881418</c:v>
                </c:pt>
                <c:pt idx="11">
                  <c:v>-0.170619701303374</c:v>
                </c:pt>
                <c:pt idx="12">
                  <c:v>-0.175354949947015</c:v>
                </c:pt>
                <c:pt idx="13">
                  <c:v>-0.180591236865684</c:v>
                </c:pt>
                <c:pt idx="14">
                  <c:v>-0.184692653255387</c:v>
                </c:pt>
                <c:pt idx="15">
                  <c:v>-0.187529858408534</c:v>
                </c:pt>
                <c:pt idx="16">
                  <c:v>-0.19098436197112</c:v>
                </c:pt>
                <c:pt idx="17">
                  <c:v>-0.194145337471582</c:v>
                </c:pt>
                <c:pt idx="18">
                  <c:v>-0.197169751788059</c:v>
                </c:pt>
                <c:pt idx="19">
                  <c:v>-0.203151108154976</c:v>
                </c:pt>
                <c:pt idx="20">
                  <c:v>-0.205873622842494</c:v>
                </c:pt>
                <c:pt idx="21">
                  <c:v>-0.209558030559266</c:v>
                </c:pt>
                <c:pt idx="22">
                  <c:v>-0.213155687914718</c:v>
                </c:pt>
                <c:pt idx="23">
                  <c:v>-0.215499703136743</c:v>
                </c:pt>
                <c:pt idx="24">
                  <c:v>-0.215222371493796</c:v>
                </c:pt>
                <c:pt idx="25">
                  <c:v>-0.222100427313246</c:v>
                </c:pt>
                <c:pt idx="26">
                  <c:v>-0.225209499099335</c:v>
                </c:pt>
                <c:pt idx="27">
                  <c:v>-0.230731047157881</c:v>
                </c:pt>
                <c:pt idx="28">
                  <c:v>-0.230985414653494</c:v>
                </c:pt>
                <c:pt idx="29">
                  <c:v>-0.232434090802596</c:v>
                </c:pt>
                <c:pt idx="30">
                  <c:v>-0.234772141283252</c:v>
                </c:pt>
                <c:pt idx="31">
                  <c:v>-0.242275553145219</c:v>
                </c:pt>
                <c:pt idx="32">
                  <c:v>-0.0598838036756197</c:v>
                </c:pt>
                <c:pt idx="33">
                  <c:v>-0.0946181434914197</c:v>
                </c:pt>
                <c:pt idx="34">
                  <c:v>-0.107635383204174</c:v>
                </c:pt>
                <c:pt idx="35">
                  <c:v>-0.114061269769989</c:v>
                </c:pt>
                <c:pt idx="36">
                  <c:v>-0.118641225848854</c:v>
                </c:pt>
                <c:pt idx="37">
                  <c:v>-0.12228984511741</c:v>
                </c:pt>
                <c:pt idx="38">
                  <c:v>-0.124140775052898</c:v>
                </c:pt>
                <c:pt idx="39">
                  <c:v>-0.123016345490911</c:v>
                </c:pt>
                <c:pt idx="40">
                  <c:v>-0.121574842835078</c:v>
                </c:pt>
                <c:pt idx="41">
                  <c:v>-0.122514213786902</c:v>
                </c:pt>
                <c:pt idx="42">
                  <c:v>-0.120925266910201</c:v>
                </c:pt>
                <c:pt idx="43">
                  <c:v>-0.118343556851544</c:v>
                </c:pt>
                <c:pt idx="44">
                  <c:v>-0.117329422682598</c:v>
                </c:pt>
                <c:pt idx="45">
                  <c:v>-0.117895840331957</c:v>
                </c:pt>
                <c:pt idx="46">
                  <c:v>-0.111586690140355</c:v>
                </c:pt>
                <c:pt idx="47">
                  <c:v>-0.1133697057399</c:v>
                </c:pt>
                <c:pt idx="48">
                  <c:v>-0.119323645225434</c:v>
                </c:pt>
                <c:pt idx="49">
                  <c:v>-0.125622807198296</c:v>
                </c:pt>
                <c:pt idx="50">
                  <c:v>-0.132248564922279</c:v>
                </c:pt>
                <c:pt idx="51">
                  <c:v>-0.138399131583833</c:v>
                </c:pt>
                <c:pt idx="52">
                  <c:v>-0.145361321649966</c:v>
                </c:pt>
                <c:pt idx="53">
                  <c:v>-0.15139332599623</c:v>
                </c:pt>
                <c:pt idx="54">
                  <c:v>-0.157575181388827</c:v>
                </c:pt>
                <c:pt idx="55">
                  <c:v>-0.16345890435754</c:v>
                </c:pt>
                <c:pt idx="56">
                  <c:v>-0.169256086254104</c:v>
                </c:pt>
                <c:pt idx="57">
                  <c:v>-0.17526172016484</c:v>
                </c:pt>
                <c:pt idx="58">
                  <c:v>-0.181474968933065</c:v>
                </c:pt>
                <c:pt idx="59">
                  <c:v>-0.186812028587502</c:v>
                </c:pt>
                <c:pt idx="60">
                  <c:v>-0.192575096349216</c:v>
                </c:pt>
                <c:pt idx="61">
                  <c:v>-0.197760316710196</c:v>
                </c:pt>
                <c:pt idx="62">
                  <c:v>-0.204048595646174</c:v>
                </c:pt>
                <c:pt idx="63">
                  <c:v>-0.209997512191608</c:v>
                </c:pt>
                <c:pt idx="64">
                  <c:v>-0.0865534180732166</c:v>
                </c:pt>
                <c:pt idx="65">
                  <c:v>-0.0979302492648016</c:v>
                </c:pt>
                <c:pt idx="66">
                  <c:v>-0.098151235137663</c:v>
                </c:pt>
                <c:pt idx="67">
                  <c:v>-0.0907759659097196</c:v>
                </c:pt>
                <c:pt idx="68">
                  <c:v>-0.0821960282143291</c:v>
                </c:pt>
                <c:pt idx="69">
                  <c:v>-0.0703212511021522</c:v>
                </c:pt>
                <c:pt idx="70">
                  <c:v>-0.0614294725421862</c:v>
                </c:pt>
                <c:pt idx="71">
                  <c:v>-0.0488420658032446</c:v>
                </c:pt>
                <c:pt idx="72">
                  <c:v>-0.0530807758890288</c:v>
                </c:pt>
                <c:pt idx="73">
                  <c:v>-0.0577866194041637</c:v>
                </c:pt>
                <c:pt idx="74">
                  <c:v>-0.0627016474455692</c:v>
                </c:pt>
                <c:pt idx="75">
                  <c:v>-0.0667918668646311</c:v>
                </c:pt>
                <c:pt idx="76">
                  <c:v>-0.0701744795970288</c:v>
                </c:pt>
                <c:pt idx="77">
                  <c:v>-0.0739703337972817</c:v>
                </c:pt>
                <c:pt idx="78">
                  <c:v>-0.0768446877782556</c:v>
                </c:pt>
                <c:pt idx="79">
                  <c:v>-0.0810546206030471</c:v>
                </c:pt>
                <c:pt idx="80">
                  <c:v>-0.0834444701534893</c:v>
                </c:pt>
                <c:pt idx="81">
                  <c:v>-0.0855404777080497</c:v>
                </c:pt>
                <c:pt idx="82">
                  <c:v>-0.0881713237387326</c:v>
                </c:pt>
                <c:pt idx="83">
                  <c:v>-0.090783229099453</c:v>
                </c:pt>
                <c:pt idx="84">
                  <c:v>-0.0942214081067129</c:v>
                </c:pt>
                <c:pt idx="85">
                  <c:v>-0.0960121674055797</c:v>
                </c:pt>
                <c:pt idx="86">
                  <c:v>-0.0979866825964582</c:v>
                </c:pt>
                <c:pt idx="87">
                  <c:v>-0.0984538971788315</c:v>
                </c:pt>
                <c:pt idx="88">
                  <c:v>-0.0995079585962852</c:v>
                </c:pt>
                <c:pt idx="89">
                  <c:v>-0.10123833796936</c:v>
                </c:pt>
                <c:pt idx="90">
                  <c:v>-0.101802244148669</c:v>
                </c:pt>
                <c:pt idx="91">
                  <c:v>-0.102151838217021</c:v>
                </c:pt>
                <c:pt idx="92">
                  <c:v>-0.10268278135192</c:v>
                </c:pt>
                <c:pt idx="93">
                  <c:v>-0.103060315524582</c:v>
                </c:pt>
                <c:pt idx="94">
                  <c:v>-0.103739644681618</c:v>
                </c:pt>
                <c:pt idx="95">
                  <c:v>-0.104156943796742</c:v>
                </c:pt>
                <c:pt idx="96">
                  <c:v>-0.0898357001397515</c:v>
                </c:pt>
                <c:pt idx="97">
                  <c:v>-0.0745717988393178</c:v>
                </c:pt>
                <c:pt idx="98">
                  <c:v>-0.0460921235560099</c:v>
                </c:pt>
                <c:pt idx="99">
                  <c:v>-0.0165394226937232</c:v>
                </c:pt>
                <c:pt idx="100">
                  <c:v>-0.0173828345607103</c:v>
                </c:pt>
                <c:pt idx="101">
                  <c:v>-0.0182706157319188</c:v>
                </c:pt>
                <c:pt idx="102">
                  <c:v>-0.0174648289325605</c:v>
                </c:pt>
                <c:pt idx="103">
                  <c:v>-0.0164416953292681</c:v>
                </c:pt>
                <c:pt idx="104">
                  <c:v>-0.013068558271019</c:v>
                </c:pt>
                <c:pt idx="105">
                  <c:v>-0.0104755465971357</c:v>
                </c:pt>
                <c:pt idx="106">
                  <c:v>-0.00722536692676445</c:v>
                </c:pt>
                <c:pt idx="107">
                  <c:v>-0.0014819253639855</c:v>
                </c:pt>
                <c:pt idx="108">
                  <c:v>0.00372175942715575</c:v>
                </c:pt>
                <c:pt idx="109">
                  <c:v>0.0107002163871561</c:v>
                </c:pt>
                <c:pt idx="110">
                  <c:v>0.0178319776648085</c:v>
                </c:pt>
                <c:pt idx="111">
                  <c:v>0.0247748554657632</c:v>
                </c:pt>
                <c:pt idx="112">
                  <c:v>0.0333686062464303</c:v>
                </c:pt>
                <c:pt idx="113">
                  <c:v>0.045147005695428</c:v>
                </c:pt>
                <c:pt idx="114">
                  <c:v>0.0523030445168996</c:v>
                </c:pt>
                <c:pt idx="115">
                  <c:v>0.0651439004417478</c:v>
                </c:pt>
                <c:pt idx="116">
                  <c:v>0.0807011205151364</c:v>
                </c:pt>
                <c:pt idx="117">
                  <c:v>0.091403041113836</c:v>
                </c:pt>
                <c:pt idx="118">
                  <c:v>0.10737601412513</c:v>
                </c:pt>
                <c:pt idx="119">
                  <c:v>0.118868315277568</c:v>
                </c:pt>
                <c:pt idx="120">
                  <c:v>0.135989867258519</c:v>
                </c:pt>
                <c:pt idx="121">
                  <c:v>0.150615122654086</c:v>
                </c:pt>
                <c:pt idx="122">
                  <c:v>0.164326412240524</c:v>
                </c:pt>
                <c:pt idx="123">
                  <c:v>0.185933345086677</c:v>
                </c:pt>
                <c:pt idx="124">
                  <c:v>0.204522746667427</c:v>
                </c:pt>
                <c:pt idx="125">
                  <c:v>0.220230864233003</c:v>
                </c:pt>
                <c:pt idx="126">
                  <c:v>0.24099771034734</c:v>
                </c:pt>
                <c:pt idx="127">
                  <c:v>0.262717240767413</c:v>
                </c:pt>
                <c:pt idx="128">
                  <c:v>-0.0665674533469067</c:v>
                </c:pt>
                <c:pt idx="129">
                  <c:v>-0.000452352914415255</c:v>
                </c:pt>
                <c:pt idx="130">
                  <c:v>0.00586830818158451</c:v>
                </c:pt>
                <c:pt idx="131">
                  <c:v>0.0158275661575016</c:v>
                </c:pt>
                <c:pt idx="132">
                  <c:v>0.0297761896636909</c:v>
                </c:pt>
                <c:pt idx="133">
                  <c:v>0.0468839285593662</c:v>
                </c:pt>
                <c:pt idx="134">
                  <c:v>0.0673151794882349</c:v>
                </c:pt>
                <c:pt idx="135">
                  <c:v>0.0895353296049957</c:v>
                </c:pt>
                <c:pt idx="136">
                  <c:v>0.117510199408199</c:v>
                </c:pt>
                <c:pt idx="137">
                  <c:v>0.145632827366026</c:v>
                </c:pt>
                <c:pt idx="138">
                  <c:v>0.180131449913983</c:v>
                </c:pt>
                <c:pt idx="139">
                  <c:v>0.216176614789979</c:v>
                </c:pt>
                <c:pt idx="140">
                  <c:v>0.255518711974471</c:v>
                </c:pt>
                <c:pt idx="141">
                  <c:v>0.298931797465868</c:v>
                </c:pt>
                <c:pt idx="142">
                  <c:v>0.34119808294556</c:v>
                </c:pt>
                <c:pt idx="143">
                  <c:v>0.391737987927532</c:v>
                </c:pt>
                <c:pt idx="144">
                  <c:v>0.444956794296461</c:v>
                </c:pt>
                <c:pt idx="145">
                  <c:v>0.501389968395982</c:v>
                </c:pt>
                <c:pt idx="146">
                  <c:v>0.560316718321667</c:v>
                </c:pt>
                <c:pt idx="147">
                  <c:v>0.621293246386716</c:v>
                </c:pt>
                <c:pt idx="148">
                  <c:v>0.00761174463627528</c:v>
                </c:pt>
                <c:pt idx="149">
                  <c:v>0.0319908171950012</c:v>
                </c:pt>
                <c:pt idx="150">
                  <c:v>0.0710688960904578</c:v>
                </c:pt>
                <c:pt idx="151">
                  <c:v>0.12174086253924</c:v>
                </c:pt>
                <c:pt idx="152">
                  <c:v>0.186209171130851</c:v>
                </c:pt>
                <c:pt idx="153">
                  <c:v>0.264208966419572</c:v>
                </c:pt>
                <c:pt idx="154">
                  <c:v>0.355564654791055</c:v>
                </c:pt>
                <c:pt idx="155">
                  <c:v>0.456453569539616</c:v>
                </c:pt>
                <c:pt idx="156">
                  <c:v>0.573899664528352</c:v>
                </c:pt>
              </c:numCache>
            </c:numRef>
          </c:yVal>
          <c:smooth val="0"/>
        </c:ser>
        <c:ser>
          <c:idx val="4"/>
          <c:order val="3"/>
          <c:tx>
            <c:v>projxframe</c:v>
          </c:tx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plot!$M$24:$M$28</c:f>
              <c:numCache>
                <c:formatCode>General</c:formatCode>
                <c:ptCount val="5"/>
                <c:pt idx="0">
                  <c:v>-0.183012701892219</c:v>
                </c:pt>
                <c:pt idx="1">
                  <c:v>0.683012701892219</c:v>
                </c:pt>
                <c:pt idx="2">
                  <c:v>0.683012701892219</c:v>
                </c:pt>
                <c:pt idx="3">
                  <c:v>-0.183012701892219</c:v>
                </c:pt>
                <c:pt idx="4">
                  <c:v>-0.183012701892219</c:v>
                </c:pt>
              </c:numCache>
            </c:numRef>
          </c:xVal>
          <c:yVal>
            <c:numRef>
              <c:f>plot!$N$24:$N$28</c:f>
              <c:numCache>
                <c:formatCode>General</c:formatCode>
                <c:ptCount val="5"/>
                <c:pt idx="0">
                  <c:v>-0.0915063509461097</c:v>
                </c:pt>
                <c:pt idx="1">
                  <c:v>-0.34150635094611</c:v>
                </c:pt>
                <c:pt idx="2">
                  <c:v>0.524519052838329</c:v>
                </c:pt>
                <c:pt idx="3">
                  <c:v>0.774519052838329</c:v>
                </c:pt>
                <c:pt idx="4">
                  <c:v>-0.0915063509461097</c:v>
                </c:pt>
              </c:numCache>
            </c:numRef>
          </c:yVal>
          <c:smooth val="0"/>
        </c:ser>
        <c:ser>
          <c:idx val="5"/>
          <c:order val="4"/>
          <c:tx>
            <c:v>projyframe</c:v>
          </c:tx>
          <c:spPr>
            <a:ln w="254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plot!$O$24:$O$28</c:f>
              <c:numCache>
                <c:formatCode>General</c:formatCode>
                <c:ptCount val="5"/>
                <c:pt idx="0">
                  <c:v>-0.183012701892219</c:v>
                </c:pt>
                <c:pt idx="1">
                  <c:v>-0.683012701892219</c:v>
                </c:pt>
                <c:pt idx="2">
                  <c:v>-0.683012701892219</c:v>
                </c:pt>
                <c:pt idx="3">
                  <c:v>-0.183012701892219</c:v>
                </c:pt>
                <c:pt idx="4">
                  <c:v>-0.183012701892219</c:v>
                </c:pt>
              </c:numCache>
            </c:numRef>
          </c:xVal>
          <c:yVal>
            <c:numRef>
              <c:f>plot!$P$24:$P$28</c:f>
              <c:numCache>
                <c:formatCode>General</c:formatCode>
                <c:ptCount val="5"/>
                <c:pt idx="0">
                  <c:v>-0.0915063509461097</c:v>
                </c:pt>
                <c:pt idx="1">
                  <c:v>-0.524519052838329</c:v>
                </c:pt>
                <c:pt idx="2">
                  <c:v>0.34150635094611</c:v>
                </c:pt>
                <c:pt idx="3">
                  <c:v>0.774519052838329</c:v>
                </c:pt>
                <c:pt idx="4">
                  <c:v>-0.0915063509461097</c:v>
                </c:pt>
              </c:numCache>
            </c:numRef>
          </c:yVal>
          <c:smooth val="0"/>
        </c:ser>
        <c:ser>
          <c:idx val="6"/>
          <c:order val="5"/>
          <c:tx>
            <c:v>projzframe</c:v>
          </c:tx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plot!$Q$24:$Q$28</c:f>
              <c:numCache>
                <c:formatCode>General</c:formatCode>
                <c:ptCount val="5"/>
                <c:pt idx="0">
                  <c:v>-0.183012701892219</c:v>
                </c:pt>
                <c:pt idx="1">
                  <c:v>-0.683012701892219</c:v>
                </c:pt>
                <c:pt idx="2">
                  <c:v>0.183012701892219</c:v>
                </c:pt>
                <c:pt idx="3">
                  <c:v>0.683012701892219</c:v>
                </c:pt>
                <c:pt idx="4">
                  <c:v>-0.183012701892219</c:v>
                </c:pt>
              </c:numCache>
            </c:numRef>
          </c:xVal>
          <c:yVal>
            <c:numRef>
              <c:f>plot!$R$24:$R$28</c:f>
              <c:numCache>
                <c:formatCode>General</c:formatCode>
                <c:ptCount val="5"/>
                <c:pt idx="0">
                  <c:v>-0.0915063509461097</c:v>
                </c:pt>
                <c:pt idx="1">
                  <c:v>-0.524519052838329</c:v>
                </c:pt>
                <c:pt idx="2">
                  <c:v>-0.774519052838329</c:v>
                </c:pt>
                <c:pt idx="3">
                  <c:v>-0.34150635094611</c:v>
                </c:pt>
                <c:pt idx="4">
                  <c:v>-0.0915063509461097</c:v>
                </c:pt>
              </c:numCache>
            </c:numRef>
          </c:yVal>
          <c:smooth val="0"/>
        </c:ser>
        <c:ser>
          <c:idx val="7"/>
          <c:order val="6"/>
          <c:tx>
            <c:v>cut_plane_y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9330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plot!$O$33:$O$189</c:f>
              <c:numCache>
                <c:formatCode>General</c:formatCode>
                <c:ptCount val="157"/>
                <c:pt idx="0">
                  <c:v>-0.183012701892219</c:v>
                </c:pt>
                <c:pt idx="1">
                  <c:v>-0.183012701892219</c:v>
                </c:pt>
                <c:pt idx="2">
                  <c:v>-0.183012701892219</c:v>
                </c:pt>
                <c:pt idx="3">
                  <c:v>-0.183012701892219</c:v>
                </c:pt>
                <c:pt idx="4">
                  <c:v>-0.183012701892219</c:v>
                </c:pt>
                <c:pt idx="5">
                  <c:v>-0.183012701892219</c:v>
                </c:pt>
                <c:pt idx="6">
                  <c:v>-0.183012701892219</c:v>
                </c:pt>
                <c:pt idx="7">
                  <c:v>-0.183012701892219</c:v>
                </c:pt>
                <c:pt idx="8">
                  <c:v>-0.183012701892219</c:v>
                </c:pt>
                <c:pt idx="9">
                  <c:v>-0.183012701892219</c:v>
                </c:pt>
                <c:pt idx="10">
                  <c:v>-0.183012701892219</c:v>
                </c:pt>
                <c:pt idx="11">
                  <c:v>-0.183012701892219</c:v>
                </c:pt>
                <c:pt idx="12">
                  <c:v>-0.183012701892219</c:v>
                </c:pt>
                <c:pt idx="13">
                  <c:v>-0.183012701892219</c:v>
                </c:pt>
                <c:pt idx="14">
                  <c:v>-0.183012701892219</c:v>
                </c:pt>
                <c:pt idx="15">
                  <c:v>-0.183012701892219</c:v>
                </c:pt>
                <c:pt idx="16">
                  <c:v>-0.183012701892219</c:v>
                </c:pt>
                <c:pt idx="17">
                  <c:v>-0.183012701892219</c:v>
                </c:pt>
                <c:pt idx="18">
                  <c:v>-0.183012701892219</c:v>
                </c:pt>
                <c:pt idx="19">
                  <c:v>-0.183012701892219</c:v>
                </c:pt>
                <c:pt idx="20">
                  <c:v>-0.183012701892219</c:v>
                </c:pt>
                <c:pt idx="21">
                  <c:v>-0.183012701892219</c:v>
                </c:pt>
                <c:pt idx="22">
                  <c:v>-0.183012701892219</c:v>
                </c:pt>
                <c:pt idx="23">
                  <c:v>-0.183012701892219</c:v>
                </c:pt>
                <c:pt idx="24">
                  <c:v>-0.183012701892219</c:v>
                </c:pt>
                <c:pt idx="25">
                  <c:v>-0.183012701892219</c:v>
                </c:pt>
                <c:pt idx="26">
                  <c:v>-0.183012701892219</c:v>
                </c:pt>
                <c:pt idx="27">
                  <c:v>-0.183012701892219</c:v>
                </c:pt>
                <c:pt idx="28">
                  <c:v>-0.183012701892219</c:v>
                </c:pt>
                <c:pt idx="29">
                  <c:v>-0.183012701892219</c:v>
                </c:pt>
                <c:pt idx="30">
                  <c:v>-0.183012701892219</c:v>
                </c:pt>
                <c:pt idx="31">
                  <c:v>-0.183012701892219</c:v>
                </c:pt>
                <c:pt idx="32">
                  <c:v>-0.199141734150284</c:v>
                </c:pt>
                <c:pt idx="33">
                  <c:v>-0.199141734150284</c:v>
                </c:pt>
                <c:pt idx="34">
                  <c:v>-0.199141734150284</c:v>
                </c:pt>
                <c:pt idx="35">
                  <c:v>-0.199141734150284</c:v>
                </c:pt>
                <c:pt idx="36">
                  <c:v>-0.199141734150284</c:v>
                </c:pt>
                <c:pt idx="37">
                  <c:v>-0.199141734150284</c:v>
                </c:pt>
                <c:pt idx="38">
                  <c:v>-0.199141734150284</c:v>
                </c:pt>
                <c:pt idx="39">
                  <c:v>-0.199141734150284</c:v>
                </c:pt>
                <c:pt idx="40">
                  <c:v>-0.199141734150284</c:v>
                </c:pt>
                <c:pt idx="41">
                  <c:v>-0.199141734150284</c:v>
                </c:pt>
                <c:pt idx="42">
                  <c:v>-0.199141734150284</c:v>
                </c:pt>
                <c:pt idx="43">
                  <c:v>-0.199141734150284</c:v>
                </c:pt>
                <c:pt idx="44">
                  <c:v>-0.199141734150284</c:v>
                </c:pt>
                <c:pt idx="45">
                  <c:v>-0.199141734150284</c:v>
                </c:pt>
                <c:pt idx="46">
                  <c:v>-0.199141734150284</c:v>
                </c:pt>
                <c:pt idx="47">
                  <c:v>-0.199141734150284</c:v>
                </c:pt>
                <c:pt idx="48">
                  <c:v>-0.199141734150284</c:v>
                </c:pt>
                <c:pt idx="49">
                  <c:v>-0.199141734150284</c:v>
                </c:pt>
                <c:pt idx="50">
                  <c:v>-0.199141734150284</c:v>
                </c:pt>
                <c:pt idx="51">
                  <c:v>-0.199141734150284</c:v>
                </c:pt>
                <c:pt idx="52">
                  <c:v>-0.199141734150284</c:v>
                </c:pt>
                <c:pt idx="53">
                  <c:v>-0.199141734150284</c:v>
                </c:pt>
                <c:pt idx="54">
                  <c:v>-0.199141734150284</c:v>
                </c:pt>
                <c:pt idx="55">
                  <c:v>-0.199141734150284</c:v>
                </c:pt>
                <c:pt idx="56">
                  <c:v>-0.199141734150284</c:v>
                </c:pt>
                <c:pt idx="57">
                  <c:v>-0.199141734150284</c:v>
                </c:pt>
                <c:pt idx="58">
                  <c:v>-0.199141734150284</c:v>
                </c:pt>
                <c:pt idx="59">
                  <c:v>-0.199141734150284</c:v>
                </c:pt>
                <c:pt idx="60">
                  <c:v>-0.199141734150284</c:v>
                </c:pt>
                <c:pt idx="61">
                  <c:v>-0.199141734150284</c:v>
                </c:pt>
                <c:pt idx="62">
                  <c:v>-0.199141734150284</c:v>
                </c:pt>
                <c:pt idx="63">
                  <c:v>-0.199141734150284</c:v>
                </c:pt>
                <c:pt idx="64">
                  <c:v>-0.231399798666413</c:v>
                </c:pt>
                <c:pt idx="65">
                  <c:v>-0.231399798666413</c:v>
                </c:pt>
                <c:pt idx="66">
                  <c:v>-0.231399798666413</c:v>
                </c:pt>
                <c:pt idx="67">
                  <c:v>-0.231399798666413</c:v>
                </c:pt>
                <c:pt idx="68">
                  <c:v>-0.231399798666413</c:v>
                </c:pt>
                <c:pt idx="69">
                  <c:v>-0.231399798666413</c:v>
                </c:pt>
                <c:pt idx="70">
                  <c:v>-0.231399798666413</c:v>
                </c:pt>
                <c:pt idx="71">
                  <c:v>-0.231399798666413</c:v>
                </c:pt>
                <c:pt idx="72">
                  <c:v>-0.231399798666413</c:v>
                </c:pt>
                <c:pt idx="73">
                  <c:v>-0.231399798666413</c:v>
                </c:pt>
                <c:pt idx="74">
                  <c:v>-0.231399798666413</c:v>
                </c:pt>
                <c:pt idx="75">
                  <c:v>-0.231399798666413</c:v>
                </c:pt>
                <c:pt idx="76">
                  <c:v>-0.231399798666413</c:v>
                </c:pt>
                <c:pt idx="77">
                  <c:v>-0.231399798666413</c:v>
                </c:pt>
                <c:pt idx="78">
                  <c:v>-0.231399798666413</c:v>
                </c:pt>
                <c:pt idx="79">
                  <c:v>-0.231399798666413</c:v>
                </c:pt>
                <c:pt idx="80">
                  <c:v>-0.231399798666413</c:v>
                </c:pt>
                <c:pt idx="81">
                  <c:v>-0.231399798666413</c:v>
                </c:pt>
                <c:pt idx="82">
                  <c:v>-0.231399798666413</c:v>
                </c:pt>
                <c:pt idx="83">
                  <c:v>-0.231399798666413</c:v>
                </c:pt>
                <c:pt idx="84">
                  <c:v>-0.231399798666413</c:v>
                </c:pt>
                <c:pt idx="85">
                  <c:v>-0.231399798666413</c:v>
                </c:pt>
                <c:pt idx="86">
                  <c:v>-0.231399798666413</c:v>
                </c:pt>
                <c:pt idx="87">
                  <c:v>-0.231399798666413</c:v>
                </c:pt>
                <c:pt idx="88">
                  <c:v>-0.231399798666413</c:v>
                </c:pt>
                <c:pt idx="89">
                  <c:v>-0.231399798666413</c:v>
                </c:pt>
                <c:pt idx="90">
                  <c:v>-0.231399798666413</c:v>
                </c:pt>
                <c:pt idx="91">
                  <c:v>-0.231399798666413</c:v>
                </c:pt>
                <c:pt idx="92">
                  <c:v>-0.231399798666413</c:v>
                </c:pt>
                <c:pt idx="93">
                  <c:v>-0.231399798666413</c:v>
                </c:pt>
                <c:pt idx="94">
                  <c:v>-0.231399798666413</c:v>
                </c:pt>
                <c:pt idx="95">
                  <c:v>-0.231399798666413</c:v>
                </c:pt>
                <c:pt idx="96">
                  <c:v>-0.295915927698671</c:v>
                </c:pt>
                <c:pt idx="97">
                  <c:v>-0.295915927698671</c:v>
                </c:pt>
                <c:pt idx="98">
                  <c:v>-0.295915927698671</c:v>
                </c:pt>
                <c:pt idx="99">
                  <c:v>-0.295915927698671</c:v>
                </c:pt>
                <c:pt idx="100">
                  <c:v>-0.295915927698671</c:v>
                </c:pt>
                <c:pt idx="101">
                  <c:v>-0.295915927698671</c:v>
                </c:pt>
                <c:pt idx="102">
                  <c:v>-0.295915927698671</c:v>
                </c:pt>
                <c:pt idx="103">
                  <c:v>-0.295915927698671</c:v>
                </c:pt>
                <c:pt idx="104">
                  <c:v>-0.295915927698671</c:v>
                </c:pt>
                <c:pt idx="105">
                  <c:v>-0.295915927698671</c:v>
                </c:pt>
                <c:pt idx="106">
                  <c:v>-0.295915927698671</c:v>
                </c:pt>
                <c:pt idx="107">
                  <c:v>-0.295915927698671</c:v>
                </c:pt>
                <c:pt idx="108">
                  <c:v>-0.295915927698671</c:v>
                </c:pt>
                <c:pt idx="109">
                  <c:v>-0.295915927698671</c:v>
                </c:pt>
                <c:pt idx="110">
                  <c:v>-0.295915927698671</c:v>
                </c:pt>
                <c:pt idx="111">
                  <c:v>-0.295915927698671</c:v>
                </c:pt>
                <c:pt idx="112">
                  <c:v>-0.295915927698671</c:v>
                </c:pt>
                <c:pt idx="113">
                  <c:v>-0.295915927698671</c:v>
                </c:pt>
                <c:pt idx="114">
                  <c:v>-0.295915927698671</c:v>
                </c:pt>
                <c:pt idx="115">
                  <c:v>-0.295915927698671</c:v>
                </c:pt>
                <c:pt idx="116">
                  <c:v>-0.295915927698671</c:v>
                </c:pt>
                <c:pt idx="117">
                  <c:v>-0.295915927698671</c:v>
                </c:pt>
                <c:pt idx="118">
                  <c:v>-0.295915927698671</c:v>
                </c:pt>
                <c:pt idx="119">
                  <c:v>-0.295915927698671</c:v>
                </c:pt>
                <c:pt idx="120">
                  <c:v>-0.295915927698671</c:v>
                </c:pt>
                <c:pt idx="121">
                  <c:v>-0.295915927698671</c:v>
                </c:pt>
                <c:pt idx="122">
                  <c:v>-0.295915927698671</c:v>
                </c:pt>
                <c:pt idx="123">
                  <c:v>-0.295915927698671</c:v>
                </c:pt>
                <c:pt idx="124">
                  <c:v>-0.295915927698671</c:v>
                </c:pt>
                <c:pt idx="125">
                  <c:v>-0.295915927698671</c:v>
                </c:pt>
                <c:pt idx="126">
                  <c:v>-0.295915927698671</c:v>
                </c:pt>
                <c:pt idx="127">
                  <c:v>-0.295915927698671</c:v>
                </c:pt>
                <c:pt idx="128">
                  <c:v>-0.424948185763187</c:v>
                </c:pt>
                <c:pt idx="129">
                  <c:v>-0.424948185763187</c:v>
                </c:pt>
                <c:pt idx="130">
                  <c:v>-0.424948185763187</c:v>
                </c:pt>
                <c:pt idx="131">
                  <c:v>-0.424948185763187</c:v>
                </c:pt>
                <c:pt idx="132">
                  <c:v>-0.424948185763187</c:v>
                </c:pt>
                <c:pt idx="133">
                  <c:v>-0.424948185763187</c:v>
                </c:pt>
                <c:pt idx="134">
                  <c:v>-0.424948185763187</c:v>
                </c:pt>
                <c:pt idx="135">
                  <c:v>-0.424948185763187</c:v>
                </c:pt>
                <c:pt idx="136">
                  <c:v>-0.424948185763187</c:v>
                </c:pt>
                <c:pt idx="137">
                  <c:v>-0.424948185763187</c:v>
                </c:pt>
                <c:pt idx="138">
                  <c:v>-0.424948185763187</c:v>
                </c:pt>
                <c:pt idx="139">
                  <c:v>-0.424948185763187</c:v>
                </c:pt>
                <c:pt idx="140">
                  <c:v>-0.424948185763187</c:v>
                </c:pt>
                <c:pt idx="141">
                  <c:v>-0.424948185763187</c:v>
                </c:pt>
                <c:pt idx="142">
                  <c:v>-0.424948185763187</c:v>
                </c:pt>
                <c:pt idx="143">
                  <c:v>-0.424948185763187</c:v>
                </c:pt>
                <c:pt idx="144">
                  <c:v>-0.424948185763187</c:v>
                </c:pt>
                <c:pt idx="145">
                  <c:v>-0.424948185763187</c:v>
                </c:pt>
                <c:pt idx="146">
                  <c:v>-0.424948185763187</c:v>
                </c:pt>
                <c:pt idx="147">
                  <c:v>-0.424948185763187</c:v>
                </c:pt>
                <c:pt idx="148">
                  <c:v>-0.683012701892219</c:v>
                </c:pt>
                <c:pt idx="149">
                  <c:v>-0.683012701892219</c:v>
                </c:pt>
                <c:pt idx="150">
                  <c:v>-0.683012701892219</c:v>
                </c:pt>
                <c:pt idx="151">
                  <c:v>-0.683012701892219</c:v>
                </c:pt>
                <c:pt idx="152">
                  <c:v>-0.683012701892219</c:v>
                </c:pt>
                <c:pt idx="153">
                  <c:v>-0.683012701892219</c:v>
                </c:pt>
                <c:pt idx="154">
                  <c:v>-0.683012701892219</c:v>
                </c:pt>
                <c:pt idx="155">
                  <c:v>-0.683012701892219</c:v>
                </c:pt>
                <c:pt idx="156">
                  <c:v>-0.683012701892219</c:v>
                </c:pt>
              </c:numCache>
            </c:numRef>
          </c:xVal>
          <c:yVal>
            <c:numRef>
              <c:f>plot!$P$33:$P$189</c:f>
              <c:numCache>
                <c:formatCode>General</c:formatCode>
                <c:ptCount val="157"/>
                <c:pt idx="0">
                  <c:v>0.0298327084181567</c:v>
                </c:pt>
                <c:pt idx="1">
                  <c:v>-0.0421794048453966</c:v>
                </c:pt>
                <c:pt idx="2">
                  <c:v>-0.0632337907889265</c:v>
                </c:pt>
                <c:pt idx="3">
                  <c:v>-0.0769980070440289</c:v>
                </c:pt>
                <c:pt idx="4">
                  <c:v>-0.0803010087384785</c:v>
                </c:pt>
                <c:pt idx="5">
                  <c:v>-0.0823253582435834</c:v>
                </c:pt>
                <c:pt idx="6">
                  <c:v>-0.0840564936203189</c:v>
                </c:pt>
                <c:pt idx="7">
                  <c:v>-0.0882001052695118</c:v>
                </c:pt>
                <c:pt idx="8">
                  <c:v>-0.0884039529219256</c:v>
                </c:pt>
                <c:pt idx="9">
                  <c:v>-0.0859972321016667</c:v>
                </c:pt>
                <c:pt idx="10">
                  <c:v>-0.0838038815910957</c:v>
                </c:pt>
                <c:pt idx="11">
                  <c:v>-0.0819100238840196</c:v>
                </c:pt>
                <c:pt idx="12">
                  <c:v>-0.0785807563986275</c:v>
                </c:pt>
                <c:pt idx="13">
                  <c:v>-0.0757525271882647</c:v>
                </c:pt>
                <c:pt idx="14">
                  <c:v>-0.0717894274489352</c:v>
                </c:pt>
                <c:pt idx="15">
                  <c:v>-0.0665621164730498</c:v>
                </c:pt>
                <c:pt idx="16">
                  <c:v>-0.0619521039066043</c:v>
                </c:pt>
                <c:pt idx="17">
                  <c:v>-0.0570485632780332</c:v>
                </c:pt>
                <c:pt idx="18">
                  <c:v>-0.0520084614654786</c:v>
                </c:pt>
                <c:pt idx="19">
                  <c:v>-0.0499253017033632</c:v>
                </c:pt>
                <c:pt idx="20">
                  <c:v>-0.0445833002618488</c:v>
                </c:pt>
                <c:pt idx="21">
                  <c:v>-0.0402031918495886</c:v>
                </c:pt>
                <c:pt idx="22">
                  <c:v>-0.0357363330760086</c:v>
                </c:pt>
                <c:pt idx="23">
                  <c:v>-0.0300158321690011</c:v>
                </c:pt>
                <c:pt idx="24">
                  <c:v>-0.0216739843970219</c:v>
                </c:pt>
                <c:pt idx="25">
                  <c:v>-0.0204875240874391</c:v>
                </c:pt>
                <c:pt idx="26">
                  <c:v>-0.0155320797444958</c:v>
                </c:pt>
                <c:pt idx="27">
                  <c:v>-0.0129891116740098</c:v>
                </c:pt>
                <c:pt idx="28">
                  <c:v>-0.00517896304059029</c:v>
                </c:pt>
                <c:pt idx="29">
                  <c:v>0.0014368769393393</c:v>
                </c:pt>
                <c:pt idx="30">
                  <c:v>0.00716334258771622</c:v>
                </c:pt>
                <c:pt idx="31">
                  <c:v>0.00772444685478124</c:v>
                </c:pt>
                <c:pt idx="32">
                  <c:v>-0.0738519553495622</c:v>
                </c:pt>
                <c:pt idx="33">
                  <c:v>-0.10052177903633</c:v>
                </c:pt>
                <c:pt idx="34">
                  <c:v>-0.105474502620052</c:v>
                </c:pt>
                <c:pt idx="35">
                  <c:v>-0.103835873056835</c:v>
                </c:pt>
                <c:pt idx="36">
                  <c:v>-0.100351313006668</c:v>
                </c:pt>
                <c:pt idx="37">
                  <c:v>-0.0959354161461913</c:v>
                </c:pt>
                <c:pt idx="38">
                  <c:v>-0.089721829952647</c:v>
                </c:pt>
                <c:pt idx="39">
                  <c:v>-0.0805328842616281</c:v>
                </c:pt>
                <c:pt idx="40">
                  <c:v>-0.0710268654767623</c:v>
                </c:pt>
                <c:pt idx="41">
                  <c:v>-0.0639017202995546</c:v>
                </c:pt>
                <c:pt idx="42">
                  <c:v>-0.0542482572938208</c:v>
                </c:pt>
                <c:pt idx="43">
                  <c:v>-0.0436020311061314</c:v>
                </c:pt>
                <c:pt idx="44">
                  <c:v>-0.0345233808081536</c:v>
                </c:pt>
                <c:pt idx="45">
                  <c:v>-0.0270252823284805</c:v>
                </c:pt>
                <c:pt idx="46">
                  <c:v>-0.0126516160078455</c:v>
                </c:pt>
                <c:pt idx="47">
                  <c:v>-0.00637011547835836</c:v>
                </c:pt>
                <c:pt idx="48">
                  <c:v>-0.0042595388348608</c:v>
                </c:pt>
                <c:pt idx="49">
                  <c:v>-0.00249418467869034</c:v>
                </c:pt>
                <c:pt idx="50">
                  <c:v>-0.00105542627364064</c:v>
                </c:pt>
                <c:pt idx="51">
                  <c:v>0.000858523193837612</c:v>
                </c:pt>
                <c:pt idx="52">
                  <c:v>0.00196084925673629</c:v>
                </c:pt>
                <c:pt idx="53">
                  <c:v>0.00399336103950448</c:v>
                </c:pt>
                <c:pt idx="54">
                  <c:v>0.00587602177593982</c:v>
                </c:pt>
                <c:pt idx="55">
                  <c:v>0.00805681493625948</c:v>
                </c:pt>
                <c:pt idx="56">
                  <c:v>0.0103241491687281</c:v>
                </c:pt>
                <c:pt idx="57">
                  <c:v>0.0123830313870243</c:v>
                </c:pt>
                <c:pt idx="58">
                  <c:v>0.0142342987478312</c:v>
                </c:pt>
                <c:pt idx="59">
                  <c:v>0.0169617552224268</c:v>
                </c:pt>
                <c:pt idx="60">
                  <c:v>0.019263203589745</c:v>
                </c:pt>
                <c:pt idx="61">
                  <c:v>0.0221424993577967</c:v>
                </c:pt>
                <c:pt idx="62">
                  <c:v>0.0239187365508517</c:v>
                </c:pt>
                <c:pt idx="63">
                  <c:v>0.0260343361344498</c:v>
                </c:pt>
                <c:pt idx="64">
                  <c:v>-0.128457873095044</c:v>
                </c:pt>
                <c:pt idx="65">
                  <c:v>-0.131770188157597</c:v>
                </c:pt>
                <c:pt idx="66">
                  <c:v>-0.123926657901426</c:v>
                </c:pt>
                <c:pt idx="67">
                  <c:v>-0.108486872544451</c:v>
                </c:pt>
                <c:pt idx="68">
                  <c:v>-0.0918424187200277</c:v>
                </c:pt>
                <c:pt idx="69">
                  <c:v>-0.0719031254788186</c:v>
                </c:pt>
                <c:pt idx="70">
                  <c:v>-0.0549468307898203</c:v>
                </c:pt>
                <c:pt idx="71">
                  <c:v>-0.0342949079218465</c:v>
                </c:pt>
                <c:pt idx="72">
                  <c:v>-0.0304691018785984</c:v>
                </c:pt>
                <c:pt idx="73">
                  <c:v>-0.027110429264701</c:v>
                </c:pt>
                <c:pt idx="74">
                  <c:v>-0.0239609411770743</c:v>
                </c:pt>
                <c:pt idx="75">
                  <c:v>-0.0199866444671039</c:v>
                </c:pt>
                <c:pt idx="76">
                  <c:v>-0.0153047410704694</c:v>
                </c:pt>
                <c:pt idx="77">
                  <c:v>-0.01103607914169</c:v>
                </c:pt>
                <c:pt idx="78">
                  <c:v>-0.00584591699363163</c:v>
                </c:pt>
                <c:pt idx="79">
                  <c:v>-0.00199133368939092</c:v>
                </c:pt>
                <c:pt idx="80">
                  <c:v>0.00368333288919914</c:v>
                </c:pt>
                <c:pt idx="81">
                  <c:v>0.00965184146367104</c:v>
                </c:pt>
                <c:pt idx="82">
                  <c:v>0.0150855115620204</c:v>
                </c:pt>
                <c:pt idx="83">
                  <c:v>0.0205381223303322</c:v>
                </c:pt>
                <c:pt idx="84">
                  <c:v>0.0251644594521045</c:v>
                </c:pt>
                <c:pt idx="85">
                  <c:v>0.0314382162822701</c:v>
                </c:pt>
                <c:pt idx="86">
                  <c:v>0.0375282172204238</c:v>
                </c:pt>
                <c:pt idx="87">
                  <c:v>0.0451255187670827</c:v>
                </c:pt>
                <c:pt idx="88">
                  <c:v>0.0521359734786613</c:v>
                </c:pt>
                <c:pt idx="89">
                  <c:v>0.0584701102346187</c:v>
                </c:pt>
                <c:pt idx="90">
                  <c:v>0.0659707201843421</c:v>
                </c:pt>
                <c:pt idx="91">
                  <c:v>0.0736856422450221</c:v>
                </c:pt>
                <c:pt idx="92">
                  <c:v>0.0812192152391552</c:v>
                </c:pt>
                <c:pt idx="93">
                  <c:v>0.0889061971955259</c:v>
                </c:pt>
                <c:pt idx="94">
                  <c:v>0.0962913841675223</c:v>
                </c:pt>
                <c:pt idx="95">
                  <c:v>0.10393860118143</c:v>
                </c:pt>
                <c:pt idx="96">
                  <c:v>-0.187612761857349</c:v>
                </c:pt>
                <c:pt idx="97">
                  <c:v>-0.164284344427883</c:v>
                </c:pt>
                <c:pt idx="98">
                  <c:v>-0.127740153015543</c:v>
                </c:pt>
                <c:pt idx="99">
                  <c:v>-0.0901229360242242</c:v>
                </c:pt>
                <c:pt idx="100">
                  <c:v>-0.0829018317621791</c:v>
                </c:pt>
                <c:pt idx="101">
                  <c:v>-0.0757250968043554</c:v>
                </c:pt>
                <c:pt idx="102">
                  <c:v>-0.0668547938759648</c:v>
                </c:pt>
                <c:pt idx="103">
                  <c:v>-0.0577671441436402</c:v>
                </c:pt>
                <c:pt idx="104">
                  <c:v>-0.0463294909563588</c:v>
                </c:pt>
                <c:pt idx="105">
                  <c:v>-0.0356719631534432</c:v>
                </c:pt>
                <c:pt idx="106">
                  <c:v>-0.0243572673540397</c:v>
                </c:pt>
                <c:pt idx="107">
                  <c:v>-0.0105493096622285</c:v>
                </c:pt>
                <c:pt idx="108">
                  <c:v>0.002718891257945</c:v>
                </c:pt>
                <c:pt idx="109">
                  <c:v>0.0177618643469776</c:v>
                </c:pt>
                <c:pt idx="110">
                  <c:v>0.0329581417536622</c:v>
                </c:pt>
                <c:pt idx="111">
                  <c:v>0.0479655356836493</c:v>
                </c:pt>
                <c:pt idx="112">
                  <c:v>0.0646238025933486</c:v>
                </c:pt>
                <c:pt idx="113">
                  <c:v>0.0844667181713786</c:v>
                </c:pt>
                <c:pt idx="114">
                  <c:v>0.0996872731218824</c:v>
                </c:pt>
                <c:pt idx="115">
                  <c:v>0.120592645175763</c:v>
                </c:pt>
                <c:pt idx="116">
                  <c:v>0.144214381378184</c:v>
                </c:pt>
                <c:pt idx="117">
                  <c:v>0.162980818105916</c:v>
                </c:pt>
                <c:pt idx="118">
                  <c:v>0.187018307246242</c:v>
                </c:pt>
                <c:pt idx="119">
                  <c:v>0.206575124527712</c:v>
                </c:pt>
                <c:pt idx="120">
                  <c:v>0.231761192637696</c:v>
                </c:pt>
                <c:pt idx="121">
                  <c:v>0.254450964162295</c:v>
                </c:pt>
                <c:pt idx="122">
                  <c:v>0.276226769877765</c:v>
                </c:pt>
                <c:pt idx="123">
                  <c:v>0.30589821885295</c:v>
                </c:pt>
                <c:pt idx="124">
                  <c:v>0.332552136562733</c:v>
                </c:pt>
                <c:pt idx="125">
                  <c:v>0.356324770257341</c:v>
                </c:pt>
                <c:pt idx="126">
                  <c:v>0.38515613250071</c:v>
                </c:pt>
                <c:pt idx="127">
                  <c:v>0.414940179049815</c:v>
                </c:pt>
                <c:pt idx="128">
                  <c:v>-0.276089728456045</c:v>
                </c:pt>
                <c:pt idx="129">
                  <c:v>-0.201910111894521</c:v>
                </c:pt>
                <c:pt idx="130">
                  <c:v>-0.187524934669489</c:v>
                </c:pt>
                <c:pt idx="131">
                  <c:v>-0.16950116056454</c:v>
                </c:pt>
                <c:pt idx="132">
                  <c:v>-0.147488020929318</c:v>
                </c:pt>
                <c:pt idx="133">
                  <c:v>-0.122315765904611</c:v>
                </c:pt>
                <c:pt idx="134">
                  <c:v>-0.0938199988467097</c:v>
                </c:pt>
                <c:pt idx="135">
                  <c:v>-0.0635353326009167</c:v>
                </c:pt>
                <c:pt idx="136">
                  <c:v>-0.0274959466686812</c:v>
                </c:pt>
                <c:pt idx="137">
                  <c:v>0.0086911974181785</c:v>
                </c:pt>
                <c:pt idx="138">
                  <c:v>0.0512543360951669</c:v>
                </c:pt>
                <c:pt idx="139">
                  <c:v>0.0953640171001958</c:v>
                </c:pt>
                <c:pt idx="140">
                  <c:v>0.14277063041372</c:v>
                </c:pt>
                <c:pt idx="141">
                  <c:v>0.194248232034149</c:v>
                </c:pt>
                <c:pt idx="142">
                  <c:v>0.244579033642873</c:v>
                </c:pt>
                <c:pt idx="143">
                  <c:v>0.303183454753877</c:v>
                </c:pt>
                <c:pt idx="144">
                  <c:v>0.364466777251839</c:v>
                </c:pt>
                <c:pt idx="145">
                  <c:v>0.428964467480392</c:v>
                </c:pt>
                <c:pt idx="146">
                  <c:v>0.495955733535109</c:v>
                </c:pt>
                <c:pt idx="147">
                  <c:v>0.564996777729191</c:v>
                </c:pt>
                <c:pt idx="148">
                  <c:v>-0.425400957255944</c:v>
                </c:pt>
                <c:pt idx="149">
                  <c:v>-0.392957368568186</c:v>
                </c:pt>
                <c:pt idx="150">
                  <c:v>-0.345814773543697</c:v>
                </c:pt>
                <c:pt idx="151">
                  <c:v>-0.287078290965882</c:v>
                </c:pt>
                <c:pt idx="152">
                  <c:v>-0.214545466245239</c:v>
                </c:pt>
                <c:pt idx="153">
                  <c:v>-0.128481154827486</c:v>
                </c:pt>
                <c:pt idx="154">
                  <c:v>-0.0290609503269703</c:v>
                </c:pt>
                <c:pt idx="155">
                  <c:v>0.0798924805506224</c:v>
                </c:pt>
                <c:pt idx="156">
                  <c:v>0.205403091668391</c:v>
                </c:pt>
              </c:numCache>
            </c:numRef>
          </c:yVal>
          <c:smooth val="0"/>
        </c:ser>
        <c:ser>
          <c:idx val="8"/>
          <c:order val="7"/>
          <c:tx>
            <c:v>cut_plane_z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3333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plot!$Q$33:$Q$189</c:f>
              <c:numCache>
                <c:formatCode>General</c:formatCode>
                <c:ptCount val="157"/>
                <c:pt idx="0">
                  <c:v>-0.183012701892219</c:v>
                </c:pt>
                <c:pt idx="1">
                  <c:v>-0.155076398544334</c:v>
                </c:pt>
                <c:pt idx="2">
                  <c:v>-0.127140095196449</c:v>
                </c:pt>
                <c:pt idx="3">
                  <c:v>-0.0992037918485639</c:v>
                </c:pt>
                <c:pt idx="4">
                  <c:v>-0.0712674885006788</c:v>
                </c:pt>
                <c:pt idx="5">
                  <c:v>-0.0433311851527938</c:v>
                </c:pt>
                <c:pt idx="6">
                  <c:v>-0.0153948818049086</c:v>
                </c:pt>
                <c:pt idx="7">
                  <c:v>0.0125414215429765</c:v>
                </c:pt>
                <c:pt idx="8">
                  <c:v>0.0404777248908616</c:v>
                </c:pt>
                <c:pt idx="9">
                  <c:v>0.0684140282387467</c:v>
                </c:pt>
                <c:pt idx="10">
                  <c:v>0.0963503315866318</c:v>
                </c:pt>
                <c:pt idx="11">
                  <c:v>0.124286634934517</c:v>
                </c:pt>
                <c:pt idx="12">
                  <c:v>0.152222938282402</c:v>
                </c:pt>
                <c:pt idx="13">
                  <c:v>0.180159241630287</c:v>
                </c:pt>
                <c:pt idx="14">
                  <c:v>0.208095544978172</c:v>
                </c:pt>
                <c:pt idx="15">
                  <c:v>0.236031848326057</c:v>
                </c:pt>
                <c:pt idx="16">
                  <c:v>0.263968151673943</c:v>
                </c:pt>
                <c:pt idx="17">
                  <c:v>0.291904455021828</c:v>
                </c:pt>
                <c:pt idx="18">
                  <c:v>0.319840758369713</c:v>
                </c:pt>
                <c:pt idx="19">
                  <c:v>0.347777061717598</c:v>
                </c:pt>
                <c:pt idx="20">
                  <c:v>0.375713365065483</c:v>
                </c:pt>
                <c:pt idx="21">
                  <c:v>0.403649668413368</c:v>
                </c:pt>
                <c:pt idx="22">
                  <c:v>0.431585971761253</c:v>
                </c:pt>
                <c:pt idx="23">
                  <c:v>0.459522275109138</c:v>
                </c:pt>
                <c:pt idx="24">
                  <c:v>0.487458578457023</c:v>
                </c:pt>
                <c:pt idx="25">
                  <c:v>0.515394881804908</c:v>
                </c:pt>
                <c:pt idx="26">
                  <c:v>0.543331185152794</c:v>
                </c:pt>
                <c:pt idx="27">
                  <c:v>0.571267488500679</c:v>
                </c:pt>
                <c:pt idx="28">
                  <c:v>0.599203791848564</c:v>
                </c:pt>
                <c:pt idx="29">
                  <c:v>0.627140095196449</c:v>
                </c:pt>
                <c:pt idx="30">
                  <c:v>0.655076398544334</c:v>
                </c:pt>
                <c:pt idx="31">
                  <c:v>0.683012701892219</c:v>
                </c:pt>
                <c:pt idx="32">
                  <c:v>-0.199141734150284</c:v>
                </c:pt>
                <c:pt idx="33">
                  <c:v>-0.171205430802399</c:v>
                </c:pt>
                <c:pt idx="34">
                  <c:v>-0.143269127454514</c:v>
                </c:pt>
                <c:pt idx="35">
                  <c:v>-0.115332824106628</c:v>
                </c:pt>
                <c:pt idx="36">
                  <c:v>-0.0873965207587433</c:v>
                </c:pt>
                <c:pt idx="37">
                  <c:v>-0.0594602174108583</c:v>
                </c:pt>
                <c:pt idx="38">
                  <c:v>-0.0315239140629731</c:v>
                </c:pt>
                <c:pt idx="39">
                  <c:v>-0.00358761071508798</c:v>
                </c:pt>
                <c:pt idx="40">
                  <c:v>0.0243486926327971</c:v>
                </c:pt>
                <c:pt idx="41">
                  <c:v>0.0522849959806822</c:v>
                </c:pt>
                <c:pt idx="42">
                  <c:v>0.0802212993285673</c:v>
                </c:pt>
                <c:pt idx="43">
                  <c:v>0.108157602676452</c:v>
                </c:pt>
                <c:pt idx="44">
                  <c:v>0.136093906024338</c:v>
                </c:pt>
                <c:pt idx="45">
                  <c:v>0.164030209372223</c:v>
                </c:pt>
                <c:pt idx="46">
                  <c:v>0.191966512720108</c:v>
                </c:pt>
                <c:pt idx="47">
                  <c:v>0.219902816067993</c:v>
                </c:pt>
                <c:pt idx="48">
                  <c:v>0.247839119415878</c:v>
                </c:pt>
                <c:pt idx="49">
                  <c:v>0.275775422763763</c:v>
                </c:pt>
                <c:pt idx="50">
                  <c:v>0.303711726111648</c:v>
                </c:pt>
                <c:pt idx="51">
                  <c:v>0.331648029459533</c:v>
                </c:pt>
                <c:pt idx="52">
                  <c:v>0.359584332807418</c:v>
                </c:pt>
                <c:pt idx="53">
                  <c:v>0.387520636155304</c:v>
                </c:pt>
                <c:pt idx="54">
                  <c:v>0.415456939503189</c:v>
                </c:pt>
                <c:pt idx="55">
                  <c:v>0.443393242851074</c:v>
                </c:pt>
                <c:pt idx="56">
                  <c:v>0.471329546198959</c:v>
                </c:pt>
                <c:pt idx="57">
                  <c:v>0.499265849546844</c:v>
                </c:pt>
                <c:pt idx="58">
                  <c:v>0.527202152894729</c:v>
                </c:pt>
                <c:pt idx="59">
                  <c:v>0.555138456242614</c:v>
                </c:pt>
                <c:pt idx="60">
                  <c:v>0.583074759590499</c:v>
                </c:pt>
                <c:pt idx="61">
                  <c:v>0.611011062938384</c:v>
                </c:pt>
                <c:pt idx="62">
                  <c:v>0.638947366286269</c:v>
                </c:pt>
                <c:pt idx="63">
                  <c:v>0.666883669634155</c:v>
                </c:pt>
                <c:pt idx="64">
                  <c:v>-0.231399798666413</c:v>
                </c:pt>
                <c:pt idx="65">
                  <c:v>-0.203463495318528</c:v>
                </c:pt>
                <c:pt idx="66">
                  <c:v>-0.175527191970643</c:v>
                </c:pt>
                <c:pt idx="67">
                  <c:v>-0.147590888622757</c:v>
                </c:pt>
                <c:pt idx="68">
                  <c:v>-0.119654585274872</c:v>
                </c:pt>
                <c:pt idx="69">
                  <c:v>-0.0917182819269873</c:v>
                </c:pt>
                <c:pt idx="70">
                  <c:v>-0.0637819785791022</c:v>
                </c:pt>
                <c:pt idx="71">
                  <c:v>-0.035845675231217</c:v>
                </c:pt>
                <c:pt idx="72">
                  <c:v>-0.00790937188333194</c:v>
                </c:pt>
                <c:pt idx="73">
                  <c:v>0.0200269314645532</c:v>
                </c:pt>
                <c:pt idx="74">
                  <c:v>0.0479632348124383</c:v>
                </c:pt>
                <c:pt idx="75">
                  <c:v>0.0758995381603234</c:v>
                </c:pt>
                <c:pt idx="76">
                  <c:v>0.103835841508209</c:v>
                </c:pt>
                <c:pt idx="77">
                  <c:v>0.131772144856094</c:v>
                </c:pt>
                <c:pt idx="78">
                  <c:v>0.159708448203979</c:v>
                </c:pt>
                <c:pt idx="79">
                  <c:v>0.187644751551864</c:v>
                </c:pt>
                <c:pt idx="80">
                  <c:v>0.215581054899749</c:v>
                </c:pt>
                <c:pt idx="81">
                  <c:v>0.243517358247634</c:v>
                </c:pt>
                <c:pt idx="82">
                  <c:v>0.271453661595519</c:v>
                </c:pt>
                <c:pt idx="83">
                  <c:v>0.299389964943404</c:v>
                </c:pt>
                <c:pt idx="84">
                  <c:v>0.327326268291289</c:v>
                </c:pt>
                <c:pt idx="85">
                  <c:v>0.355262571639175</c:v>
                </c:pt>
                <c:pt idx="86">
                  <c:v>0.38319887498706</c:v>
                </c:pt>
                <c:pt idx="87">
                  <c:v>0.411135178334945</c:v>
                </c:pt>
                <c:pt idx="88">
                  <c:v>0.43907148168283</c:v>
                </c:pt>
                <c:pt idx="89">
                  <c:v>0.467007785030715</c:v>
                </c:pt>
                <c:pt idx="90">
                  <c:v>0.4949440883786</c:v>
                </c:pt>
                <c:pt idx="91">
                  <c:v>0.522880391726485</c:v>
                </c:pt>
                <c:pt idx="92">
                  <c:v>0.55081669507437</c:v>
                </c:pt>
                <c:pt idx="93">
                  <c:v>0.578752998422255</c:v>
                </c:pt>
                <c:pt idx="94">
                  <c:v>0.60668930177014</c:v>
                </c:pt>
                <c:pt idx="95">
                  <c:v>0.634625605118026</c:v>
                </c:pt>
                <c:pt idx="96">
                  <c:v>-0.295915927698671</c:v>
                </c:pt>
                <c:pt idx="97">
                  <c:v>-0.267979624350786</c:v>
                </c:pt>
                <c:pt idx="98">
                  <c:v>-0.240043321002901</c:v>
                </c:pt>
                <c:pt idx="99">
                  <c:v>-0.212107017655016</c:v>
                </c:pt>
                <c:pt idx="100">
                  <c:v>-0.18417071430713</c:v>
                </c:pt>
                <c:pt idx="101">
                  <c:v>-0.156234410959245</c:v>
                </c:pt>
                <c:pt idx="102">
                  <c:v>-0.12829810761136</c:v>
                </c:pt>
                <c:pt idx="103">
                  <c:v>-0.100361804263475</c:v>
                </c:pt>
                <c:pt idx="104">
                  <c:v>-0.07242550091559</c:v>
                </c:pt>
                <c:pt idx="105">
                  <c:v>-0.0444891975677049</c:v>
                </c:pt>
                <c:pt idx="106">
                  <c:v>-0.0165528942198198</c:v>
                </c:pt>
                <c:pt idx="107">
                  <c:v>0.0113834091280653</c:v>
                </c:pt>
                <c:pt idx="108">
                  <c:v>0.0393197124759504</c:v>
                </c:pt>
                <c:pt idx="109">
                  <c:v>0.0672560158238356</c:v>
                </c:pt>
                <c:pt idx="110">
                  <c:v>0.0951923191717206</c:v>
                </c:pt>
                <c:pt idx="111">
                  <c:v>0.123128622519606</c:v>
                </c:pt>
                <c:pt idx="112">
                  <c:v>0.151064925867491</c:v>
                </c:pt>
                <c:pt idx="113">
                  <c:v>0.179001229215376</c:v>
                </c:pt>
                <c:pt idx="114">
                  <c:v>0.206937532563261</c:v>
                </c:pt>
                <c:pt idx="115">
                  <c:v>0.234873835911146</c:v>
                </c:pt>
                <c:pt idx="116">
                  <c:v>0.262810139259031</c:v>
                </c:pt>
                <c:pt idx="117">
                  <c:v>0.290746442606916</c:v>
                </c:pt>
                <c:pt idx="118">
                  <c:v>0.318682745954802</c:v>
                </c:pt>
                <c:pt idx="119">
                  <c:v>0.346619049302687</c:v>
                </c:pt>
                <c:pt idx="120">
                  <c:v>0.374555352650572</c:v>
                </c:pt>
                <c:pt idx="121">
                  <c:v>0.402491655998457</c:v>
                </c:pt>
                <c:pt idx="122">
                  <c:v>0.430427959346342</c:v>
                </c:pt>
                <c:pt idx="123">
                  <c:v>0.458364262694227</c:v>
                </c:pt>
                <c:pt idx="124">
                  <c:v>0.486300566042112</c:v>
                </c:pt>
                <c:pt idx="125">
                  <c:v>0.514236869389997</c:v>
                </c:pt>
                <c:pt idx="126">
                  <c:v>0.542173172737882</c:v>
                </c:pt>
                <c:pt idx="127">
                  <c:v>0.570109476085768</c:v>
                </c:pt>
                <c:pt idx="128">
                  <c:v>-0.424948185763187</c:v>
                </c:pt>
                <c:pt idx="129">
                  <c:v>-0.397011882415302</c:v>
                </c:pt>
                <c:pt idx="130">
                  <c:v>-0.369075579067417</c:v>
                </c:pt>
                <c:pt idx="131">
                  <c:v>-0.341139275719532</c:v>
                </c:pt>
                <c:pt idx="132">
                  <c:v>-0.313202972371647</c:v>
                </c:pt>
                <c:pt idx="133">
                  <c:v>-0.285266669023762</c:v>
                </c:pt>
                <c:pt idx="134">
                  <c:v>-0.257330365675876</c:v>
                </c:pt>
                <c:pt idx="135">
                  <c:v>-0.229394062327991</c:v>
                </c:pt>
                <c:pt idx="136">
                  <c:v>-0.201457758980106</c:v>
                </c:pt>
                <c:pt idx="137">
                  <c:v>-0.173521455632221</c:v>
                </c:pt>
                <c:pt idx="138">
                  <c:v>-0.145585152284336</c:v>
                </c:pt>
                <c:pt idx="139">
                  <c:v>-0.117648848936451</c:v>
                </c:pt>
                <c:pt idx="140">
                  <c:v>-0.0897125455885657</c:v>
                </c:pt>
                <c:pt idx="141">
                  <c:v>-0.0617762422406806</c:v>
                </c:pt>
                <c:pt idx="142">
                  <c:v>-0.0338399388927955</c:v>
                </c:pt>
                <c:pt idx="143">
                  <c:v>-0.00590363554491035</c:v>
                </c:pt>
                <c:pt idx="144">
                  <c:v>0.0220326678029747</c:v>
                </c:pt>
                <c:pt idx="145">
                  <c:v>0.0499689711508598</c:v>
                </c:pt>
                <c:pt idx="146">
                  <c:v>0.077905274498745</c:v>
                </c:pt>
                <c:pt idx="147">
                  <c:v>0.10584157784663</c:v>
                </c:pt>
                <c:pt idx="148">
                  <c:v>-0.683012701892219</c:v>
                </c:pt>
                <c:pt idx="149">
                  <c:v>-0.655076398544334</c:v>
                </c:pt>
                <c:pt idx="150">
                  <c:v>-0.627140095196449</c:v>
                </c:pt>
                <c:pt idx="151">
                  <c:v>-0.599203791848564</c:v>
                </c:pt>
                <c:pt idx="152">
                  <c:v>-0.571267488500679</c:v>
                </c:pt>
                <c:pt idx="153">
                  <c:v>-0.543331185152794</c:v>
                </c:pt>
                <c:pt idx="154">
                  <c:v>-0.515394881804909</c:v>
                </c:pt>
                <c:pt idx="155">
                  <c:v>-0.487458578457024</c:v>
                </c:pt>
                <c:pt idx="156">
                  <c:v>-0.459522275109138</c:v>
                </c:pt>
              </c:numCache>
            </c:numRef>
          </c:xVal>
          <c:yVal>
            <c:numRef>
              <c:f>plot!$R$33:$R$189</c:f>
              <c:numCache>
                <c:formatCode>General</c:formatCode>
                <c:ptCount val="157"/>
                <c:pt idx="0">
                  <c:v>-0.0915063509461097</c:v>
                </c:pt>
                <c:pt idx="1">
                  <c:v>-0.099570867075142</c:v>
                </c:pt>
                <c:pt idx="2">
                  <c:v>-0.107635383204174</c:v>
                </c:pt>
                <c:pt idx="3">
                  <c:v>-0.115699899333207</c:v>
                </c:pt>
                <c:pt idx="4">
                  <c:v>-0.123764415462239</c:v>
                </c:pt>
                <c:pt idx="5">
                  <c:v>-0.131828931591271</c:v>
                </c:pt>
                <c:pt idx="6">
                  <c:v>-0.139893447720303</c:v>
                </c:pt>
                <c:pt idx="7">
                  <c:v>-0.147957963849336</c:v>
                </c:pt>
                <c:pt idx="8">
                  <c:v>-0.156022479978368</c:v>
                </c:pt>
                <c:pt idx="9">
                  <c:v>-0.1640869961074</c:v>
                </c:pt>
                <c:pt idx="10">
                  <c:v>-0.172151512236432</c:v>
                </c:pt>
                <c:pt idx="11">
                  <c:v>-0.180216028365465</c:v>
                </c:pt>
                <c:pt idx="12">
                  <c:v>-0.188280544494497</c:v>
                </c:pt>
                <c:pt idx="13">
                  <c:v>-0.196345060623529</c:v>
                </c:pt>
                <c:pt idx="14">
                  <c:v>-0.204409576752561</c:v>
                </c:pt>
                <c:pt idx="15">
                  <c:v>-0.212474092881594</c:v>
                </c:pt>
                <c:pt idx="16">
                  <c:v>-0.220538609010626</c:v>
                </c:pt>
                <c:pt idx="17">
                  <c:v>-0.228603125139658</c:v>
                </c:pt>
                <c:pt idx="18">
                  <c:v>-0.23666764126869</c:v>
                </c:pt>
                <c:pt idx="19">
                  <c:v>-0.244732157397723</c:v>
                </c:pt>
                <c:pt idx="20">
                  <c:v>-0.252796673526755</c:v>
                </c:pt>
                <c:pt idx="21">
                  <c:v>-0.260861189655787</c:v>
                </c:pt>
                <c:pt idx="22">
                  <c:v>-0.268925705784819</c:v>
                </c:pt>
                <c:pt idx="23">
                  <c:v>-0.276990221913852</c:v>
                </c:pt>
                <c:pt idx="24">
                  <c:v>-0.285054738042884</c:v>
                </c:pt>
                <c:pt idx="25">
                  <c:v>-0.293119254171916</c:v>
                </c:pt>
                <c:pt idx="26">
                  <c:v>-0.301183770300949</c:v>
                </c:pt>
                <c:pt idx="27">
                  <c:v>-0.309248286429981</c:v>
                </c:pt>
                <c:pt idx="28">
                  <c:v>-0.317312802559013</c:v>
                </c:pt>
                <c:pt idx="29">
                  <c:v>-0.325377318688045</c:v>
                </c:pt>
                <c:pt idx="30">
                  <c:v>-0.333441834817078</c:v>
                </c:pt>
                <c:pt idx="31">
                  <c:v>-0.34150635094611</c:v>
                </c:pt>
                <c:pt idx="32">
                  <c:v>-0.105474502620052</c:v>
                </c:pt>
                <c:pt idx="33">
                  <c:v>-0.113539018749085</c:v>
                </c:pt>
                <c:pt idx="34">
                  <c:v>-0.121603534878117</c:v>
                </c:pt>
                <c:pt idx="35">
                  <c:v>-0.129668051007149</c:v>
                </c:pt>
                <c:pt idx="36">
                  <c:v>-0.137732567136181</c:v>
                </c:pt>
                <c:pt idx="37">
                  <c:v>-0.145797083265214</c:v>
                </c:pt>
                <c:pt idx="38">
                  <c:v>-0.153861599394246</c:v>
                </c:pt>
                <c:pt idx="39">
                  <c:v>-0.161926115523278</c:v>
                </c:pt>
                <c:pt idx="40">
                  <c:v>-0.16999063165231</c:v>
                </c:pt>
                <c:pt idx="41">
                  <c:v>-0.178055147781343</c:v>
                </c:pt>
                <c:pt idx="42">
                  <c:v>-0.186119663910375</c:v>
                </c:pt>
                <c:pt idx="43">
                  <c:v>-0.194184180039407</c:v>
                </c:pt>
                <c:pt idx="44">
                  <c:v>-0.202248696168439</c:v>
                </c:pt>
                <c:pt idx="45">
                  <c:v>-0.210313212297472</c:v>
                </c:pt>
                <c:pt idx="46">
                  <c:v>-0.218377728426504</c:v>
                </c:pt>
                <c:pt idx="47">
                  <c:v>-0.226442244555536</c:v>
                </c:pt>
                <c:pt idx="48">
                  <c:v>-0.234506760684568</c:v>
                </c:pt>
                <c:pt idx="49">
                  <c:v>-0.242571276813601</c:v>
                </c:pt>
                <c:pt idx="50">
                  <c:v>-0.250635792942633</c:v>
                </c:pt>
                <c:pt idx="51">
                  <c:v>-0.258700309071665</c:v>
                </c:pt>
                <c:pt idx="52">
                  <c:v>-0.266764825200697</c:v>
                </c:pt>
                <c:pt idx="53">
                  <c:v>-0.27482934132973</c:v>
                </c:pt>
                <c:pt idx="54">
                  <c:v>-0.282893857458762</c:v>
                </c:pt>
                <c:pt idx="55">
                  <c:v>-0.290958373587794</c:v>
                </c:pt>
                <c:pt idx="56">
                  <c:v>-0.299022889716827</c:v>
                </c:pt>
                <c:pt idx="57">
                  <c:v>-0.307087405845859</c:v>
                </c:pt>
                <c:pt idx="58">
                  <c:v>-0.315151921974891</c:v>
                </c:pt>
                <c:pt idx="59">
                  <c:v>-0.323216438103923</c:v>
                </c:pt>
                <c:pt idx="60">
                  <c:v>-0.331280954232956</c:v>
                </c:pt>
                <c:pt idx="61">
                  <c:v>-0.339345470361988</c:v>
                </c:pt>
                <c:pt idx="62">
                  <c:v>-0.34740998649102</c:v>
                </c:pt>
                <c:pt idx="63">
                  <c:v>-0.355474502620052</c:v>
                </c:pt>
                <c:pt idx="64">
                  <c:v>-0.133410805967937</c:v>
                </c:pt>
                <c:pt idx="65">
                  <c:v>-0.14147532209697</c:v>
                </c:pt>
                <c:pt idx="66">
                  <c:v>-0.149539838226002</c:v>
                </c:pt>
                <c:pt idx="67">
                  <c:v>-0.157604354355034</c:v>
                </c:pt>
                <c:pt idx="68">
                  <c:v>-0.165668870484066</c:v>
                </c:pt>
                <c:pt idx="69">
                  <c:v>-0.173733386613099</c:v>
                </c:pt>
                <c:pt idx="70">
                  <c:v>-0.181797902742131</c:v>
                </c:pt>
                <c:pt idx="71">
                  <c:v>-0.189862418871163</c:v>
                </c:pt>
                <c:pt idx="72">
                  <c:v>-0.197926935000196</c:v>
                </c:pt>
                <c:pt idx="73">
                  <c:v>-0.205991451129228</c:v>
                </c:pt>
                <c:pt idx="74">
                  <c:v>-0.21405596725826</c:v>
                </c:pt>
                <c:pt idx="75">
                  <c:v>-0.222120483387292</c:v>
                </c:pt>
                <c:pt idx="76">
                  <c:v>-0.230184999516325</c:v>
                </c:pt>
                <c:pt idx="77">
                  <c:v>-0.238249515645357</c:v>
                </c:pt>
                <c:pt idx="78">
                  <c:v>-0.246314031774389</c:v>
                </c:pt>
                <c:pt idx="79">
                  <c:v>-0.254378547903421</c:v>
                </c:pt>
                <c:pt idx="80">
                  <c:v>-0.262443064032454</c:v>
                </c:pt>
                <c:pt idx="81">
                  <c:v>-0.270507580161486</c:v>
                </c:pt>
                <c:pt idx="82">
                  <c:v>-0.278572096290518</c:v>
                </c:pt>
                <c:pt idx="83">
                  <c:v>-0.28663661241955</c:v>
                </c:pt>
                <c:pt idx="84">
                  <c:v>-0.294701128548583</c:v>
                </c:pt>
                <c:pt idx="85">
                  <c:v>-0.302765644677615</c:v>
                </c:pt>
                <c:pt idx="86">
                  <c:v>-0.310830160806647</c:v>
                </c:pt>
                <c:pt idx="87">
                  <c:v>-0.318894676935679</c:v>
                </c:pt>
                <c:pt idx="88">
                  <c:v>-0.326959193064712</c:v>
                </c:pt>
                <c:pt idx="89">
                  <c:v>-0.335023709193744</c:v>
                </c:pt>
                <c:pt idx="90">
                  <c:v>-0.343088225322776</c:v>
                </c:pt>
                <c:pt idx="91">
                  <c:v>-0.351152741451808</c:v>
                </c:pt>
                <c:pt idx="92">
                  <c:v>-0.359217257580841</c:v>
                </c:pt>
                <c:pt idx="93">
                  <c:v>-0.367281773709873</c:v>
                </c:pt>
                <c:pt idx="94">
                  <c:v>-0.375346289838905</c:v>
                </c:pt>
                <c:pt idx="95">
                  <c:v>-0.383410805967937</c:v>
                </c:pt>
                <c:pt idx="96">
                  <c:v>-0.189283412663708</c:v>
                </c:pt>
                <c:pt idx="97">
                  <c:v>-0.19734792879274</c:v>
                </c:pt>
                <c:pt idx="98">
                  <c:v>-0.205412444921772</c:v>
                </c:pt>
                <c:pt idx="99">
                  <c:v>-0.213476961050804</c:v>
                </c:pt>
                <c:pt idx="100">
                  <c:v>-0.221541477179837</c:v>
                </c:pt>
                <c:pt idx="101">
                  <c:v>-0.229605993308869</c:v>
                </c:pt>
                <c:pt idx="102">
                  <c:v>-0.237670509437901</c:v>
                </c:pt>
                <c:pt idx="103">
                  <c:v>-0.245735025566933</c:v>
                </c:pt>
                <c:pt idx="104">
                  <c:v>-0.253799541695966</c:v>
                </c:pt>
                <c:pt idx="105">
                  <c:v>-0.261864057824998</c:v>
                </c:pt>
                <c:pt idx="106">
                  <c:v>-0.26992857395403</c:v>
                </c:pt>
                <c:pt idx="107">
                  <c:v>-0.277993090083062</c:v>
                </c:pt>
                <c:pt idx="108">
                  <c:v>-0.286057606212095</c:v>
                </c:pt>
                <c:pt idx="109">
                  <c:v>-0.294122122341127</c:v>
                </c:pt>
                <c:pt idx="110">
                  <c:v>-0.302186638470159</c:v>
                </c:pt>
                <c:pt idx="111">
                  <c:v>-0.310251154599192</c:v>
                </c:pt>
                <c:pt idx="112">
                  <c:v>-0.318315670728224</c:v>
                </c:pt>
                <c:pt idx="113">
                  <c:v>-0.326380186857256</c:v>
                </c:pt>
                <c:pt idx="114">
                  <c:v>-0.334444702986288</c:v>
                </c:pt>
                <c:pt idx="115">
                  <c:v>-0.342509219115321</c:v>
                </c:pt>
                <c:pt idx="116">
                  <c:v>-0.350573735244353</c:v>
                </c:pt>
                <c:pt idx="117">
                  <c:v>-0.358638251373385</c:v>
                </c:pt>
                <c:pt idx="118">
                  <c:v>-0.366702767502417</c:v>
                </c:pt>
                <c:pt idx="119">
                  <c:v>-0.37476728363145</c:v>
                </c:pt>
                <c:pt idx="120">
                  <c:v>-0.382831799760482</c:v>
                </c:pt>
                <c:pt idx="121">
                  <c:v>-0.390896315889514</c:v>
                </c:pt>
                <c:pt idx="122">
                  <c:v>-0.398960832018546</c:v>
                </c:pt>
                <c:pt idx="123">
                  <c:v>-0.407025348147579</c:v>
                </c:pt>
                <c:pt idx="124">
                  <c:v>-0.415089864276611</c:v>
                </c:pt>
                <c:pt idx="125">
                  <c:v>-0.423154380405643</c:v>
                </c:pt>
                <c:pt idx="126">
                  <c:v>-0.431218896534675</c:v>
                </c:pt>
                <c:pt idx="127">
                  <c:v>-0.439283412663708</c:v>
                </c:pt>
                <c:pt idx="128">
                  <c:v>-0.301028626055248</c:v>
                </c:pt>
                <c:pt idx="129">
                  <c:v>-0.30909314218428</c:v>
                </c:pt>
                <c:pt idx="130">
                  <c:v>-0.317157658313313</c:v>
                </c:pt>
                <c:pt idx="131">
                  <c:v>-0.325222174442345</c:v>
                </c:pt>
                <c:pt idx="132">
                  <c:v>-0.333286690571377</c:v>
                </c:pt>
                <c:pt idx="133">
                  <c:v>-0.341351206700409</c:v>
                </c:pt>
                <c:pt idx="134">
                  <c:v>-0.349415722829442</c:v>
                </c:pt>
                <c:pt idx="135">
                  <c:v>-0.357480238958474</c:v>
                </c:pt>
                <c:pt idx="136">
                  <c:v>-0.365544755087506</c:v>
                </c:pt>
                <c:pt idx="137">
                  <c:v>-0.373609271216538</c:v>
                </c:pt>
                <c:pt idx="138">
                  <c:v>-0.381673787345571</c:v>
                </c:pt>
                <c:pt idx="139">
                  <c:v>-0.389738303474603</c:v>
                </c:pt>
                <c:pt idx="140">
                  <c:v>-0.397802819603635</c:v>
                </c:pt>
                <c:pt idx="141">
                  <c:v>-0.405867335732667</c:v>
                </c:pt>
                <c:pt idx="142">
                  <c:v>-0.4139318518617</c:v>
                </c:pt>
                <c:pt idx="143">
                  <c:v>-0.421996367990732</c:v>
                </c:pt>
                <c:pt idx="144">
                  <c:v>-0.430060884119764</c:v>
                </c:pt>
                <c:pt idx="145">
                  <c:v>-0.438125400248796</c:v>
                </c:pt>
                <c:pt idx="146">
                  <c:v>-0.446189916377829</c:v>
                </c:pt>
                <c:pt idx="147">
                  <c:v>-0.454254432506861</c:v>
                </c:pt>
                <c:pt idx="148">
                  <c:v>-0.524519052838329</c:v>
                </c:pt>
                <c:pt idx="149">
                  <c:v>-0.532583568967361</c:v>
                </c:pt>
                <c:pt idx="150">
                  <c:v>-0.540648085096393</c:v>
                </c:pt>
                <c:pt idx="151">
                  <c:v>-0.548712601225426</c:v>
                </c:pt>
                <c:pt idx="152">
                  <c:v>-0.556777117354458</c:v>
                </c:pt>
                <c:pt idx="153">
                  <c:v>-0.56484163348349</c:v>
                </c:pt>
                <c:pt idx="154">
                  <c:v>-0.572906149612522</c:v>
                </c:pt>
                <c:pt idx="155">
                  <c:v>-0.580970665741555</c:v>
                </c:pt>
                <c:pt idx="156">
                  <c:v>-0.589035181870587</c:v>
                </c:pt>
              </c:numCache>
            </c:numRef>
          </c:yVal>
          <c:smooth val="0"/>
        </c:ser>
        <c:ser>
          <c:idx val="9"/>
          <c:order val="8"/>
          <c:tx>
            <c:v>laby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plot!$AC$9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plot!$AC$10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plot!$AC$11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plot!$AC$12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plot!$AC$13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plot!$AC$14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plot!$AC$15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strRef>
                  <c:f>plot!$AC$16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strRef>
                  <c:f>plot!$AC$17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strRef>
                  <c:f>plot!$AC$18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strRef>
                  <c:f>plot!$AC$19</c:f>
                  <c:strCache>
                    <c:ptCount val="1"/>
                    <c:pt idx="0">
                      <c:v>800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strRef>
                  <c:f>plot!$AC$20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strRef>
                  <c:f>plot!$AC$21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strRef>
                  <c:f>plot!$AC$22</c:f>
                  <c:strCache>
                    <c:ptCount val="1"/>
                    <c:pt idx="0">
                      <c:v>1000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tx>
                <c:strRef>
                  <c:f>plot!$AC$23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strRef>
                  <c:f>plot!$AC$24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strRef>
                  <c:f>plot!$AC$25</c:f>
                  <c:strCache>
                    <c:ptCount val="1"/>
                    <c:pt idx="0">
                      <c:v>1000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strRef>
                  <c:f>plot!$AC$26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strRef>
                  <c:f>plot!$AC$27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strRef>
                  <c:f>plot!$AC$28</c:f>
                  <c:strCache>
                    <c:ptCount val="1"/>
                    <c:pt idx="0">
                      <c:v>1000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strRef>
                  <c:f>plot!$AC$29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plot!$AD$9:$AD$29</c:f>
              <c:numCache>
                <c:formatCode>General</c:formatCode>
                <c:ptCount val="21"/>
                <c:pt idx="0">
                  <c:v>-0.536347109315823</c:v>
                </c:pt>
                <c:pt idx="1">
                  <c:v>-0.586347109315823</c:v>
                </c:pt>
                <c:pt idx="2">
                  <c:v>-0.536347109315823</c:v>
                </c:pt>
                <c:pt idx="3">
                  <c:v>-0.361745213391541</c:v>
                </c:pt>
                <c:pt idx="4">
                  <c:v>-0.411745213391541</c:v>
                </c:pt>
                <c:pt idx="5">
                  <c:v>-0.361745213391541</c:v>
                </c:pt>
                <c:pt idx="6">
                  <c:v>-0.187143317467259</c:v>
                </c:pt>
                <c:pt idx="7">
                  <c:v>-0.237143317467259</c:v>
                </c:pt>
                <c:pt idx="8">
                  <c:v>-0.187143317467259</c:v>
                </c:pt>
                <c:pt idx="9">
                  <c:v>-0.0125414215429767</c:v>
                </c:pt>
                <c:pt idx="10">
                  <c:v>-0.0625414215429767</c:v>
                </c:pt>
                <c:pt idx="11">
                  <c:v>-0.0125414215429767</c:v>
                </c:pt>
                <c:pt idx="12">
                  <c:v>0.162060474381305</c:v>
                </c:pt>
                <c:pt idx="13">
                  <c:v>0.112060474381305</c:v>
                </c:pt>
                <c:pt idx="14">
                  <c:v>0.162060474381305</c:v>
                </c:pt>
                <c:pt idx="15">
                  <c:v>0.162060474381305</c:v>
                </c:pt>
                <c:pt idx="16">
                  <c:v>0.112060474381305</c:v>
                </c:pt>
                <c:pt idx="17">
                  <c:v>0.162060474381305</c:v>
                </c:pt>
                <c:pt idx="18">
                  <c:v>0.162060474381305</c:v>
                </c:pt>
                <c:pt idx="19">
                  <c:v>0.112060474381305</c:v>
                </c:pt>
                <c:pt idx="20">
                  <c:v>0.162060474381305</c:v>
                </c:pt>
              </c:numCache>
            </c:numRef>
          </c:xVal>
          <c:yVal>
            <c:numRef>
              <c:f>plot!$AE$9:$AE$29</c:f>
              <c:numCache>
                <c:formatCode>General</c:formatCode>
                <c:ptCount val="21"/>
                <c:pt idx="0">
                  <c:v>-0.566857762515748</c:v>
                </c:pt>
                <c:pt idx="1">
                  <c:v>-0.61015903270497</c:v>
                </c:pt>
                <c:pt idx="2">
                  <c:v>-0.566857762515748</c:v>
                </c:pt>
                <c:pt idx="3">
                  <c:v>-0.6172609883222</c:v>
                </c:pt>
                <c:pt idx="4">
                  <c:v>-0.660562258511422</c:v>
                </c:pt>
                <c:pt idx="5">
                  <c:v>-0.6172609883222</c:v>
                </c:pt>
                <c:pt idx="6">
                  <c:v>-0.667664214128651</c:v>
                </c:pt>
                <c:pt idx="7">
                  <c:v>-0.710965484317873</c:v>
                </c:pt>
                <c:pt idx="8">
                  <c:v>-0.667664214128651</c:v>
                </c:pt>
                <c:pt idx="9">
                  <c:v>-0.718067439935103</c:v>
                </c:pt>
                <c:pt idx="10">
                  <c:v>-0.761368710124325</c:v>
                </c:pt>
                <c:pt idx="11">
                  <c:v>-0.718067439935103</c:v>
                </c:pt>
                <c:pt idx="12">
                  <c:v>-0.768470665741555</c:v>
                </c:pt>
                <c:pt idx="13">
                  <c:v>-0.811771935930777</c:v>
                </c:pt>
                <c:pt idx="14">
                  <c:v>-0.768470665741555</c:v>
                </c:pt>
                <c:pt idx="15">
                  <c:v>-0.768470665741555</c:v>
                </c:pt>
                <c:pt idx="16">
                  <c:v>-0.811771935930777</c:v>
                </c:pt>
                <c:pt idx="17">
                  <c:v>-0.768470665741555</c:v>
                </c:pt>
                <c:pt idx="18">
                  <c:v>-0.768470665741555</c:v>
                </c:pt>
                <c:pt idx="19">
                  <c:v>-0.811771935930777</c:v>
                </c:pt>
                <c:pt idx="20">
                  <c:v>-0.768470665741555</c:v>
                </c:pt>
              </c:numCache>
            </c:numRef>
          </c:yVal>
          <c:smooth val="0"/>
        </c:ser>
        <c:ser>
          <c:idx val="10"/>
          <c:order val="9"/>
          <c:tx>
            <c:v>labz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plot!$AH$9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plot!$AH$10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plot!$AH$11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plot!$AH$12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plot!$AH$13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plot!$AH$14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plot!$AH$15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strRef>
                  <c:f>plot!$AH$16</c:f>
                  <c:strCache>
                    <c:ptCount val="1"/>
                    <c:pt idx="0">
                      <c:v>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strRef>
                  <c:f>plot!$AH$17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strRef>
                  <c:f>plot!$AH$18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strRef>
                  <c:f>plot!$AH$19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strRef>
                  <c:f>plot!$AH$20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strRef>
                  <c:f>plot!$AH$21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strRef>
                  <c:f>plot!$AH$22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tx>
                <c:strRef>
                  <c:f>plot!$AH$23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strRef>
                  <c:f>plot!$AH$24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strRef>
                  <c:f>plot!$AH$25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strRef>
                  <c:f>plot!$AH$26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strRef>
                  <c:f>plot!$AH$27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strRef>
                  <c:f>plot!$AH$28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strRef>
                  <c:f>plot!$AH$29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plot!$AI$9:$AI$29</c:f>
              <c:numCache>
                <c:formatCode>General</c:formatCode>
                <c:ptCount val="21"/>
                <c:pt idx="0">
                  <c:v>0.683012701892219</c:v>
                </c:pt>
                <c:pt idx="1">
                  <c:v>0.769615242270663</c:v>
                </c:pt>
                <c:pt idx="2">
                  <c:v>0.683012701892219</c:v>
                </c:pt>
                <c:pt idx="3">
                  <c:v>0.683012701892219</c:v>
                </c:pt>
                <c:pt idx="4">
                  <c:v>0.769615242270663</c:v>
                </c:pt>
                <c:pt idx="5">
                  <c:v>0.683012701892219</c:v>
                </c:pt>
                <c:pt idx="6">
                  <c:v>0.683012701892219</c:v>
                </c:pt>
                <c:pt idx="7">
                  <c:v>0.769615242270663</c:v>
                </c:pt>
                <c:pt idx="8">
                  <c:v>0.683012701892219</c:v>
                </c:pt>
                <c:pt idx="9">
                  <c:v>0.683012701892219</c:v>
                </c:pt>
                <c:pt idx="10">
                  <c:v>0.769615242270663</c:v>
                </c:pt>
                <c:pt idx="11">
                  <c:v>0.683012701892219</c:v>
                </c:pt>
                <c:pt idx="12">
                  <c:v>0.683012701892219</c:v>
                </c:pt>
                <c:pt idx="13">
                  <c:v>0.769615242270663</c:v>
                </c:pt>
                <c:pt idx="14">
                  <c:v>0.683012701892219</c:v>
                </c:pt>
                <c:pt idx="15">
                  <c:v>0.683012701892219</c:v>
                </c:pt>
                <c:pt idx="16">
                  <c:v>0.769615242270663</c:v>
                </c:pt>
                <c:pt idx="17">
                  <c:v>0.683012701892219</c:v>
                </c:pt>
                <c:pt idx="18">
                  <c:v>0.683012701892219</c:v>
                </c:pt>
                <c:pt idx="19">
                  <c:v>0.769615242270663</c:v>
                </c:pt>
                <c:pt idx="20">
                  <c:v>0.683012701892219</c:v>
                </c:pt>
              </c:numCache>
            </c:numRef>
          </c:xVal>
          <c:yVal>
            <c:numRef>
              <c:f>plot!$AJ$9:$AJ$29</c:f>
              <c:numCache>
                <c:formatCode>General</c:formatCode>
                <c:ptCount val="21"/>
                <c:pt idx="0">
                  <c:v>-0.203482235658274</c:v>
                </c:pt>
                <c:pt idx="1">
                  <c:v>-0.228482235658274</c:v>
                </c:pt>
                <c:pt idx="2">
                  <c:v>-0.203482235658274</c:v>
                </c:pt>
                <c:pt idx="3">
                  <c:v>0.00580693519774354</c:v>
                </c:pt>
                <c:pt idx="4">
                  <c:v>-0.0191930648022564</c:v>
                </c:pt>
                <c:pt idx="5">
                  <c:v>0.00580693519774354</c:v>
                </c:pt>
                <c:pt idx="6">
                  <c:v>0.215096106053762</c:v>
                </c:pt>
                <c:pt idx="7">
                  <c:v>0.190096106053762</c:v>
                </c:pt>
                <c:pt idx="8">
                  <c:v>0.215096106053762</c:v>
                </c:pt>
                <c:pt idx="9">
                  <c:v>0.42438527690978</c:v>
                </c:pt>
                <c:pt idx="10">
                  <c:v>0.39938527690978</c:v>
                </c:pt>
                <c:pt idx="11">
                  <c:v>0.42438527690978</c:v>
                </c:pt>
                <c:pt idx="12">
                  <c:v>0.42438527690978</c:v>
                </c:pt>
                <c:pt idx="13">
                  <c:v>0.39938527690978</c:v>
                </c:pt>
                <c:pt idx="14">
                  <c:v>0.42438527690978</c:v>
                </c:pt>
                <c:pt idx="15">
                  <c:v>0.42438527690978</c:v>
                </c:pt>
                <c:pt idx="16">
                  <c:v>0.39938527690978</c:v>
                </c:pt>
                <c:pt idx="17">
                  <c:v>0.42438527690978</c:v>
                </c:pt>
                <c:pt idx="18">
                  <c:v>0.42438527690978</c:v>
                </c:pt>
                <c:pt idx="19">
                  <c:v>0.39938527690978</c:v>
                </c:pt>
                <c:pt idx="20">
                  <c:v>0.42438527690978</c:v>
                </c:pt>
              </c:numCache>
            </c:numRef>
          </c:yVal>
          <c:smooth val="0"/>
        </c:ser>
        <c:ser>
          <c:idx val="2"/>
          <c:order val="10"/>
          <c:tx>
            <c:v>data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0000D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plot!$B$33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plot!$B$34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plot!$B$35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plot!$B$36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plot!$B$37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plot!$B$38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plot!$B$39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errBars>
            <c:errDir val="y"/>
            <c:errBarType val="minus"/>
            <c:errValType val="cust"/>
            <c:noEndCap val="1"/>
            <c:minus>
              <c:numRef>
                <c:f>plot!$G$33:$G$189</c:f>
                <c:numCache>
                  <c:formatCode>General</c:formatCode>
                  <c:ptCount val="157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0.0</c:v>
                  </c:pt>
                  <c:pt idx="9">
                    <c:v>0.0</c:v>
                  </c:pt>
                  <c:pt idx="10">
                    <c:v>0.0</c:v>
                  </c:pt>
                  <c:pt idx="11">
                    <c:v>0.0</c:v>
                  </c:pt>
                  <c:pt idx="12">
                    <c:v>0.0</c:v>
                  </c:pt>
                  <c:pt idx="13">
                    <c:v>0.0</c:v>
                  </c:pt>
                  <c:pt idx="14">
                    <c:v>0.0</c:v>
                  </c:pt>
                  <c:pt idx="15">
                    <c:v>0.0</c:v>
                  </c:pt>
                  <c:pt idx="16">
                    <c:v>0.0</c:v>
                  </c:pt>
                  <c:pt idx="17">
                    <c:v>0.0</c:v>
                  </c:pt>
                  <c:pt idx="18">
                    <c:v>0.0</c:v>
                  </c:pt>
                  <c:pt idx="19">
                    <c:v>0.0</c:v>
                  </c:pt>
                  <c:pt idx="20">
                    <c:v>0.0</c:v>
                  </c:pt>
                  <c:pt idx="21">
                    <c:v>0.0</c:v>
                  </c:pt>
                  <c:pt idx="22">
                    <c:v>0.0</c:v>
                  </c:pt>
                  <c:pt idx="23">
                    <c:v>0.0</c:v>
                  </c:pt>
                  <c:pt idx="24">
                    <c:v>0.0</c:v>
                  </c:pt>
                  <c:pt idx="25">
                    <c:v>0.0</c:v>
                  </c:pt>
                  <c:pt idx="26">
                    <c:v>0.0</c:v>
                  </c:pt>
                  <c:pt idx="27">
                    <c:v>0.0</c:v>
                  </c:pt>
                  <c:pt idx="28">
                    <c:v>0.0</c:v>
                  </c:pt>
                  <c:pt idx="29">
                    <c:v>0.0</c:v>
                  </c:pt>
                  <c:pt idx="30">
                    <c:v>0.0</c:v>
                  </c:pt>
                  <c:pt idx="31">
                    <c:v>0.0</c:v>
                  </c:pt>
                  <c:pt idx="32">
                    <c:v>0.0</c:v>
                  </c:pt>
                  <c:pt idx="33">
                    <c:v>0.0</c:v>
                  </c:pt>
                  <c:pt idx="34">
                    <c:v>0.0</c:v>
                  </c:pt>
                  <c:pt idx="35">
                    <c:v>0.0</c:v>
                  </c:pt>
                  <c:pt idx="36">
                    <c:v>0.0</c:v>
                  </c:pt>
                  <c:pt idx="37">
                    <c:v>0.0</c:v>
                  </c:pt>
                  <c:pt idx="38">
                    <c:v>0.0</c:v>
                  </c:pt>
                  <c:pt idx="39">
                    <c:v>0.0</c:v>
                  </c:pt>
                  <c:pt idx="40">
                    <c:v>0.0</c:v>
                  </c:pt>
                  <c:pt idx="41">
                    <c:v>0.0</c:v>
                  </c:pt>
                  <c:pt idx="42">
                    <c:v>0.0</c:v>
                  </c:pt>
                  <c:pt idx="43">
                    <c:v>0.0</c:v>
                  </c:pt>
                  <c:pt idx="44">
                    <c:v>0.0</c:v>
                  </c:pt>
                  <c:pt idx="45">
                    <c:v>0.0</c:v>
                  </c:pt>
                  <c:pt idx="46">
                    <c:v>0.0</c:v>
                  </c:pt>
                  <c:pt idx="47">
                    <c:v>0.0</c:v>
                  </c:pt>
                  <c:pt idx="48">
                    <c:v>0.0</c:v>
                  </c:pt>
                  <c:pt idx="49">
                    <c:v>0.0</c:v>
                  </c:pt>
                  <c:pt idx="50">
                    <c:v>0.0</c:v>
                  </c:pt>
                  <c:pt idx="51">
                    <c:v>0.0</c:v>
                  </c:pt>
                  <c:pt idx="52">
                    <c:v>0.0</c:v>
                  </c:pt>
                  <c:pt idx="53">
                    <c:v>0.0</c:v>
                  </c:pt>
                  <c:pt idx="54">
                    <c:v>0.0</c:v>
                  </c:pt>
                  <c:pt idx="55">
                    <c:v>0.0</c:v>
                  </c:pt>
                  <c:pt idx="56">
                    <c:v>0.0</c:v>
                  </c:pt>
                  <c:pt idx="57">
                    <c:v>0.0</c:v>
                  </c:pt>
                  <c:pt idx="58">
                    <c:v>0.0</c:v>
                  </c:pt>
                  <c:pt idx="59">
                    <c:v>0.0</c:v>
                  </c:pt>
                  <c:pt idx="60">
                    <c:v>0.0</c:v>
                  </c:pt>
                  <c:pt idx="61">
                    <c:v>0.0</c:v>
                  </c:pt>
                  <c:pt idx="62">
                    <c:v>0.0</c:v>
                  </c:pt>
                  <c:pt idx="63">
                    <c:v>0.0</c:v>
                  </c:pt>
                  <c:pt idx="64">
                    <c:v>0.0</c:v>
                  </c:pt>
                  <c:pt idx="65">
                    <c:v>0.0</c:v>
                  </c:pt>
                  <c:pt idx="66">
                    <c:v>0.0</c:v>
                  </c:pt>
                  <c:pt idx="67">
                    <c:v>0.0</c:v>
                  </c:pt>
                  <c:pt idx="68">
                    <c:v>0.0</c:v>
                  </c:pt>
                  <c:pt idx="69">
                    <c:v>0.0</c:v>
                  </c:pt>
                  <c:pt idx="70">
                    <c:v>0.0</c:v>
                  </c:pt>
                  <c:pt idx="71">
                    <c:v>0.0</c:v>
                  </c:pt>
                  <c:pt idx="72">
                    <c:v>0.0</c:v>
                  </c:pt>
                  <c:pt idx="73">
                    <c:v>0.0</c:v>
                  </c:pt>
                  <c:pt idx="74">
                    <c:v>0.0</c:v>
                  </c:pt>
                  <c:pt idx="75">
                    <c:v>0.0</c:v>
                  </c:pt>
                  <c:pt idx="76">
                    <c:v>0.0</c:v>
                  </c:pt>
                  <c:pt idx="77">
                    <c:v>0.0</c:v>
                  </c:pt>
                  <c:pt idx="78">
                    <c:v>0.0</c:v>
                  </c:pt>
                  <c:pt idx="79">
                    <c:v>0.0</c:v>
                  </c:pt>
                  <c:pt idx="80">
                    <c:v>0.0</c:v>
                  </c:pt>
                  <c:pt idx="81">
                    <c:v>0.0</c:v>
                  </c:pt>
                  <c:pt idx="82">
                    <c:v>0.0</c:v>
                  </c:pt>
                  <c:pt idx="83">
                    <c:v>0.0</c:v>
                  </c:pt>
                  <c:pt idx="84">
                    <c:v>0.0</c:v>
                  </c:pt>
                  <c:pt idx="85">
                    <c:v>0.0</c:v>
                  </c:pt>
                  <c:pt idx="86">
                    <c:v>0.0</c:v>
                  </c:pt>
                  <c:pt idx="87">
                    <c:v>0.0</c:v>
                  </c:pt>
                  <c:pt idx="88">
                    <c:v>0.0</c:v>
                  </c:pt>
                  <c:pt idx="89">
                    <c:v>0.0</c:v>
                  </c:pt>
                  <c:pt idx="90">
                    <c:v>0.0</c:v>
                  </c:pt>
                  <c:pt idx="91">
                    <c:v>0.0</c:v>
                  </c:pt>
                  <c:pt idx="92">
                    <c:v>0.0</c:v>
                  </c:pt>
                  <c:pt idx="93">
                    <c:v>0.0</c:v>
                  </c:pt>
                  <c:pt idx="94">
                    <c:v>0.0</c:v>
                  </c:pt>
                  <c:pt idx="95">
                    <c:v>0.0</c:v>
                  </c:pt>
                  <c:pt idx="96">
                    <c:v>0.0</c:v>
                  </c:pt>
                  <c:pt idx="97">
                    <c:v>0.0</c:v>
                  </c:pt>
                  <c:pt idx="98">
                    <c:v>0.0</c:v>
                  </c:pt>
                  <c:pt idx="99">
                    <c:v>0.0</c:v>
                  </c:pt>
                  <c:pt idx="100">
                    <c:v>0.0</c:v>
                  </c:pt>
                  <c:pt idx="101">
                    <c:v>0.0</c:v>
                  </c:pt>
                  <c:pt idx="102">
                    <c:v>0.0</c:v>
                  </c:pt>
                  <c:pt idx="103">
                    <c:v>0.0</c:v>
                  </c:pt>
                  <c:pt idx="104">
                    <c:v>0.0</c:v>
                  </c:pt>
                  <c:pt idx="105">
                    <c:v>0.0</c:v>
                  </c:pt>
                  <c:pt idx="106">
                    <c:v>0.0</c:v>
                  </c:pt>
                  <c:pt idx="107">
                    <c:v>0.0</c:v>
                  </c:pt>
                  <c:pt idx="108">
                    <c:v>0.0</c:v>
                  </c:pt>
                  <c:pt idx="109">
                    <c:v>0.0</c:v>
                  </c:pt>
                  <c:pt idx="110">
                    <c:v>0.0</c:v>
                  </c:pt>
                  <c:pt idx="111">
                    <c:v>0.0</c:v>
                  </c:pt>
                  <c:pt idx="112">
                    <c:v>0.0</c:v>
                  </c:pt>
                  <c:pt idx="113">
                    <c:v>0.0</c:v>
                  </c:pt>
                  <c:pt idx="114">
                    <c:v>0.0</c:v>
                  </c:pt>
                  <c:pt idx="115">
                    <c:v>0.0</c:v>
                  </c:pt>
                  <c:pt idx="116">
                    <c:v>0.0</c:v>
                  </c:pt>
                  <c:pt idx="117">
                    <c:v>0.0</c:v>
                  </c:pt>
                  <c:pt idx="118">
                    <c:v>0.0</c:v>
                  </c:pt>
                  <c:pt idx="119">
                    <c:v>0.0</c:v>
                  </c:pt>
                  <c:pt idx="120">
                    <c:v>0.0</c:v>
                  </c:pt>
                  <c:pt idx="121">
                    <c:v>0.0</c:v>
                  </c:pt>
                  <c:pt idx="122">
                    <c:v>0.0</c:v>
                  </c:pt>
                  <c:pt idx="123">
                    <c:v>0.0</c:v>
                  </c:pt>
                  <c:pt idx="124">
                    <c:v>0.0</c:v>
                  </c:pt>
                  <c:pt idx="125">
                    <c:v>0.0</c:v>
                  </c:pt>
                  <c:pt idx="126">
                    <c:v>0.0</c:v>
                  </c:pt>
                  <c:pt idx="127">
                    <c:v>0.0</c:v>
                  </c:pt>
                  <c:pt idx="128">
                    <c:v>0.0</c:v>
                  </c:pt>
                  <c:pt idx="129">
                    <c:v>0.0</c:v>
                  </c:pt>
                  <c:pt idx="130">
                    <c:v>0.0</c:v>
                  </c:pt>
                  <c:pt idx="131">
                    <c:v>0.0</c:v>
                  </c:pt>
                  <c:pt idx="132">
                    <c:v>0.0</c:v>
                  </c:pt>
                  <c:pt idx="133">
                    <c:v>0.0</c:v>
                  </c:pt>
                  <c:pt idx="134">
                    <c:v>0.0</c:v>
                  </c:pt>
                  <c:pt idx="135">
                    <c:v>0.0</c:v>
                  </c:pt>
                  <c:pt idx="136">
                    <c:v>0.0</c:v>
                  </c:pt>
                  <c:pt idx="137">
                    <c:v>0.0</c:v>
                  </c:pt>
                  <c:pt idx="138">
                    <c:v>0.0</c:v>
                  </c:pt>
                  <c:pt idx="139">
                    <c:v>0.0</c:v>
                  </c:pt>
                  <c:pt idx="140">
                    <c:v>0.0</c:v>
                  </c:pt>
                  <c:pt idx="141">
                    <c:v>0.0</c:v>
                  </c:pt>
                  <c:pt idx="142">
                    <c:v>0.0</c:v>
                  </c:pt>
                  <c:pt idx="143">
                    <c:v>0.0</c:v>
                  </c:pt>
                  <c:pt idx="144">
                    <c:v>0.0</c:v>
                  </c:pt>
                  <c:pt idx="145">
                    <c:v>0.0</c:v>
                  </c:pt>
                  <c:pt idx="146">
                    <c:v>0.0</c:v>
                  </c:pt>
                  <c:pt idx="147">
                    <c:v>0.0</c:v>
                  </c:pt>
                  <c:pt idx="148">
                    <c:v>0.0</c:v>
                  </c:pt>
                  <c:pt idx="149">
                    <c:v>0.0</c:v>
                  </c:pt>
                  <c:pt idx="150">
                    <c:v>0.0</c:v>
                  </c:pt>
                  <c:pt idx="151">
                    <c:v>0.0</c:v>
                  </c:pt>
                  <c:pt idx="152">
                    <c:v>0.0</c:v>
                  </c:pt>
                  <c:pt idx="153">
                    <c:v>0.0</c:v>
                  </c:pt>
                  <c:pt idx="154">
                    <c:v>0.0</c:v>
                  </c:pt>
                  <c:pt idx="155">
                    <c:v>0.0</c:v>
                  </c:pt>
                  <c:pt idx="156">
                    <c:v>0.0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plot!$K$33:$K$189</c:f>
              <c:numCache>
                <c:formatCode>General</c:formatCode>
                <c:ptCount val="157"/>
                <c:pt idx="0">
                  <c:v>-0.183012701892219</c:v>
                </c:pt>
                <c:pt idx="1">
                  <c:v>-0.155076398544334</c:v>
                </c:pt>
                <c:pt idx="2">
                  <c:v>-0.127140095196449</c:v>
                </c:pt>
                <c:pt idx="3">
                  <c:v>-0.0992037918485639</c:v>
                </c:pt>
                <c:pt idx="4">
                  <c:v>-0.0712674885006788</c:v>
                </c:pt>
                <c:pt idx="5">
                  <c:v>-0.0433311851527938</c:v>
                </c:pt>
                <c:pt idx="6">
                  <c:v>-0.0153948818049086</c:v>
                </c:pt>
                <c:pt idx="7">
                  <c:v>0.0125414215429765</c:v>
                </c:pt>
                <c:pt idx="8">
                  <c:v>0.0404777248908616</c:v>
                </c:pt>
                <c:pt idx="9">
                  <c:v>0.0684140282387467</c:v>
                </c:pt>
                <c:pt idx="10">
                  <c:v>0.0963503315866318</c:v>
                </c:pt>
                <c:pt idx="11">
                  <c:v>0.124286634934517</c:v>
                </c:pt>
                <c:pt idx="12">
                  <c:v>0.152222938282402</c:v>
                </c:pt>
                <c:pt idx="13">
                  <c:v>0.180159241630287</c:v>
                </c:pt>
                <c:pt idx="14">
                  <c:v>0.208095544978172</c:v>
                </c:pt>
                <c:pt idx="15">
                  <c:v>0.236031848326057</c:v>
                </c:pt>
                <c:pt idx="16">
                  <c:v>0.263968151673943</c:v>
                </c:pt>
                <c:pt idx="17">
                  <c:v>0.291904455021828</c:v>
                </c:pt>
                <c:pt idx="18">
                  <c:v>0.319840758369713</c:v>
                </c:pt>
                <c:pt idx="19">
                  <c:v>0.347777061717598</c:v>
                </c:pt>
                <c:pt idx="20">
                  <c:v>0.375713365065483</c:v>
                </c:pt>
                <c:pt idx="21">
                  <c:v>0.403649668413368</c:v>
                </c:pt>
                <c:pt idx="22">
                  <c:v>0.431585971761253</c:v>
                </c:pt>
                <c:pt idx="23">
                  <c:v>0.459522275109138</c:v>
                </c:pt>
                <c:pt idx="24">
                  <c:v>0.487458578457023</c:v>
                </c:pt>
                <c:pt idx="25">
                  <c:v>0.515394881804909</c:v>
                </c:pt>
                <c:pt idx="26">
                  <c:v>0.543331185152794</c:v>
                </c:pt>
                <c:pt idx="27">
                  <c:v>0.571267488500679</c:v>
                </c:pt>
                <c:pt idx="28">
                  <c:v>0.599203791848564</c:v>
                </c:pt>
                <c:pt idx="29">
                  <c:v>0.627140095196449</c:v>
                </c:pt>
                <c:pt idx="30">
                  <c:v>0.655076398544334</c:v>
                </c:pt>
                <c:pt idx="31">
                  <c:v>0.683012701892219</c:v>
                </c:pt>
                <c:pt idx="32">
                  <c:v>-0.199141734150284</c:v>
                </c:pt>
                <c:pt idx="33">
                  <c:v>-0.171205430802399</c:v>
                </c:pt>
                <c:pt idx="34">
                  <c:v>-0.143269127454514</c:v>
                </c:pt>
                <c:pt idx="35">
                  <c:v>-0.115332824106628</c:v>
                </c:pt>
                <c:pt idx="36">
                  <c:v>-0.0873965207587433</c:v>
                </c:pt>
                <c:pt idx="37">
                  <c:v>-0.0594602174108583</c:v>
                </c:pt>
                <c:pt idx="38">
                  <c:v>-0.0315239140629731</c:v>
                </c:pt>
                <c:pt idx="39">
                  <c:v>-0.00358761071508798</c:v>
                </c:pt>
                <c:pt idx="40">
                  <c:v>0.0243486926327971</c:v>
                </c:pt>
                <c:pt idx="41">
                  <c:v>0.0522849959806822</c:v>
                </c:pt>
                <c:pt idx="42">
                  <c:v>0.0802212993285673</c:v>
                </c:pt>
                <c:pt idx="43">
                  <c:v>0.108157602676452</c:v>
                </c:pt>
                <c:pt idx="44">
                  <c:v>0.136093906024338</c:v>
                </c:pt>
                <c:pt idx="45">
                  <c:v>0.164030209372223</c:v>
                </c:pt>
                <c:pt idx="46">
                  <c:v>0.191966512720108</c:v>
                </c:pt>
                <c:pt idx="47">
                  <c:v>0.219902816067993</c:v>
                </c:pt>
                <c:pt idx="48">
                  <c:v>0.247839119415878</c:v>
                </c:pt>
                <c:pt idx="49">
                  <c:v>0.275775422763763</c:v>
                </c:pt>
                <c:pt idx="50">
                  <c:v>0.303711726111648</c:v>
                </c:pt>
                <c:pt idx="51">
                  <c:v>0.331648029459533</c:v>
                </c:pt>
                <c:pt idx="52">
                  <c:v>0.359584332807418</c:v>
                </c:pt>
                <c:pt idx="53">
                  <c:v>0.387520636155304</c:v>
                </c:pt>
                <c:pt idx="54">
                  <c:v>0.415456939503189</c:v>
                </c:pt>
                <c:pt idx="55">
                  <c:v>0.443393242851074</c:v>
                </c:pt>
                <c:pt idx="56">
                  <c:v>0.471329546198959</c:v>
                </c:pt>
                <c:pt idx="57">
                  <c:v>0.499265849546844</c:v>
                </c:pt>
                <c:pt idx="58">
                  <c:v>0.527202152894729</c:v>
                </c:pt>
                <c:pt idx="59">
                  <c:v>0.555138456242614</c:v>
                </c:pt>
                <c:pt idx="60">
                  <c:v>0.583074759590499</c:v>
                </c:pt>
                <c:pt idx="61">
                  <c:v>0.611011062938384</c:v>
                </c:pt>
                <c:pt idx="62">
                  <c:v>0.63894736628627</c:v>
                </c:pt>
                <c:pt idx="63">
                  <c:v>0.666883669634155</c:v>
                </c:pt>
                <c:pt idx="64">
                  <c:v>-0.231399798666413</c:v>
                </c:pt>
                <c:pt idx="65">
                  <c:v>-0.203463495318528</c:v>
                </c:pt>
                <c:pt idx="66">
                  <c:v>-0.175527191970643</c:v>
                </c:pt>
                <c:pt idx="67">
                  <c:v>-0.147590888622757</c:v>
                </c:pt>
                <c:pt idx="68">
                  <c:v>-0.119654585274872</c:v>
                </c:pt>
                <c:pt idx="69">
                  <c:v>-0.0917182819269873</c:v>
                </c:pt>
                <c:pt idx="70">
                  <c:v>-0.0637819785791022</c:v>
                </c:pt>
                <c:pt idx="71">
                  <c:v>-0.035845675231217</c:v>
                </c:pt>
                <c:pt idx="72">
                  <c:v>-0.00790937188333192</c:v>
                </c:pt>
                <c:pt idx="73">
                  <c:v>0.0200269314645532</c:v>
                </c:pt>
                <c:pt idx="74">
                  <c:v>0.0479632348124383</c:v>
                </c:pt>
                <c:pt idx="75">
                  <c:v>0.0758995381603234</c:v>
                </c:pt>
                <c:pt idx="76">
                  <c:v>0.103835841508209</c:v>
                </c:pt>
                <c:pt idx="77">
                  <c:v>0.131772144856094</c:v>
                </c:pt>
                <c:pt idx="78">
                  <c:v>0.159708448203979</c:v>
                </c:pt>
                <c:pt idx="79">
                  <c:v>0.187644751551864</c:v>
                </c:pt>
                <c:pt idx="80">
                  <c:v>0.215581054899749</c:v>
                </c:pt>
                <c:pt idx="81">
                  <c:v>0.243517358247634</c:v>
                </c:pt>
                <c:pt idx="82">
                  <c:v>0.271453661595519</c:v>
                </c:pt>
                <c:pt idx="83">
                  <c:v>0.299389964943404</c:v>
                </c:pt>
                <c:pt idx="84">
                  <c:v>0.327326268291289</c:v>
                </c:pt>
                <c:pt idx="85">
                  <c:v>0.355262571639175</c:v>
                </c:pt>
                <c:pt idx="86">
                  <c:v>0.38319887498706</c:v>
                </c:pt>
                <c:pt idx="87">
                  <c:v>0.411135178334945</c:v>
                </c:pt>
                <c:pt idx="88">
                  <c:v>0.43907148168283</c:v>
                </c:pt>
                <c:pt idx="89">
                  <c:v>0.467007785030715</c:v>
                </c:pt>
                <c:pt idx="90">
                  <c:v>0.4949440883786</c:v>
                </c:pt>
                <c:pt idx="91">
                  <c:v>0.522880391726485</c:v>
                </c:pt>
                <c:pt idx="92">
                  <c:v>0.55081669507437</c:v>
                </c:pt>
                <c:pt idx="93">
                  <c:v>0.578752998422255</c:v>
                </c:pt>
                <c:pt idx="94">
                  <c:v>0.606689301770141</c:v>
                </c:pt>
                <c:pt idx="95">
                  <c:v>0.634625605118026</c:v>
                </c:pt>
                <c:pt idx="96">
                  <c:v>-0.295915927698671</c:v>
                </c:pt>
                <c:pt idx="97">
                  <c:v>-0.267979624350786</c:v>
                </c:pt>
                <c:pt idx="98">
                  <c:v>-0.240043321002901</c:v>
                </c:pt>
                <c:pt idx="99">
                  <c:v>-0.212107017655016</c:v>
                </c:pt>
                <c:pt idx="100">
                  <c:v>-0.18417071430713</c:v>
                </c:pt>
                <c:pt idx="101">
                  <c:v>-0.156234410959245</c:v>
                </c:pt>
                <c:pt idx="102">
                  <c:v>-0.12829810761136</c:v>
                </c:pt>
                <c:pt idx="103">
                  <c:v>-0.100361804263475</c:v>
                </c:pt>
                <c:pt idx="104">
                  <c:v>-0.07242550091559</c:v>
                </c:pt>
                <c:pt idx="105">
                  <c:v>-0.0444891975677049</c:v>
                </c:pt>
                <c:pt idx="106">
                  <c:v>-0.0165528942198198</c:v>
                </c:pt>
                <c:pt idx="107">
                  <c:v>0.0113834091280654</c:v>
                </c:pt>
                <c:pt idx="108">
                  <c:v>0.0393197124759505</c:v>
                </c:pt>
                <c:pt idx="109">
                  <c:v>0.0672560158238356</c:v>
                </c:pt>
                <c:pt idx="110">
                  <c:v>0.0951923191717207</c:v>
                </c:pt>
                <c:pt idx="111">
                  <c:v>0.123128622519606</c:v>
                </c:pt>
                <c:pt idx="112">
                  <c:v>0.151064925867491</c:v>
                </c:pt>
                <c:pt idx="113">
                  <c:v>0.179001229215376</c:v>
                </c:pt>
                <c:pt idx="114">
                  <c:v>0.206937532563261</c:v>
                </c:pt>
                <c:pt idx="115">
                  <c:v>0.234873835911146</c:v>
                </c:pt>
                <c:pt idx="116">
                  <c:v>0.262810139259031</c:v>
                </c:pt>
                <c:pt idx="117">
                  <c:v>0.290746442606916</c:v>
                </c:pt>
                <c:pt idx="118">
                  <c:v>0.318682745954802</c:v>
                </c:pt>
                <c:pt idx="119">
                  <c:v>0.346619049302687</c:v>
                </c:pt>
                <c:pt idx="120">
                  <c:v>0.374555352650572</c:v>
                </c:pt>
                <c:pt idx="121">
                  <c:v>0.402491655998457</c:v>
                </c:pt>
                <c:pt idx="122">
                  <c:v>0.430427959346342</c:v>
                </c:pt>
                <c:pt idx="123">
                  <c:v>0.458364262694227</c:v>
                </c:pt>
                <c:pt idx="124">
                  <c:v>0.486300566042112</c:v>
                </c:pt>
                <c:pt idx="125">
                  <c:v>0.514236869389997</c:v>
                </c:pt>
                <c:pt idx="126">
                  <c:v>0.542173172737883</c:v>
                </c:pt>
                <c:pt idx="127">
                  <c:v>0.570109476085768</c:v>
                </c:pt>
                <c:pt idx="128">
                  <c:v>-0.424948185763187</c:v>
                </c:pt>
                <c:pt idx="129">
                  <c:v>-0.397011882415302</c:v>
                </c:pt>
                <c:pt idx="130">
                  <c:v>-0.369075579067417</c:v>
                </c:pt>
                <c:pt idx="131">
                  <c:v>-0.341139275719532</c:v>
                </c:pt>
                <c:pt idx="132">
                  <c:v>-0.313202972371647</c:v>
                </c:pt>
                <c:pt idx="133">
                  <c:v>-0.285266669023762</c:v>
                </c:pt>
                <c:pt idx="134">
                  <c:v>-0.257330365675876</c:v>
                </c:pt>
                <c:pt idx="135">
                  <c:v>-0.229394062327991</c:v>
                </c:pt>
                <c:pt idx="136">
                  <c:v>-0.201457758980106</c:v>
                </c:pt>
                <c:pt idx="137">
                  <c:v>-0.173521455632221</c:v>
                </c:pt>
                <c:pt idx="138">
                  <c:v>-0.145585152284336</c:v>
                </c:pt>
                <c:pt idx="139">
                  <c:v>-0.117648848936451</c:v>
                </c:pt>
                <c:pt idx="140">
                  <c:v>-0.0897125455885656</c:v>
                </c:pt>
                <c:pt idx="141">
                  <c:v>-0.0617762422406805</c:v>
                </c:pt>
                <c:pt idx="142">
                  <c:v>-0.0338399388927954</c:v>
                </c:pt>
                <c:pt idx="143">
                  <c:v>-0.00590363554491027</c:v>
                </c:pt>
                <c:pt idx="144">
                  <c:v>0.0220326678029748</c:v>
                </c:pt>
                <c:pt idx="145">
                  <c:v>0.0499689711508599</c:v>
                </c:pt>
                <c:pt idx="146">
                  <c:v>0.0779052744987451</c:v>
                </c:pt>
                <c:pt idx="147">
                  <c:v>0.10584157784663</c:v>
                </c:pt>
                <c:pt idx="148">
                  <c:v>-0.683012701892219</c:v>
                </c:pt>
                <c:pt idx="149">
                  <c:v>-0.655076398544334</c:v>
                </c:pt>
                <c:pt idx="150">
                  <c:v>-0.627140095196449</c:v>
                </c:pt>
                <c:pt idx="151">
                  <c:v>-0.599203791848564</c:v>
                </c:pt>
                <c:pt idx="152">
                  <c:v>-0.571267488500679</c:v>
                </c:pt>
                <c:pt idx="153">
                  <c:v>-0.543331185152794</c:v>
                </c:pt>
                <c:pt idx="154">
                  <c:v>-0.515394881804909</c:v>
                </c:pt>
                <c:pt idx="155">
                  <c:v>-0.487458578457024</c:v>
                </c:pt>
                <c:pt idx="156">
                  <c:v>-0.459522275109138</c:v>
                </c:pt>
              </c:numCache>
            </c:numRef>
          </c:xVal>
          <c:yVal>
            <c:numRef>
              <c:f>plot!$L$33:$L$189</c:f>
              <c:numCache>
                <c:formatCode>General</c:formatCode>
                <c:ptCount val="157"/>
                <c:pt idx="0">
                  <c:v>0.0298327084181567</c:v>
                </c:pt>
                <c:pt idx="1">
                  <c:v>-0.0502439209744289</c:v>
                </c:pt>
                <c:pt idx="2">
                  <c:v>-0.0793628230469911</c:v>
                </c:pt>
                <c:pt idx="3">
                  <c:v>-0.101191555431126</c:v>
                </c:pt>
                <c:pt idx="4">
                  <c:v>-0.112559073254608</c:v>
                </c:pt>
                <c:pt idx="5">
                  <c:v>-0.122647938888745</c:v>
                </c:pt>
                <c:pt idx="6">
                  <c:v>-0.132443590394513</c:v>
                </c:pt>
                <c:pt idx="7">
                  <c:v>-0.144651718172738</c:v>
                </c:pt>
                <c:pt idx="8">
                  <c:v>-0.152920081954184</c:v>
                </c:pt>
                <c:pt idx="9">
                  <c:v>-0.158577877262957</c:v>
                </c:pt>
                <c:pt idx="10">
                  <c:v>-0.164449042881418</c:v>
                </c:pt>
                <c:pt idx="11">
                  <c:v>-0.170619701303374</c:v>
                </c:pt>
                <c:pt idx="12">
                  <c:v>-0.175354949947015</c:v>
                </c:pt>
                <c:pt idx="13">
                  <c:v>-0.180591236865684</c:v>
                </c:pt>
                <c:pt idx="14">
                  <c:v>-0.184692653255387</c:v>
                </c:pt>
                <c:pt idx="15">
                  <c:v>-0.187529858408534</c:v>
                </c:pt>
                <c:pt idx="16">
                  <c:v>-0.19098436197112</c:v>
                </c:pt>
                <c:pt idx="17">
                  <c:v>-0.194145337471582</c:v>
                </c:pt>
                <c:pt idx="18">
                  <c:v>-0.197169751788059</c:v>
                </c:pt>
                <c:pt idx="19">
                  <c:v>-0.203151108154976</c:v>
                </c:pt>
                <c:pt idx="20">
                  <c:v>-0.205873622842494</c:v>
                </c:pt>
                <c:pt idx="21">
                  <c:v>-0.209558030559266</c:v>
                </c:pt>
                <c:pt idx="22">
                  <c:v>-0.213155687914718</c:v>
                </c:pt>
                <c:pt idx="23">
                  <c:v>-0.215499703136743</c:v>
                </c:pt>
                <c:pt idx="24">
                  <c:v>-0.215222371493796</c:v>
                </c:pt>
                <c:pt idx="25">
                  <c:v>-0.222100427313246</c:v>
                </c:pt>
                <c:pt idx="26">
                  <c:v>-0.225209499099335</c:v>
                </c:pt>
                <c:pt idx="27">
                  <c:v>-0.230731047157881</c:v>
                </c:pt>
                <c:pt idx="28">
                  <c:v>-0.230985414653494</c:v>
                </c:pt>
                <c:pt idx="29">
                  <c:v>-0.232434090802596</c:v>
                </c:pt>
                <c:pt idx="30">
                  <c:v>-0.234772141283252</c:v>
                </c:pt>
                <c:pt idx="31">
                  <c:v>-0.242275553145219</c:v>
                </c:pt>
                <c:pt idx="32">
                  <c:v>-0.0738519553495622</c:v>
                </c:pt>
                <c:pt idx="33">
                  <c:v>-0.108586295165362</c:v>
                </c:pt>
                <c:pt idx="34">
                  <c:v>-0.121603534878117</c:v>
                </c:pt>
                <c:pt idx="35">
                  <c:v>-0.128029421443932</c:v>
                </c:pt>
                <c:pt idx="36">
                  <c:v>-0.132609377522797</c:v>
                </c:pt>
                <c:pt idx="37">
                  <c:v>-0.136257996791353</c:v>
                </c:pt>
                <c:pt idx="38">
                  <c:v>-0.138108926726841</c:v>
                </c:pt>
                <c:pt idx="39">
                  <c:v>-0.136984497164854</c:v>
                </c:pt>
                <c:pt idx="40">
                  <c:v>-0.13554299450902</c:v>
                </c:pt>
                <c:pt idx="41">
                  <c:v>-0.136482365460845</c:v>
                </c:pt>
                <c:pt idx="42">
                  <c:v>-0.134893418584143</c:v>
                </c:pt>
                <c:pt idx="43">
                  <c:v>-0.132311708525486</c:v>
                </c:pt>
                <c:pt idx="44">
                  <c:v>-0.131297574356541</c:v>
                </c:pt>
                <c:pt idx="45">
                  <c:v>-0.1318639920059</c:v>
                </c:pt>
                <c:pt idx="46">
                  <c:v>-0.125554841814297</c:v>
                </c:pt>
                <c:pt idx="47">
                  <c:v>-0.127337857413842</c:v>
                </c:pt>
                <c:pt idx="48">
                  <c:v>-0.133291796899377</c:v>
                </c:pt>
                <c:pt idx="49">
                  <c:v>-0.139590958872239</c:v>
                </c:pt>
                <c:pt idx="50">
                  <c:v>-0.146216716596221</c:v>
                </c:pt>
                <c:pt idx="51">
                  <c:v>-0.152367283257775</c:v>
                </c:pt>
                <c:pt idx="52">
                  <c:v>-0.159329473323909</c:v>
                </c:pt>
                <c:pt idx="53">
                  <c:v>-0.165361477670173</c:v>
                </c:pt>
                <c:pt idx="54">
                  <c:v>-0.17154333306277</c:v>
                </c:pt>
                <c:pt idx="55">
                  <c:v>-0.177427056031482</c:v>
                </c:pt>
                <c:pt idx="56">
                  <c:v>-0.183224237928046</c:v>
                </c:pt>
                <c:pt idx="57">
                  <c:v>-0.189229871838782</c:v>
                </c:pt>
                <c:pt idx="58">
                  <c:v>-0.195443120607008</c:v>
                </c:pt>
                <c:pt idx="59">
                  <c:v>-0.200780180261444</c:v>
                </c:pt>
                <c:pt idx="60">
                  <c:v>-0.206543248023158</c:v>
                </c:pt>
                <c:pt idx="61">
                  <c:v>-0.211728468384139</c:v>
                </c:pt>
                <c:pt idx="62">
                  <c:v>-0.218016747320116</c:v>
                </c:pt>
                <c:pt idx="63">
                  <c:v>-0.22396566386555</c:v>
                </c:pt>
                <c:pt idx="64">
                  <c:v>-0.128457873095044</c:v>
                </c:pt>
                <c:pt idx="65">
                  <c:v>-0.139834704286629</c:v>
                </c:pt>
                <c:pt idx="66">
                  <c:v>-0.140055690159491</c:v>
                </c:pt>
                <c:pt idx="67">
                  <c:v>-0.132680420931547</c:v>
                </c:pt>
                <c:pt idx="68">
                  <c:v>-0.124100483236157</c:v>
                </c:pt>
                <c:pt idx="69">
                  <c:v>-0.11222570612398</c:v>
                </c:pt>
                <c:pt idx="70">
                  <c:v>-0.103333927564014</c:v>
                </c:pt>
                <c:pt idx="71">
                  <c:v>-0.0907465208250723</c:v>
                </c:pt>
                <c:pt idx="72">
                  <c:v>-0.0949852309108565</c:v>
                </c:pt>
                <c:pt idx="73">
                  <c:v>-0.0996910744259913</c:v>
                </c:pt>
                <c:pt idx="74">
                  <c:v>-0.104606102467397</c:v>
                </c:pt>
                <c:pt idx="75">
                  <c:v>-0.108696321886459</c:v>
                </c:pt>
                <c:pt idx="76">
                  <c:v>-0.112078934618856</c:v>
                </c:pt>
                <c:pt idx="77">
                  <c:v>-0.115874788819109</c:v>
                </c:pt>
                <c:pt idx="78">
                  <c:v>-0.118749142800083</c:v>
                </c:pt>
                <c:pt idx="79">
                  <c:v>-0.122959075624875</c:v>
                </c:pt>
                <c:pt idx="80">
                  <c:v>-0.125348925175317</c:v>
                </c:pt>
                <c:pt idx="81">
                  <c:v>-0.127444932729877</c:v>
                </c:pt>
                <c:pt idx="82">
                  <c:v>-0.13007577876056</c:v>
                </c:pt>
                <c:pt idx="83">
                  <c:v>-0.132687684121281</c:v>
                </c:pt>
                <c:pt idx="84">
                  <c:v>-0.136125863128541</c:v>
                </c:pt>
                <c:pt idx="85">
                  <c:v>-0.137916622427407</c:v>
                </c:pt>
                <c:pt idx="86">
                  <c:v>-0.139891137618286</c:v>
                </c:pt>
                <c:pt idx="87">
                  <c:v>-0.140358352200659</c:v>
                </c:pt>
                <c:pt idx="88">
                  <c:v>-0.141412413618113</c:v>
                </c:pt>
                <c:pt idx="89">
                  <c:v>-0.143142792991188</c:v>
                </c:pt>
                <c:pt idx="90">
                  <c:v>-0.143706699170497</c:v>
                </c:pt>
                <c:pt idx="91">
                  <c:v>-0.144056293238849</c:v>
                </c:pt>
                <c:pt idx="92">
                  <c:v>-0.144587236373748</c:v>
                </c:pt>
                <c:pt idx="93">
                  <c:v>-0.14496477054641</c:v>
                </c:pt>
                <c:pt idx="94">
                  <c:v>-0.145644099703445</c:v>
                </c:pt>
                <c:pt idx="95">
                  <c:v>-0.14606139881857</c:v>
                </c:pt>
                <c:pt idx="96">
                  <c:v>-0.187612761857349</c:v>
                </c:pt>
                <c:pt idx="97">
                  <c:v>-0.172348860556916</c:v>
                </c:pt>
                <c:pt idx="98">
                  <c:v>-0.143869185273608</c:v>
                </c:pt>
                <c:pt idx="99">
                  <c:v>-0.114316484411321</c:v>
                </c:pt>
                <c:pt idx="100">
                  <c:v>-0.115159896278308</c:v>
                </c:pt>
                <c:pt idx="101">
                  <c:v>-0.116047677449517</c:v>
                </c:pt>
                <c:pt idx="102">
                  <c:v>-0.115241890650158</c:v>
                </c:pt>
                <c:pt idx="103">
                  <c:v>-0.114218757046866</c:v>
                </c:pt>
                <c:pt idx="104">
                  <c:v>-0.110845619988617</c:v>
                </c:pt>
                <c:pt idx="105">
                  <c:v>-0.108252608314734</c:v>
                </c:pt>
                <c:pt idx="106">
                  <c:v>-0.105002428644362</c:v>
                </c:pt>
                <c:pt idx="107">
                  <c:v>-0.0992589870815834</c:v>
                </c:pt>
                <c:pt idx="108">
                  <c:v>-0.0940553022904421</c:v>
                </c:pt>
                <c:pt idx="109">
                  <c:v>-0.0870768453304418</c:v>
                </c:pt>
                <c:pt idx="110">
                  <c:v>-0.0799450840527894</c:v>
                </c:pt>
                <c:pt idx="111">
                  <c:v>-0.0730022062518346</c:v>
                </c:pt>
                <c:pt idx="112">
                  <c:v>-0.0644084554711675</c:v>
                </c:pt>
                <c:pt idx="113">
                  <c:v>-0.0526300560221698</c:v>
                </c:pt>
                <c:pt idx="114">
                  <c:v>-0.0454740172006983</c:v>
                </c:pt>
                <c:pt idx="115">
                  <c:v>-0.03263316127585</c:v>
                </c:pt>
                <c:pt idx="116">
                  <c:v>-0.0170759412024614</c:v>
                </c:pt>
                <c:pt idx="117">
                  <c:v>-0.00637402060376181</c:v>
                </c:pt>
                <c:pt idx="118">
                  <c:v>0.00959895240753219</c:v>
                </c:pt>
                <c:pt idx="119">
                  <c:v>0.0210912535599697</c:v>
                </c:pt>
                <c:pt idx="120">
                  <c:v>0.0382128055409215</c:v>
                </c:pt>
                <c:pt idx="121">
                  <c:v>0.0528380609364881</c:v>
                </c:pt>
                <c:pt idx="122">
                  <c:v>0.0665493505229266</c:v>
                </c:pt>
                <c:pt idx="123">
                  <c:v>0.088156283369079</c:v>
                </c:pt>
                <c:pt idx="124">
                  <c:v>0.10674568494983</c:v>
                </c:pt>
                <c:pt idx="125">
                  <c:v>0.122453802515405</c:v>
                </c:pt>
                <c:pt idx="126">
                  <c:v>0.143220648629742</c:v>
                </c:pt>
                <c:pt idx="127">
                  <c:v>0.164940179049815</c:v>
                </c:pt>
                <c:pt idx="128">
                  <c:v>-0.276089728456045</c:v>
                </c:pt>
                <c:pt idx="129">
                  <c:v>-0.209974628023554</c:v>
                </c:pt>
                <c:pt idx="130">
                  <c:v>-0.203653966927554</c:v>
                </c:pt>
                <c:pt idx="131">
                  <c:v>-0.193694708951637</c:v>
                </c:pt>
                <c:pt idx="132">
                  <c:v>-0.179746085445447</c:v>
                </c:pt>
                <c:pt idx="133">
                  <c:v>-0.162638346549772</c:v>
                </c:pt>
                <c:pt idx="134">
                  <c:v>-0.142207095620903</c:v>
                </c:pt>
                <c:pt idx="135">
                  <c:v>-0.119986945504143</c:v>
                </c:pt>
                <c:pt idx="136">
                  <c:v>-0.0920120757009393</c:v>
                </c:pt>
                <c:pt idx="137">
                  <c:v>-0.0638894477431118</c:v>
                </c:pt>
                <c:pt idx="138">
                  <c:v>-0.0293908251951557</c:v>
                </c:pt>
                <c:pt idx="139">
                  <c:v>0.00665433968084094</c:v>
                </c:pt>
                <c:pt idx="140">
                  <c:v>0.0459964368653325</c:v>
                </c:pt>
                <c:pt idx="141">
                  <c:v>0.0894095223567298</c:v>
                </c:pt>
                <c:pt idx="142">
                  <c:v>0.131675807836422</c:v>
                </c:pt>
                <c:pt idx="143">
                  <c:v>0.182215712818394</c:v>
                </c:pt>
                <c:pt idx="144">
                  <c:v>0.235434519187323</c:v>
                </c:pt>
                <c:pt idx="145">
                  <c:v>0.291867693286844</c:v>
                </c:pt>
                <c:pt idx="146">
                  <c:v>0.350794443212529</c:v>
                </c:pt>
                <c:pt idx="147">
                  <c:v>0.411770971277578</c:v>
                </c:pt>
                <c:pt idx="148">
                  <c:v>-0.425400957255944</c:v>
                </c:pt>
                <c:pt idx="149">
                  <c:v>-0.401021884697218</c:v>
                </c:pt>
                <c:pt idx="150">
                  <c:v>-0.361943805801761</c:v>
                </c:pt>
                <c:pt idx="151">
                  <c:v>-0.311271839352979</c:v>
                </c:pt>
                <c:pt idx="152">
                  <c:v>-0.246803530761368</c:v>
                </c:pt>
                <c:pt idx="153">
                  <c:v>-0.168803735472647</c:v>
                </c:pt>
                <c:pt idx="154">
                  <c:v>-0.0774480471011638</c:v>
                </c:pt>
                <c:pt idx="155">
                  <c:v>0.0234408676473966</c:v>
                </c:pt>
                <c:pt idx="156">
                  <c:v>0.140886962636133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0483416"/>
        <c:axId val="-2140480424"/>
      </c:scatterChart>
      <c:valAx>
        <c:axId val="-2140483416"/>
        <c:scaling>
          <c:orientation val="minMax"/>
          <c:max val="1.1"/>
          <c:min val="-1.1"/>
        </c:scaling>
        <c:delete val="1"/>
        <c:axPos val="b"/>
        <c:numFmt formatCode="General" sourceLinked="1"/>
        <c:majorTickMark val="out"/>
        <c:minorTickMark val="none"/>
        <c:tickLblPos val="nextTo"/>
        <c:crossAx val="-2140480424"/>
        <c:crosses val="autoZero"/>
        <c:crossBetween val="midCat"/>
      </c:valAx>
      <c:valAx>
        <c:axId val="-2140480424"/>
        <c:scaling>
          <c:orientation val="minMax"/>
          <c:max val="1.1"/>
          <c:min val="-1.1"/>
        </c:scaling>
        <c:delete val="1"/>
        <c:axPos val="l"/>
        <c:numFmt formatCode="General" sourceLinked="1"/>
        <c:majorTickMark val="out"/>
        <c:minorTickMark val="none"/>
        <c:tickLblPos val="nextTo"/>
        <c:crossAx val="-21404834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en-US"/>
    </a:p>
  </c:txPr>
  <c:printSettings>
    <c:headerFooter/>
    <c:pageMargins b="1.0" l="0.75" r="0.75" t="1.0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Scroll" dx="16" fmlaLink="$C$13" horiz="1" max="360" page="10" val="120"/>
</file>

<file path=xl/ctrlProps/ctrlProp2.xml><?xml version="1.0" encoding="utf-8"?>
<formControlPr xmlns="http://schemas.microsoft.com/office/spreadsheetml/2009/9/main" objectType="Scroll" dx="16" fmlaLink="$D$13" horiz="1" max="360" page="10" val="180"/>
</file>

<file path=xl/ctrlProps/ctrlProp3.xml><?xml version="1.0" encoding="utf-8"?>
<formControlPr xmlns="http://schemas.microsoft.com/office/spreadsheetml/2009/9/main" objectType="Scroll" dx="16" fmlaLink="$E$13" horiz="1" max="360" page="10" val="60"/>
</file>

<file path=xl/ctrlProps/ctrlProp4.xml><?xml version="1.0" encoding="utf-8"?>
<formControlPr xmlns="http://schemas.microsoft.com/office/spreadsheetml/2009/9/main" objectType="Scroll" dx="16" fmlaLink="$C$14" horiz="1" max="100" page="10" val="0"/>
</file>

<file path=xl/ctrlProps/ctrlProp5.xml><?xml version="1.0" encoding="utf-8"?>
<formControlPr xmlns="http://schemas.microsoft.com/office/spreadsheetml/2009/9/main" objectType="Scroll" dx="16" fmlaLink="$D$14" horiz="1" max="100" page="10" val="0"/>
</file>

<file path=xl/ctrlProps/ctrlProp6.xml><?xml version="1.0" encoding="utf-8"?>
<formControlPr xmlns="http://schemas.microsoft.com/office/spreadsheetml/2009/9/main" objectType="Scroll" dx="16" fmlaLink="$E$14" horiz="1" max="100" page="10" val="0"/>
</file>

<file path=xl/ctrlProps/ctrlProp7.xml><?xml version="1.0" encoding="utf-8"?>
<formControlPr xmlns="http://schemas.microsoft.com/office/spreadsheetml/2009/9/main" objectType="Scroll" dx="16" fmlaLink="$C$26" horiz="1" max="100" page="10" val="0"/>
</file>

<file path=xl/ctrlProps/ctrlProp8.xml><?xml version="1.0" encoding="utf-8"?>
<formControlPr xmlns="http://schemas.microsoft.com/office/spreadsheetml/2009/9/main" objectType="Scroll" dx="16" fmlaLink="$D$26" horiz="1" max="100" page="10" val="50"/>
</file>

<file path=xl/ctrlProps/ctrlProp9.xml><?xml version="1.0" encoding="utf-8"?>
<formControlPr xmlns="http://schemas.microsoft.com/office/spreadsheetml/2009/9/main" objectType="Scroll" dx="16" fmlaLink="$E$26" horiz="1" max="100" page="10" val="50"/>
</file>

<file path=xl/ctrlProps/ctrlProp10.xml><?xml version="1.0" encoding="utf-8"?>
<formControlPr xmlns="http://schemas.microsoft.com/office/spreadsheetml/2009/9/main" objectType="CheckBox" fmlaLink="$D$23" lockText="1" noThreeD="1"/>
</file>

<file path=xl/ctrlProps/ctrlProp11.xml><?xml version="1.0" encoding="utf-8"?>
<formControlPr xmlns="http://schemas.microsoft.com/office/spreadsheetml/2009/9/main" objectType="CheckBox" fmlaLink="$D$19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9</xdr:row>
      <xdr:rowOff>88900</xdr:rowOff>
    </xdr:from>
    <xdr:to>
      <xdr:col>0</xdr:col>
      <xdr:colOff>10922000</xdr:colOff>
      <xdr:row>71</xdr:row>
      <xdr:rowOff>25400</xdr:rowOff>
    </xdr:to>
    <xdr:graphicFrame macro="">
      <xdr:nvGraphicFramePr>
        <xdr:cNvPr id="44590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9</xdr:row>
          <xdr:rowOff>12700</xdr:rowOff>
        </xdr:from>
        <xdr:to>
          <xdr:col>5</xdr:col>
          <xdr:colOff>952500</xdr:colOff>
          <xdr:row>10</xdr:row>
          <xdr:rowOff>0</xdr:rowOff>
        </xdr:to>
        <xdr:sp macro="" textlink="">
          <xdr:nvSpPr>
            <xdr:cNvPr id="1069" name="Slider rot x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10</xdr:row>
          <xdr:rowOff>0</xdr:rowOff>
        </xdr:from>
        <xdr:to>
          <xdr:col>5</xdr:col>
          <xdr:colOff>952500</xdr:colOff>
          <xdr:row>10</xdr:row>
          <xdr:rowOff>190500</xdr:rowOff>
        </xdr:to>
        <xdr:sp macro="" textlink="">
          <xdr:nvSpPr>
            <xdr:cNvPr id="1070" name="Slider rot y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11</xdr:row>
          <xdr:rowOff>0</xdr:rowOff>
        </xdr:from>
        <xdr:to>
          <xdr:col>5</xdr:col>
          <xdr:colOff>952500</xdr:colOff>
          <xdr:row>11</xdr:row>
          <xdr:rowOff>190500</xdr:rowOff>
        </xdr:to>
        <xdr:sp macro="" textlink="">
          <xdr:nvSpPr>
            <xdr:cNvPr id="1071" name="Slider rot z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15</xdr:row>
          <xdr:rowOff>0</xdr:rowOff>
        </xdr:from>
        <xdr:to>
          <xdr:col>5</xdr:col>
          <xdr:colOff>952500</xdr:colOff>
          <xdr:row>15</xdr:row>
          <xdr:rowOff>190500</xdr:rowOff>
        </xdr:to>
        <xdr:sp macro="" textlink="">
          <xdr:nvSpPr>
            <xdr:cNvPr id="1072" name="Slider proj x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16</xdr:row>
          <xdr:rowOff>0</xdr:rowOff>
        </xdr:from>
        <xdr:to>
          <xdr:col>5</xdr:col>
          <xdr:colOff>952500</xdr:colOff>
          <xdr:row>16</xdr:row>
          <xdr:rowOff>190500</xdr:rowOff>
        </xdr:to>
        <xdr:sp macro="" textlink="">
          <xdr:nvSpPr>
            <xdr:cNvPr id="1073" name="Slider proj y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17</xdr:row>
          <xdr:rowOff>0</xdr:rowOff>
        </xdr:from>
        <xdr:to>
          <xdr:col>5</xdr:col>
          <xdr:colOff>952500</xdr:colOff>
          <xdr:row>17</xdr:row>
          <xdr:rowOff>190500</xdr:rowOff>
        </xdr:to>
        <xdr:sp macro="" textlink="">
          <xdr:nvSpPr>
            <xdr:cNvPr id="1074" name="Slider proj z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19</xdr:row>
          <xdr:rowOff>12700</xdr:rowOff>
        </xdr:from>
        <xdr:to>
          <xdr:col>5</xdr:col>
          <xdr:colOff>952500</xdr:colOff>
          <xdr:row>20</xdr:row>
          <xdr:rowOff>0</xdr:rowOff>
        </xdr:to>
        <xdr:sp macro="" textlink="">
          <xdr:nvSpPr>
            <xdr:cNvPr id="1125" name="Slider zo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20</xdr:row>
          <xdr:rowOff>0</xdr:rowOff>
        </xdr:from>
        <xdr:to>
          <xdr:col>5</xdr:col>
          <xdr:colOff>952500</xdr:colOff>
          <xdr:row>20</xdr:row>
          <xdr:rowOff>190500</xdr:rowOff>
        </xdr:to>
        <xdr:sp macro="" textlink="">
          <xdr:nvSpPr>
            <xdr:cNvPr id="1126" name="Slider shift x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21</xdr:row>
          <xdr:rowOff>12700</xdr:rowOff>
        </xdr:from>
        <xdr:to>
          <xdr:col>5</xdr:col>
          <xdr:colOff>952500</xdr:colOff>
          <xdr:row>22</xdr:row>
          <xdr:rowOff>0</xdr:rowOff>
        </xdr:to>
        <xdr:sp macro="" textlink="">
          <xdr:nvSpPr>
            <xdr:cNvPr id="1128" name="Slider shift y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21</xdr:row>
          <xdr:rowOff>177800</xdr:rowOff>
        </xdr:from>
        <xdr:to>
          <xdr:col>3</xdr:col>
          <xdr:colOff>254000</xdr:colOff>
          <xdr:row>23</xdr:row>
          <xdr:rowOff>38100</xdr:rowOff>
        </xdr:to>
        <xdr:sp macro="" textlink="">
          <xdr:nvSpPr>
            <xdr:cNvPr id="1225" name="ToscaleSwitch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to-scale axes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127000</xdr:colOff>
      <xdr:row>24</xdr:row>
      <xdr:rowOff>101600</xdr:rowOff>
    </xdr:from>
    <xdr:to>
      <xdr:col>1</xdr:col>
      <xdr:colOff>901700</xdr:colOff>
      <xdr:row>25</xdr:row>
      <xdr:rowOff>177800</xdr:rowOff>
    </xdr:to>
    <xdr:sp macro="[0]!RestoreView" textlink="">
      <xdr:nvSpPr>
        <xdr:cNvPr id="44103" name="AutoShape 71"/>
        <xdr:cNvSpPr>
          <a:spLocks noChangeArrowheads="1"/>
        </xdr:cNvSpPr>
      </xdr:nvSpPr>
      <xdr:spPr bwMode="auto">
        <a:xfrm>
          <a:off x="13220700" y="4635500"/>
          <a:ext cx="774700" cy="279400"/>
        </a:xfrm>
        <a:prstGeom prst="roundRect">
          <a:avLst>
            <a:gd name="adj" fmla="val 37931"/>
          </a:avLst>
        </a:prstGeom>
        <a:solidFill>
          <a:srgbClr val="7FB5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blurRad="63500" dist="53882" dir="2700000" algn="ctr" rotWithShape="0">
            <a:srgbClr val="000000">
              <a:alpha val="74998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rPr>
            <a:t>reset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17</xdr:row>
          <xdr:rowOff>190500</xdr:rowOff>
        </xdr:from>
        <xdr:to>
          <xdr:col>2</xdr:col>
          <xdr:colOff>901700</xdr:colOff>
          <xdr:row>19</xdr:row>
          <xdr:rowOff>0</xdr:rowOff>
        </xdr:to>
        <xdr:sp macro="" textlink="">
          <xdr:nvSpPr>
            <xdr:cNvPr id="44104" name="ZdropLines" hidden="1">
              <a:extLst>
                <a:ext uri="{63B3BB69-23CF-44E3-9099-C40C66FF867C}">
                  <a14:compatExt spid="_x0000_s4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z drop lines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0.00483</cdr:x>
      <cdr:y>0.00463</cdr:y>
    </cdr:from>
    <cdr:to>
      <cdr:x>0.0338</cdr:x>
      <cdr:y>0.99537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304610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0.9662</cdr:x>
      <cdr:y>0.00463</cdr:y>
    </cdr:from>
    <cdr:to>
      <cdr:x>0.99517</cdr:x>
      <cdr:y>0.99537</cdr:y>
    </cdr:to>
    <cdr:sp macro="" textlink="">
      <cdr:nvSpPr>
        <cdr:cNvPr id="2050" name="Rectangl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60191" y="50800"/>
          <a:ext cx="304609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0.01845</cdr:x>
      <cdr:y>0.00463</cdr:y>
    </cdr:from>
    <cdr:to>
      <cdr:x>0.99517</cdr:x>
      <cdr:y>0.03831</cdr:y>
    </cdr:to>
    <cdr:sp macro="" textlink="">
      <cdr:nvSpPr>
        <cdr:cNvPr id="2052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44586" y="-4899793"/>
          <a:ext cx="369621" cy="1027080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0.01449</cdr:x>
      <cdr:y>0.96193</cdr:y>
    </cdr:from>
    <cdr:to>
      <cdr:x>0.99393</cdr:x>
      <cdr:y>0.99537</cdr:y>
    </cdr:to>
    <cdr:sp macro="" textlink="">
      <cdr:nvSpPr>
        <cdr:cNvPr id="2053" name="Rectangl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18608" y="5588826"/>
          <a:ext cx="366903" cy="102994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tables/table1.xml><?xml version="1.0" encoding="utf-8"?>
<table xmlns="http://schemas.openxmlformats.org/spreadsheetml/2006/main" id="1" name="scatterlist" displayName="scatterlist" ref="B32:R189" totalsRowShown="0">
  <tableColumns count="17">
    <tableColumn id="1" name="labels" dataDxfId="16"/>
    <tableColumn id="2" name="gridSize" dataDxfId="15"/>
    <tableColumn id="3" name="blockSize" dataDxfId="14"/>
    <tableColumn id="4" name="time" dataDxfId="13"/>
    <tableColumn id="5" name="4th dimension" dataDxfId="12"/>
    <tableColumn id="6" name="z drop lines" dataDxfId="11">
      <calculatedColumnFormula>D$19*(L33-R33)</calculatedColumnFormula>
    </tableColumn>
    <tableColumn id="7" name="x norm" dataDxfId="10">
      <calculatedColumnFormula>(C33-H$16)/H$17-0.5</calculatedColumnFormula>
    </tableColumn>
    <tableColumn id="8" name="y norm" dataDxfId="9">
      <calculatedColumnFormula>(D33-I$16)/I$17-0.5</calculatedColumnFormula>
    </tableColumn>
    <tableColumn id="9" name="z norm" dataDxfId="8">
      <calculatedColumnFormula>(E33-J$16)/J$17-0.5</calculatedColumnFormula>
    </tableColumn>
    <tableColumn id="10" name="xs" dataDxfId="7">
      <calculatedColumnFormula>(H33*$H$13+I33*$I$13+J33*$J$13+$D$27)*$C$27</calculatedColumnFormula>
    </tableColumn>
    <tableColumn id="11" name="ys" dataDxfId="6">
      <calculatedColumnFormula>(H33*$H$14+I33*$I$14+J33*$J$14+$E$27)*$C$27</calculatedColumnFormula>
    </tableColumn>
    <tableColumn id="12" name="_xs_cpx" dataDxfId="5">
      <calculatedColumnFormula>(H$27*$H$13+I33*$I$13+J33*$J$13+$D$27)*$C$27</calculatedColumnFormula>
    </tableColumn>
    <tableColumn id="13" name="_ys_cpx" dataDxfId="4">
      <calculatedColumnFormula>(H$27*$H$14+I33*$I$14+J33*$J$14+$E$27)*$C$27</calculatedColumnFormula>
    </tableColumn>
    <tableColumn id="14" name="_xs_cpy" dataDxfId="3">
      <calculatedColumnFormula>(H33*$H$13+I$27*$I$13+J33*$J$13+$D$27)*$C$27</calculatedColumnFormula>
    </tableColumn>
    <tableColumn id="15" name="_ys_cpy" dataDxfId="2">
      <calculatedColumnFormula>(H33*$H$14+I$27*$I$14+J33*$J$14+$E$27)*$C$27</calculatedColumnFormula>
    </tableColumn>
    <tableColumn id="16" name="_xs_cpz" dataDxfId="1">
      <calculatedColumnFormula>(H33*$H$13+I33*$I$13+J$27*$J$13+$D$27)*$C$27</calculatedColumnFormula>
    </tableColumn>
    <tableColumn id="17" name="_ys_cpz" dataDxfId="0">
      <calculatedColumnFormula>(H33*$H$14+I33*$I$14+J$27*$J$14+$E$27)*$C$27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/>
  <dimension ref="A1:AJ1932"/>
  <sheetViews>
    <sheetView tabSelected="1" topLeftCell="A132" workbookViewId="0">
      <selection activeCell="E169" sqref="E169"/>
    </sheetView>
  </sheetViews>
  <sheetFormatPr baseColWidth="10" defaultRowHeight="13" x14ac:dyDescent="0"/>
  <cols>
    <col min="1" max="1" width="147.28515625" style="80" customWidth="1"/>
    <col min="6" max="6" width="13.28515625" style="5" customWidth="1"/>
    <col min="7" max="7" width="20.7109375" style="5" customWidth="1"/>
    <col min="9" max="9" width="12.7109375" customWidth="1"/>
    <col min="10" max="10" width="12" customWidth="1"/>
    <col min="18" max="18" width="9.5703125" customWidth="1"/>
    <col min="19" max="21" width="10.7109375" style="10"/>
  </cols>
  <sheetData>
    <row r="1" spans="2:36">
      <c r="F1"/>
      <c r="G1" s="1"/>
      <c r="H1" s="14"/>
    </row>
    <row r="2" spans="2:36">
      <c r="F2"/>
      <c r="G2" s="1"/>
      <c r="H2" s="14"/>
    </row>
    <row r="3" spans="2:36">
      <c r="F3"/>
      <c r="G3" s="1"/>
      <c r="H3" s="14"/>
    </row>
    <row r="4" spans="2:36">
      <c r="B4" s="79"/>
      <c r="G4" s="1"/>
      <c r="H4" s="14"/>
      <c r="P4" s="10"/>
      <c r="Q4" s="10"/>
      <c r="R4" s="10"/>
      <c r="S4"/>
      <c r="T4"/>
      <c r="U4"/>
      <c r="V4" s="10"/>
      <c r="W4" s="10"/>
      <c r="X4" s="10"/>
    </row>
    <row r="5" spans="2:36">
      <c r="F5"/>
      <c r="G5" s="1"/>
      <c r="H5" s="14"/>
      <c r="P5" s="10"/>
      <c r="Q5" s="10"/>
      <c r="R5" s="10"/>
      <c r="S5"/>
      <c r="T5"/>
      <c r="U5"/>
      <c r="V5" s="17"/>
      <c r="W5" s="17"/>
      <c r="X5" s="11"/>
      <c r="Y5" s="17"/>
      <c r="Z5" s="17"/>
      <c r="AA5" s="11"/>
      <c r="AB5" s="11"/>
      <c r="AC5" s="11"/>
    </row>
    <row r="6" spans="2:36">
      <c r="F6"/>
      <c r="G6" s="1"/>
      <c r="H6" s="14"/>
      <c r="P6" s="10"/>
      <c r="Q6" s="10"/>
      <c r="R6" s="10"/>
      <c r="S6" s="2" t="s">
        <v>64</v>
      </c>
      <c r="T6" t="s">
        <v>75</v>
      </c>
      <c r="U6" t="s">
        <v>76</v>
      </c>
      <c r="V6" s="10"/>
      <c r="W6" s="10"/>
      <c r="X6" s="10"/>
    </row>
    <row r="7" spans="2:36">
      <c r="F7"/>
      <c r="G7" s="1"/>
      <c r="P7" s="10"/>
      <c r="Q7" s="10"/>
      <c r="R7" s="10"/>
      <c r="S7"/>
      <c r="T7" t="s">
        <v>79</v>
      </c>
      <c r="U7" t="s">
        <v>80</v>
      </c>
      <c r="V7" s="10"/>
      <c r="W7" s="10"/>
    </row>
    <row r="8" spans="2:36">
      <c r="F8"/>
      <c r="G8" s="26" t="s">
        <v>14</v>
      </c>
      <c r="H8" s="44">
        <f t="array" ref="H8">1+MAX(IF(H33:H65685&lt;&gt;0,ROW(H33:H65685),0))-ROW(H33)</f>
        <v>157</v>
      </c>
      <c r="I8" s="45" t="s">
        <v>5</v>
      </c>
      <c r="J8" s="6"/>
      <c r="K8" s="19" t="s">
        <v>63</v>
      </c>
      <c r="L8" s="6"/>
      <c r="M8" s="6"/>
      <c r="N8" s="20" t="s">
        <v>53</v>
      </c>
      <c r="O8" s="7"/>
      <c r="P8" s="10"/>
      <c r="Q8" s="10"/>
      <c r="R8" s="10"/>
      <c r="S8" s="3" t="s">
        <v>65</v>
      </c>
      <c r="T8" t="s">
        <v>11</v>
      </c>
      <c r="U8" t="s">
        <v>12</v>
      </c>
      <c r="V8" s="36" t="s">
        <v>73</v>
      </c>
      <c r="W8" s="37" t="s">
        <v>74</v>
      </c>
      <c r="X8" s="37" t="s">
        <v>66</v>
      </c>
      <c r="Y8" s="37" t="s">
        <v>67</v>
      </c>
      <c r="Z8" s="38" t="s">
        <v>68</v>
      </c>
      <c r="AA8" s="36" t="s">
        <v>77</v>
      </c>
      <c r="AB8" s="37" t="s">
        <v>78</v>
      </c>
      <c r="AC8" s="37" t="s">
        <v>81</v>
      </c>
      <c r="AD8" s="37" t="s">
        <v>69</v>
      </c>
      <c r="AE8" s="38" t="s">
        <v>70</v>
      </c>
      <c r="AF8" s="36" t="s">
        <v>8</v>
      </c>
      <c r="AG8" s="37" t="s">
        <v>7</v>
      </c>
      <c r="AH8" s="37" t="s">
        <v>6</v>
      </c>
      <c r="AI8" s="12" t="s">
        <v>71</v>
      </c>
      <c r="AJ8" s="13" t="s">
        <v>72</v>
      </c>
    </row>
    <row r="9" spans="2:36">
      <c r="F9"/>
      <c r="G9" s="1"/>
      <c r="H9" s="39"/>
      <c r="I9" s="39"/>
      <c r="J9" s="39"/>
      <c r="K9" s="61" t="s">
        <v>35</v>
      </c>
      <c r="L9" s="62" t="s">
        <v>36</v>
      </c>
      <c r="M9" s="62" t="s">
        <v>37</v>
      </c>
      <c r="N9" s="5" t="s">
        <v>9</v>
      </c>
      <c r="O9" s="4" t="s">
        <v>10</v>
      </c>
      <c r="P9" s="10"/>
      <c r="Q9" s="10"/>
      <c r="R9" s="10"/>
      <c r="S9" s="66">
        <v>0</v>
      </c>
      <c r="T9" s="67">
        <v>0.5</v>
      </c>
      <c r="U9" s="68">
        <v>-0.5</v>
      </c>
      <c r="V9" s="39">
        <f t="shared" ref="V9:V29" si="0">IF($S9&gt;H$23,H$23,$S9)</f>
        <v>0</v>
      </c>
      <c r="W9" s="39">
        <f t="shared" ref="W9:W29" si="1">H$24+V9*H$25</f>
        <v>-0.33870967741935487</v>
      </c>
      <c r="X9" s="40"/>
      <c r="Y9" s="40">
        <f t="shared" ref="Y9:Y29" si="2">(W9*$H$13+T9*$I$13+U9*$J$13+$D$27)*$C$27</f>
        <v>0.60236754060189668</v>
      </c>
      <c r="Z9" s="41">
        <f t="shared" ref="Z9:Z29" si="3">(W9*$H$14+T9*$I$14+U9*$J$14+$E$27)*$C$27</f>
        <v>-0.41134710931582258</v>
      </c>
      <c r="AA9" s="39">
        <f t="shared" ref="AA9:AA29" si="4">IF($S9&gt;I$23,I$23,$S9)</f>
        <v>0</v>
      </c>
      <c r="AB9" s="39">
        <f t="shared" ref="AB9:AB29" si="5">I$24+AA9*I$25</f>
        <v>-0.33064516129032262</v>
      </c>
      <c r="AC9" s="40"/>
      <c r="AD9" s="40">
        <f t="shared" ref="AD9:AD29" si="6">(T9*$H$13+AB9*$I$13+U9*$J$13+$D$27)*$C$27</f>
        <v>-0.53634710931582263</v>
      </c>
      <c r="AE9" s="41">
        <f t="shared" ref="AE9:AE29" si="7">(T9*$H$14+AB9*$I$14+U9*$J$14+$E$27)*$C$27</f>
        <v>-0.56685776251574826</v>
      </c>
      <c r="AF9" s="39">
        <f t="shared" ref="AF9:AF29" si="8">IF($S9&gt;J$23,J$23,$S9)</f>
        <v>0</v>
      </c>
      <c r="AG9" s="39">
        <f t="shared" ref="AG9:AG29" si="9">J$24+AF9*J$25</f>
        <v>-0.34062347976781665</v>
      </c>
      <c r="AH9" s="39"/>
      <c r="AI9" s="40">
        <f t="shared" ref="AI9:AI29" si="10">(U9*$H$13+T9*$I$13+AG9*$J$13+$D$27)*$C$27</f>
        <v>0.68301270189221941</v>
      </c>
      <c r="AJ9" s="41">
        <f t="shared" ref="AJ9:AJ29" si="11">(U9*$H$14+T9*$I$14+AG9*$J$14+$E$27)*$C$27</f>
        <v>-0.20348223565827447</v>
      </c>
    </row>
    <row r="10" spans="2:36" ht="16" customHeight="1">
      <c r="B10" t="s">
        <v>44</v>
      </c>
      <c r="F10"/>
      <c r="G10" s="2" t="s">
        <v>25</v>
      </c>
      <c r="H10" s="39"/>
      <c r="I10" s="39"/>
      <c r="J10" s="39"/>
      <c r="K10" s="57">
        <v>0.5</v>
      </c>
      <c r="L10" s="63">
        <v>-0.5</v>
      </c>
      <c r="M10" s="63">
        <v>-0.5</v>
      </c>
      <c r="N10" s="50">
        <f t="shared" ref="N10:N20" si="12">(K10*$H$13+L10*$I$13+M10*$J$13+$D$27)*$C$27</f>
        <v>-0.68301270189221952</v>
      </c>
      <c r="O10" s="51">
        <f t="shared" ref="O10:O20" si="13">(K10*$H$14+L10*$I$14+M10*$J$14+$E$27)*$C$27</f>
        <v>-0.52451905283832889</v>
      </c>
      <c r="P10" s="15"/>
      <c r="Q10" s="15"/>
      <c r="R10" s="15"/>
      <c r="S10" s="69">
        <v>0</v>
      </c>
      <c r="T10" s="70">
        <v>0.6</v>
      </c>
      <c r="U10" s="71">
        <v>-0.5</v>
      </c>
      <c r="V10" s="39">
        <f t="shared" si="0"/>
        <v>0</v>
      </c>
      <c r="W10" s="39">
        <f t="shared" si="1"/>
        <v>-0.33870967741935487</v>
      </c>
      <c r="X10" s="40">
        <f>H$22+V10*H$21</f>
        <v>6</v>
      </c>
      <c r="Y10" s="40">
        <f t="shared" si="2"/>
        <v>0.68897008098034052</v>
      </c>
      <c r="Z10" s="41">
        <f t="shared" si="3"/>
        <v>-0.43634710931582255</v>
      </c>
      <c r="AA10" s="39">
        <f t="shared" si="4"/>
        <v>0</v>
      </c>
      <c r="AB10" s="39">
        <f t="shared" si="5"/>
        <v>-0.33064516129032262</v>
      </c>
      <c r="AC10" s="40">
        <f>I$22+AA10*I$21</f>
        <v>200</v>
      </c>
      <c r="AD10" s="40">
        <f t="shared" si="6"/>
        <v>-0.58634710931582268</v>
      </c>
      <c r="AE10" s="41">
        <f t="shared" si="7"/>
        <v>-0.61015903270497018</v>
      </c>
      <c r="AF10" s="39">
        <f t="shared" si="8"/>
        <v>0</v>
      </c>
      <c r="AG10" s="39">
        <f t="shared" si="9"/>
        <v>-0.34062347976781665</v>
      </c>
      <c r="AH10" s="39">
        <f>J$22+AF10*J$21</f>
        <v>2</v>
      </c>
      <c r="AI10" s="40">
        <f t="shared" si="10"/>
        <v>0.76961524227066325</v>
      </c>
      <c r="AJ10" s="41">
        <f t="shared" si="11"/>
        <v>-0.22848223565827447</v>
      </c>
    </row>
    <row r="11" spans="2:36" ht="16" customHeight="1">
      <c r="B11" t="s">
        <v>45</v>
      </c>
      <c r="F11"/>
      <c r="G11" s="1" t="s">
        <v>40</v>
      </c>
      <c r="H11" s="46">
        <f>SIN(RADIANS(C13))</f>
        <v>0.86602540378443871</v>
      </c>
      <c r="I11" s="45">
        <f>SIN(RADIANS(D13))</f>
        <v>1.22514845490862E-16</v>
      </c>
      <c r="J11" s="47">
        <f>SIN(RADIANS(E13))</f>
        <v>0.8660254037844386</v>
      </c>
      <c r="K11" s="57">
        <v>-0.5</v>
      </c>
      <c r="L11" s="63">
        <v>-0.5</v>
      </c>
      <c r="M11" s="63">
        <v>-0.5</v>
      </c>
      <c r="N11" s="50">
        <f t="shared" si="12"/>
        <v>-0.1830127018922193</v>
      </c>
      <c r="O11" s="51">
        <f t="shared" si="13"/>
        <v>-9.150635094610976E-2</v>
      </c>
      <c r="P11" s="15"/>
      <c r="Q11" s="15"/>
      <c r="R11" s="15"/>
      <c r="S11" s="69">
        <v>0</v>
      </c>
      <c r="T11" s="70">
        <v>0.5</v>
      </c>
      <c r="U11" s="71">
        <v>-0.5</v>
      </c>
      <c r="V11" s="39">
        <f t="shared" si="0"/>
        <v>0</v>
      </c>
      <c r="W11" s="39">
        <f t="shared" si="1"/>
        <v>-0.33870967741935487</v>
      </c>
      <c r="X11" s="40"/>
      <c r="Y11" s="40">
        <f t="shared" si="2"/>
        <v>0.60236754060189668</v>
      </c>
      <c r="Z11" s="41">
        <f t="shared" si="3"/>
        <v>-0.41134710931582258</v>
      </c>
      <c r="AA11" s="39">
        <f t="shared" si="4"/>
        <v>0</v>
      </c>
      <c r="AB11" s="39">
        <f t="shared" si="5"/>
        <v>-0.33064516129032262</v>
      </c>
      <c r="AC11" s="40"/>
      <c r="AD11" s="40">
        <f t="shared" si="6"/>
        <v>-0.53634710931582263</v>
      </c>
      <c r="AE11" s="41">
        <f t="shared" si="7"/>
        <v>-0.56685776251574826</v>
      </c>
      <c r="AF11" s="39">
        <f t="shared" si="8"/>
        <v>0</v>
      </c>
      <c r="AG11" s="39">
        <f t="shared" si="9"/>
        <v>-0.34062347976781665</v>
      </c>
      <c r="AH11" s="39"/>
      <c r="AI11" s="40">
        <f t="shared" si="10"/>
        <v>0.68301270189221941</v>
      </c>
      <c r="AJ11" s="41">
        <f t="shared" si="11"/>
        <v>-0.20348223565827447</v>
      </c>
    </row>
    <row r="12" spans="2:36" ht="16" customHeight="1">
      <c r="B12" t="s">
        <v>46</v>
      </c>
      <c r="F12"/>
      <c r="G12" s="1" t="s">
        <v>41</v>
      </c>
      <c r="H12" s="48">
        <f>COS(RADIANS(C13))</f>
        <v>-0.49999999999999978</v>
      </c>
      <c r="I12" s="42">
        <f>COS(RADIANS(D13))</f>
        <v>-1</v>
      </c>
      <c r="J12" s="43">
        <f>COS(RADIANS(E13))</f>
        <v>0.50000000000000011</v>
      </c>
      <c r="K12" s="57">
        <v>-0.5</v>
      </c>
      <c r="L12" s="63">
        <v>-0.5</v>
      </c>
      <c r="M12" s="63">
        <v>0.5</v>
      </c>
      <c r="N12" s="50">
        <f t="shared" si="12"/>
        <v>-0.18301270189221919</v>
      </c>
      <c r="O12" s="51">
        <f t="shared" si="13"/>
        <v>0.774519052838329</v>
      </c>
      <c r="P12" s="15"/>
      <c r="Q12" s="15"/>
      <c r="R12" s="15"/>
      <c r="S12" s="69">
        <v>1</v>
      </c>
      <c r="T12" s="70">
        <v>0.5</v>
      </c>
      <c r="U12" s="71">
        <v>-0.5</v>
      </c>
      <c r="V12" s="39">
        <f t="shared" si="0"/>
        <v>1</v>
      </c>
      <c r="W12" s="39">
        <f t="shared" si="1"/>
        <v>-0.14516129032258068</v>
      </c>
      <c r="X12" s="40"/>
      <c r="Y12" s="40">
        <f t="shared" si="2"/>
        <v>0.50559334705350956</v>
      </c>
      <c r="Z12" s="41">
        <f t="shared" si="3"/>
        <v>-0.49515601935947789</v>
      </c>
      <c r="AA12" s="39">
        <f t="shared" si="4"/>
        <v>1</v>
      </c>
      <c r="AB12" s="39">
        <f t="shared" si="5"/>
        <v>-0.12903225806451618</v>
      </c>
      <c r="AC12" s="40"/>
      <c r="AD12" s="40">
        <f t="shared" si="6"/>
        <v>-0.36174521339154059</v>
      </c>
      <c r="AE12" s="41">
        <f t="shared" si="7"/>
        <v>-0.61726098832219978</v>
      </c>
      <c r="AF12" s="39">
        <f t="shared" si="8"/>
        <v>1</v>
      </c>
      <c r="AG12" s="39">
        <f t="shared" si="9"/>
        <v>-9.8957161503425484E-2</v>
      </c>
      <c r="AH12" s="39"/>
      <c r="AI12" s="40">
        <f t="shared" si="10"/>
        <v>0.68301270189221941</v>
      </c>
      <c r="AJ12" s="41">
        <f t="shared" si="11"/>
        <v>5.8069351977435429E-3</v>
      </c>
    </row>
    <row r="13" spans="2:36" ht="16" customHeight="1">
      <c r="B13" t="s">
        <v>50</v>
      </c>
      <c r="C13" s="27">
        <v>120</v>
      </c>
      <c r="D13" s="28">
        <v>180</v>
      </c>
      <c r="E13" s="21">
        <v>60</v>
      </c>
      <c r="F13"/>
      <c r="G13" s="1" t="s">
        <v>42</v>
      </c>
      <c r="H13" s="39">
        <f>I12*J12*H18</f>
        <v>-0.50000000000000011</v>
      </c>
      <c r="I13" s="39">
        <f>-J11*I12*I18</f>
        <v>0.8660254037844386</v>
      </c>
      <c r="J13" s="39">
        <f>I11*J18</f>
        <v>1.22514845490862E-16</v>
      </c>
      <c r="K13" s="57">
        <v>0.5</v>
      </c>
      <c r="L13" s="63">
        <v>-0.5</v>
      </c>
      <c r="M13" s="63">
        <v>0.5</v>
      </c>
      <c r="N13" s="50">
        <f t="shared" si="12"/>
        <v>-0.6830127018922193</v>
      </c>
      <c r="O13" s="51">
        <f t="shared" si="13"/>
        <v>0.34150635094610982</v>
      </c>
      <c r="P13" s="15"/>
      <c r="Q13" s="15"/>
      <c r="R13" s="15"/>
      <c r="S13" s="69">
        <v>1</v>
      </c>
      <c r="T13" s="70">
        <v>0.6</v>
      </c>
      <c r="U13" s="71">
        <v>-0.5</v>
      </c>
      <c r="V13" s="39">
        <f t="shared" si="0"/>
        <v>1</v>
      </c>
      <c r="W13" s="39">
        <f t="shared" si="1"/>
        <v>-0.14516129032258068</v>
      </c>
      <c r="X13" s="40">
        <f>H$22+V13*H$21</f>
        <v>12</v>
      </c>
      <c r="Y13" s="40">
        <f t="shared" si="2"/>
        <v>0.59219588743195339</v>
      </c>
      <c r="Z13" s="41">
        <f t="shared" si="3"/>
        <v>-0.52015601935947786</v>
      </c>
      <c r="AA13" s="39">
        <f t="shared" si="4"/>
        <v>1</v>
      </c>
      <c r="AB13" s="39">
        <f t="shared" si="5"/>
        <v>-0.12903225806451618</v>
      </c>
      <c r="AC13" s="40">
        <f>I$22+AA13*I$21</f>
        <v>400</v>
      </c>
      <c r="AD13" s="40">
        <f t="shared" si="6"/>
        <v>-0.41174521339154063</v>
      </c>
      <c r="AE13" s="41">
        <f t="shared" si="7"/>
        <v>-0.6605622585114217</v>
      </c>
      <c r="AF13" s="39">
        <f t="shared" si="8"/>
        <v>1</v>
      </c>
      <c r="AG13" s="39">
        <f t="shared" si="9"/>
        <v>-9.8957161503425484E-2</v>
      </c>
      <c r="AH13" s="39">
        <f>J$22+AF13*J$21</f>
        <v>4</v>
      </c>
      <c r="AI13" s="40">
        <f t="shared" si="10"/>
        <v>0.76961524227066325</v>
      </c>
      <c r="AJ13" s="41">
        <f t="shared" si="11"/>
        <v>-1.9193064802256452E-2</v>
      </c>
    </row>
    <row r="14" spans="2:36" ht="16" customHeight="1">
      <c r="B14" t="s">
        <v>51</v>
      </c>
      <c r="C14" s="29">
        <v>0</v>
      </c>
      <c r="D14" s="30">
        <v>0</v>
      </c>
      <c r="E14" s="23">
        <v>0</v>
      </c>
      <c r="G14" s="1" t="s">
        <v>43</v>
      </c>
      <c r="H14" s="39">
        <f>(J12*I11*H11+J11*H12)*H18</f>
        <v>-0.43301270189221908</v>
      </c>
      <c r="I14" s="39">
        <f>(-J11*I11*H11+J12*H12)*I18</f>
        <v>-0.25000000000000006</v>
      </c>
      <c r="J14" s="39">
        <f>-I12*H11*J18</f>
        <v>0.86602540378443871</v>
      </c>
      <c r="K14" s="57">
        <v>0.5</v>
      </c>
      <c r="L14" s="63">
        <v>-0.5</v>
      </c>
      <c r="M14" s="63">
        <v>-0.5</v>
      </c>
      <c r="N14" s="50">
        <f t="shared" si="12"/>
        <v>-0.68301270189221952</v>
      </c>
      <c r="O14" s="51">
        <f t="shared" si="13"/>
        <v>-0.52451905283832889</v>
      </c>
      <c r="P14" s="15"/>
      <c r="Q14" s="15"/>
      <c r="R14" s="15"/>
      <c r="S14" s="69">
        <v>1</v>
      </c>
      <c r="T14" s="70">
        <v>0.5</v>
      </c>
      <c r="U14" s="71">
        <v>-0.5</v>
      </c>
      <c r="V14" s="39">
        <f t="shared" si="0"/>
        <v>1</v>
      </c>
      <c r="W14" s="39">
        <f t="shared" si="1"/>
        <v>-0.14516129032258068</v>
      </c>
      <c r="X14" s="40"/>
      <c r="Y14" s="40">
        <f t="shared" si="2"/>
        <v>0.50559334705350956</v>
      </c>
      <c r="Z14" s="41">
        <f t="shared" si="3"/>
        <v>-0.49515601935947789</v>
      </c>
      <c r="AA14" s="39">
        <f t="shared" si="4"/>
        <v>1</v>
      </c>
      <c r="AB14" s="39">
        <f t="shared" si="5"/>
        <v>-0.12903225806451618</v>
      </c>
      <c r="AC14" s="40"/>
      <c r="AD14" s="40">
        <f t="shared" si="6"/>
        <v>-0.36174521339154059</v>
      </c>
      <c r="AE14" s="41">
        <f t="shared" si="7"/>
        <v>-0.61726098832219978</v>
      </c>
      <c r="AF14" s="39">
        <f t="shared" si="8"/>
        <v>1</v>
      </c>
      <c r="AG14" s="39">
        <f t="shared" si="9"/>
        <v>-9.8957161503425484E-2</v>
      </c>
      <c r="AH14" s="39"/>
      <c r="AI14" s="40">
        <f t="shared" si="10"/>
        <v>0.68301270189221941</v>
      </c>
      <c r="AJ14" s="41">
        <f t="shared" si="11"/>
        <v>5.8069351977435429E-3</v>
      </c>
    </row>
    <row r="15" spans="2:36" ht="16" customHeight="1">
      <c r="G15" s="2" t="s">
        <v>13</v>
      </c>
      <c r="H15" s="39"/>
      <c r="I15" s="39"/>
      <c r="J15" s="39"/>
      <c r="K15" s="57">
        <v>0.5</v>
      </c>
      <c r="L15" s="63">
        <v>0.5</v>
      </c>
      <c r="M15" s="63">
        <v>-0.5</v>
      </c>
      <c r="N15" s="50">
        <f t="shared" si="12"/>
        <v>0.18301270189221919</v>
      </c>
      <c r="O15" s="51">
        <f t="shared" si="13"/>
        <v>-0.774519052838329</v>
      </c>
      <c r="P15" s="15"/>
      <c r="Q15" s="15"/>
      <c r="R15" s="15"/>
      <c r="S15" s="69">
        <v>2</v>
      </c>
      <c r="T15" s="70">
        <v>0.5</v>
      </c>
      <c r="U15" s="71">
        <v>-0.5</v>
      </c>
      <c r="V15" s="39">
        <f t="shared" si="0"/>
        <v>2</v>
      </c>
      <c r="W15" s="39">
        <f t="shared" si="1"/>
        <v>4.8387096774193505E-2</v>
      </c>
      <c r="X15" s="40"/>
      <c r="Y15" s="40">
        <f t="shared" si="2"/>
        <v>0.40881915350512249</v>
      </c>
      <c r="Z15" s="41">
        <f t="shared" si="3"/>
        <v>-0.57896492940313316</v>
      </c>
      <c r="AA15" s="39">
        <f t="shared" si="4"/>
        <v>2</v>
      </c>
      <c r="AB15" s="39">
        <f t="shared" si="5"/>
        <v>7.2580645161290258E-2</v>
      </c>
      <c r="AC15" s="40"/>
      <c r="AD15" s="40">
        <f t="shared" si="6"/>
        <v>-0.18714331746725865</v>
      </c>
      <c r="AE15" s="41">
        <f t="shared" si="7"/>
        <v>-0.66766421412865151</v>
      </c>
      <c r="AF15" s="39">
        <f t="shared" si="8"/>
        <v>2</v>
      </c>
      <c r="AG15" s="39">
        <f t="shared" si="9"/>
        <v>0.14270915676096568</v>
      </c>
      <c r="AH15" s="39"/>
      <c r="AI15" s="40">
        <f t="shared" si="10"/>
        <v>0.68301270189221941</v>
      </c>
      <c r="AJ15" s="41">
        <f t="shared" si="11"/>
        <v>0.21509610605376156</v>
      </c>
    </row>
    <row r="16" spans="2:36" ht="16" customHeight="1">
      <c r="B16" t="s">
        <v>47</v>
      </c>
      <c r="F16"/>
      <c r="G16" s="1" t="s">
        <v>38</v>
      </c>
      <c r="H16" s="39">
        <f>MIN(C33:C189)</f>
        <v>1</v>
      </c>
      <c r="I16" s="39">
        <f>MIN(D33:D189)</f>
        <v>32</v>
      </c>
      <c r="J16" s="39">
        <f>MIN(E33:E189)</f>
        <v>0.68101999999999996</v>
      </c>
      <c r="K16" s="57">
        <v>-0.5</v>
      </c>
      <c r="L16" s="63">
        <v>0.5</v>
      </c>
      <c r="M16" s="63">
        <v>-0.5</v>
      </c>
      <c r="N16" s="50">
        <f t="shared" si="12"/>
        <v>0.6830127018922193</v>
      </c>
      <c r="O16" s="51">
        <f t="shared" si="13"/>
        <v>-0.34150635094610982</v>
      </c>
      <c r="P16" s="15"/>
      <c r="Q16" s="15"/>
      <c r="R16" s="15"/>
      <c r="S16" s="69">
        <v>2</v>
      </c>
      <c r="T16" s="70">
        <v>0.6</v>
      </c>
      <c r="U16" s="71">
        <v>-0.5</v>
      </c>
      <c r="V16" s="39">
        <f t="shared" si="0"/>
        <v>2</v>
      </c>
      <c r="W16" s="39">
        <f t="shared" si="1"/>
        <v>4.8387096774193505E-2</v>
      </c>
      <c r="X16" s="40">
        <f>H$22+V16*H$21</f>
        <v>18</v>
      </c>
      <c r="Y16" s="40">
        <f t="shared" si="2"/>
        <v>0.49542169388356633</v>
      </c>
      <c r="Z16" s="41">
        <f t="shared" si="3"/>
        <v>-0.60396492940313318</v>
      </c>
      <c r="AA16" s="39">
        <f t="shared" si="4"/>
        <v>2</v>
      </c>
      <c r="AB16" s="39">
        <f t="shared" si="5"/>
        <v>7.2580645161290258E-2</v>
      </c>
      <c r="AC16" s="40">
        <f>I$22+AA16*I$21</f>
        <v>600</v>
      </c>
      <c r="AD16" s="40">
        <f t="shared" si="6"/>
        <v>-0.23714331746725864</v>
      </c>
      <c r="AE16" s="41">
        <f t="shared" si="7"/>
        <v>-0.71096548431787343</v>
      </c>
      <c r="AF16" s="39">
        <f t="shared" si="8"/>
        <v>2</v>
      </c>
      <c r="AG16" s="39">
        <f t="shared" si="9"/>
        <v>0.14270915676096568</v>
      </c>
      <c r="AH16" s="39">
        <f>J$22+AF16*J$21</f>
        <v>6</v>
      </c>
      <c r="AI16" s="40">
        <f t="shared" si="10"/>
        <v>0.76961524227066325</v>
      </c>
      <c r="AJ16" s="41">
        <f t="shared" si="11"/>
        <v>0.19009610605376159</v>
      </c>
    </row>
    <row r="17" spans="2:36" ht="16" customHeight="1">
      <c r="B17" t="s">
        <v>48</v>
      </c>
      <c r="F17"/>
      <c r="G17" s="1" t="s">
        <v>39</v>
      </c>
      <c r="H17" s="39">
        <f>MAX(C33:C189)-H16</f>
        <v>31</v>
      </c>
      <c r="I17" s="39">
        <f>MAX(D33:D189)-I16</f>
        <v>992</v>
      </c>
      <c r="J17" s="39">
        <f>MAX(E33:E189)-J16</f>
        <v>8.275874</v>
      </c>
      <c r="K17" s="57">
        <v>-0.5</v>
      </c>
      <c r="L17" s="63">
        <v>0.5</v>
      </c>
      <c r="M17" s="63">
        <v>0.5</v>
      </c>
      <c r="N17" s="50">
        <f t="shared" si="12"/>
        <v>0.68301270189221952</v>
      </c>
      <c r="O17" s="51">
        <f t="shared" si="13"/>
        <v>0.52451905283832889</v>
      </c>
      <c r="P17" s="15"/>
      <c r="Q17" s="15"/>
      <c r="R17" s="15"/>
      <c r="S17" s="69">
        <v>2</v>
      </c>
      <c r="T17" s="70">
        <v>0.5</v>
      </c>
      <c r="U17" s="71">
        <v>-0.5</v>
      </c>
      <c r="V17" s="39">
        <f t="shared" si="0"/>
        <v>2</v>
      </c>
      <c r="W17" s="39">
        <f t="shared" si="1"/>
        <v>4.8387096774193505E-2</v>
      </c>
      <c r="X17" s="40"/>
      <c r="Y17" s="40">
        <f t="shared" si="2"/>
        <v>0.40881915350512249</v>
      </c>
      <c r="Z17" s="41">
        <f t="shared" si="3"/>
        <v>-0.57896492940313316</v>
      </c>
      <c r="AA17" s="39">
        <f t="shared" si="4"/>
        <v>2</v>
      </c>
      <c r="AB17" s="39">
        <f t="shared" si="5"/>
        <v>7.2580645161290258E-2</v>
      </c>
      <c r="AC17" s="40"/>
      <c r="AD17" s="40">
        <f t="shared" si="6"/>
        <v>-0.18714331746725865</v>
      </c>
      <c r="AE17" s="41">
        <f t="shared" si="7"/>
        <v>-0.66766421412865151</v>
      </c>
      <c r="AF17" s="39">
        <f t="shared" si="8"/>
        <v>2</v>
      </c>
      <c r="AG17" s="39">
        <f t="shared" si="9"/>
        <v>0.14270915676096568</v>
      </c>
      <c r="AH17" s="39"/>
      <c r="AI17" s="40">
        <f t="shared" si="10"/>
        <v>0.68301270189221941</v>
      </c>
      <c r="AJ17" s="41">
        <f t="shared" si="11"/>
        <v>0.21509610605376156</v>
      </c>
    </row>
    <row r="18" spans="2:36" ht="16" customHeight="1">
      <c r="B18" t="s">
        <v>49</v>
      </c>
      <c r="F18"/>
      <c r="G18" s="1" t="s">
        <v>24</v>
      </c>
      <c r="H18" s="49">
        <f>IF(D23,H17/MAX($H17:$J17),1)</f>
        <v>1</v>
      </c>
      <c r="I18" s="49">
        <f>IF(D23,I17/MAX($H17:$J17),1)</f>
        <v>1</v>
      </c>
      <c r="J18" s="49">
        <f>IF(D23,J17/MAX($H17:$J17),1)</f>
        <v>1</v>
      </c>
      <c r="K18" s="57">
        <v>-0.5</v>
      </c>
      <c r="L18" s="63">
        <v>-0.5</v>
      </c>
      <c r="M18" s="63">
        <v>0.5</v>
      </c>
      <c r="N18" s="50">
        <f t="shared" si="12"/>
        <v>-0.18301270189221919</v>
      </c>
      <c r="O18" s="51">
        <f t="shared" si="13"/>
        <v>0.774519052838329</v>
      </c>
      <c r="P18" s="15"/>
      <c r="Q18" s="15"/>
      <c r="R18" s="15"/>
      <c r="S18" s="69">
        <v>3</v>
      </c>
      <c r="T18" s="70">
        <v>0.5</v>
      </c>
      <c r="U18" s="71">
        <v>-0.5</v>
      </c>
      <c r="V18" s="39">
        <f t="shared" si="0"/>
        <v>3</v>
      </c>
      <c r="W18" s="39">
        <f t="shared" si="1"/>
        <v>0.24193548387096764</v>
      </c>
      <c r="X18" s="40"/>
      <c r="Y18" s="40">
        <f t="shared" si="2"/>
        <v>0.31204495995673537</v>
      </c>
      <c r="Z18" s="41">
        <f t="shared" si="3"/>
        <v>-0.66277383944678847</v>
      </c>
      <c r="AA18" s="39">
        <f t="shared" si="4"/>
        <v>3</v>
      </c>
      <c r="AB18" s="39">
        <f t="shared" si="5"/>
        <v>0.27419354838709664</v>
      </c>
      <c r="AC18" s="40"/>
      <c r="AD18" s="40">
        <f t="shared" si="6"/>
        <v>-1.2541421542976749E-2</v>
      </c>
      <c r="AE18" s="41">
        <f t="shared" si="7"/>
        <v>-0.71806743993510302</v>
      </c>
      <c r="AF18" s="39">
        <f t="shared" si="8"/>
        <v>3</v>
      </c>
      <c r="AG18" s="39">
        <f t="shared" si="9"/>
        <v>0.38437547502535679</v>
      </c>
      <c r="AH18" s="39"/>
      <c r="AI18" s="40">
        <f t="shared" si="10"/>
        <v>0.68301270189221941</v>
      </c>
      <c r="AJ18" s="41">
        <f t="shared" si="11"/>
        <v>0.42438527690977956</v>
      </c>
    </row>
    <row r="19" spans="2:36" ht="16" customHeight="1">
      <c r="B19" s="32"/>
      <c r="D19" t="b">
        <v>0</v>
      </c>
      <c r="F19"/>
      <c r="G19" s="2" t="s">
        <v>62</v>
      </c>
      <c r="H19" s="39"/>
      <c r="I19" s="39"/>
      <c r="J19" s="39"/>
      <c r="K19" s="57">
        <v>-0.5</v>
      </c>
      <c r="L19" s="63">
        <v>-0.5</v>
      </c>
      <c r="M19" s="63">
        <v>-0.5</v>
      </c>
      <c r="N19" s="50">
        <f t="shared" si="12"/>
        <v>-0.1830127018922193</v>
      </c>
      <c r="O19" s="51">
        <f t="shared" si="13"/>
        <v>-9.150635094610976E-2</v>
      </c>
      <c r="P19" s="15"/>
      <c r="Q19" s="15"/>
      <c r="R19" s="15"/>
      <c r="S19" s="69">
        <v>3</v>
      </c>
      <c r="T19" s="70">
        <v>0.6</v>
      </c>
      <c r="U19" s="71">
        <v>-0.5</v>
      </c>
      <c r="V19" s="39">
        <f t="shared" si="0"/>
        <v>3</v>
      </c>
      <c r="W19" s="39">
        <f t="shared" si="1"/>
        <v>0.24193548387096764</v>
      </c>
      <c r="X19" s="40">
        <f>H$22+V19*H$21</f>
        <v>24</v>
      </c>
      <c r="Y19" s="40">
        <f t="shared" si="2"/>
        <v>0.39864750033517921</v>
      </c>
      <c r="Z19" s="41">
        <f t="shared" si="3"/>
        <v>-0.68777383944678849</v>
      </c>
      <c r="AA19" s="39">
        <f t="shared" si="4"/>
        <v>3</v>
      </c>
      <c r="AB19" s="39">
        <f t="shared" si="5"/>
        <v>0.27419354838709664</v>
      </c>
      <c r="AC19" s="40">
        <f>I$22+AA19*I$21</f>
        <v>800</v>
      </c>
      <c r="AD19" s="40">
        <f t="shared" si="6"/>
        <v>-6.2541421542976733E-2</v>
      </c>
      <c r="AE19" s="41">
        <f t="shared" si="7"/>
        <v>-0.76136871012432494</v>
      </c>
      <c r="AF19" s="39">
        <f t="shared" si="8"/>
        <v>3</v>
      </c>
      <c r="AG19" s="39">
        <f t="shared" si="9"/>
        <v>0.38437547502535679</v>
      </c>
      <c r="AH19" s="39">
        <f>J$22+AF19*J$21</f>
        <v>8</v>
      </c>
      <c r="AI19" s="40">
        <f t="shared" si="10"/>
        <v>0.76961524227066325</v>
      </c>
      <c r="AJ19" s="41">
        <f t="shared" si="11"/>
        <v>0.3993852769097796</v>
      </c>
    </row>
    <row r="20" spans="2:36" ht="16" customHeight="1">
      <c r="B20" t="s">
        <v>22</v>
      </c>
      <c r="F20"/>
      <c r="G20" s="1" t="s">
        <v>56</v>
      </c>
      <c r="H20" s="39">
        <f>H17/5</f>
        <v>6.2</v>
      </c>
      <c r="I20" s="39">
        <f>I17/5</f>
        <v>198.4</v>
      </c>
      <c r="J20" s="39">
        <f>J17/5</f>
        <v>1.6551747999999999</v>
      </c>
      <c r="K20" s="59">
        <v>-0.5</v>
      </c>
      <c r="L20" s="64">
        <v>0.5</v>
      </c>
      <c r="M20" s="64">
        <v>-0.5</v>
      </c>
      <c r="N20" s="52">
        <f t="shared" si="12"/>
        <v>0.6830127018922193</v>
      </c>
      <c r="O20" s="53">
        <f t="shared" si="13"/>
        <v>-0.34150635094610982</v>
      </c>
      <c r="P20" s="15"/>
      <c r="Q20" s="15"/>
      <c r="R20" s="15"/>
      <c r="S20" s="69">
        <v>3</v>
      </c>
      <c r="T20" s="70">
        <v>0.5</v>
      </c>
      <c r="U20" s="71">
        <v>-0.5</v>
      </c>
      <c r="V20" s="39">
        <f t="shared" si="0"/>
        <v>3</v>
      </c>
      <c r="W20" s="39">
        <f t="shared" si="1"/>
        <v>0.24193548387096764</v>
      </c>
      <c r="X20" s="40"/>
      <c r="Y20" s="40">
        <f t="shared" si="2"/>
        <v>0.31204495995673537</v>
      </c>
      <c r="Z20" s="41">
        <f t="shared" si="3"/>
        <v>-0.66277383944678847</v>
      </c>
      <c r="AA20" s="39">
        <f t="shared" si="4"/>
        <v>3</v>
      </c>
      <c r="AB20" s="39">
        <f t="shared" si="5"/>
        <v>0.27419354838709664</v>
      </c>
      <c r="AC20" s="40"/>
      <c r="AD20" s="40">
        <f t="shared" si="6"/>
        <v>-1.2541421542976749E-2</v>
      </c>
      <c r="AE20" s="41">
        <f t="shared" si="7"/>
        <v>-0.71806743993510302</v>
      </c>
      <c r="AF20" s="39">
        <f t="shared" si="8"/>
        <v>3</v>
      </c>
      <c r="AG20" s="39">
        <f t="shared" si="9"/>
        <v>0.38437547502535679</v>
      </c>
      <c r="AH20" s="39"/>
      <c r="AI20" s="40">
        <f t="shared" si="10"/>
        <v>0.68301270189221941</v>
      </c>
      <c r="AJ20" s="41">
        <f t="shared" si="11"/>
        <v>0.42438527690977956</v>
      </c>
    </row>
    <row r="21" spans="2:36" ht="16" customHeight="1">
      <c r="B21" t="s">
        <v>20</v>
      </c>
      <c r="F21"/>
      <c r="G21" s="1" t="s">
        <v>57</v>
      </c>
      <c r="H21" s="39">
        <f>ROUND(H20,1-INT(LOG(ABS(H20))+1))</f>
        <v>6</v>
      </c>
      <c r="I21" s="39">
        <f>ROUND(I20,1-INT(LOG(ABS(I20))+1))</f>
        <v>200</v>
      </c>
      <c r="J21" s="39">
        <f>ROUND(J20,1-INT(LOG(ABS(J20))+1))</f>
        <v>2</v>
      </c>
      <c r="K21" s="1"/>
      <c r="P21" s="10"/>
      <c r="Q21" s="10"/>
      <c r="R21" s="10"/>
      <c r="S21" s="69">
        <v>4</v>
      </c>
      <c r="T21" s="70">
        <v>0.5</v>
      </c>
      <c r="U21" s="71">
        <v>-0.5</v>
      </c>
      <c r="V21" s="39">
        <f t="shared" si="0"/>
        <v>4</v>
      </c>
      <c r="W21" s="39">
        <f t="shared" si="1"/>
        <v>0.43548387096774188</v>
      </c>
      <c r="X21" s="40"/>
      <c r="Y21" s="40">
        <f t="shared" si="2"/>
        <v>0.21527076640834825</v>
      </c>
      <c r="Z21" s="41">
        <f t="shared" si="3"/>
        <v>-0.74658274949044379</v>
      </c>
      <c r="AA21" s="39">
        <f t="shared" si="4"/>
        <v>4</v>
      </c>
      <c r="AB21" s="39">
        <f t="shared" si="5"/>
        <v>0.47580645161290314</v>
      </c>
      <c r="AC21" s="40"/>
      <c r="AD21" s="40">
        <f t="shared" si="6"/>
        <v>0.16206047438130528</v>
      </c>
      <c r="AE21" s="41">
        <f t="shared" si="7"/>
        <v>-0.76847066574155476</v>
      </c>
      <c r="AF21" s="39">
        <f t="shared" si="8"/>
        <v>3</v>
      </c>
      <c r="AG21" s="39">
        <f t="shared" si="9"/>
        <v>0.38437547502535679</v>
      </c>
      <c r="AH21" s="39"/>
      <c r="AI21" s="40">
        <f t="shared" si="10"/>
        <v>0.68301270189221941</v>
      </c>
      <c r="AJ21" s="41">
        <f t="shared" si="11"/>
        <v>0.42438527690977956</v>
      </c>
    </row>
    <row r="22" spans="2:36" ht="16" customHeight="1">
      <c r="B22" t="s">
        <v>21</v>
      </c>
      <c r="F22"/>
      <c r="G22" s="1" t="s">
        <v>58</v>
      </c>
      <c r="H22" s="39">
        <f>H21*(INT(H16/H21)+1)</f>
        <v>6</v>
      </c>
      <c r="I22" s="39">
        <f>I21*(INT(I16/I21)+1)</f>
        <v>200</v>
      </c>
      <c r="J22" s="39">
        <f>J21*(INT(J16/J21)+1)</f>
        <v>2</v>
      </c>
      <c r="K22" s="19" t="s">
        <v>16</v>
      </c>
      <c r="L22" s="7"/>
      <c r="M22" s="19" t="s">
        <v>17</v>
      </c>
      <c r="N22" s="20"/>
      <c r="O22" s="19" t="s">
        <v>18</v>
      </c>
      <c r="P22" s="25"/>
      <c r="Q22" s="20" t="s">
        <v>19</v>
      </c>
      <c r="R22" s="21"/>
      <c r="S22" s="69">
        <v>4</v>
      </c>
      <c r="T22" s="70">
        <v>0.6</v>
      </c>
      <c r="U22" s="71">
        <v>-0.5</v>
      </c>
      <c r="V22" s="39">
        <f t="shared" si="0"/>
        <v>4</v>
      </c>
      <c r="W22" s="39">
        <f t="shared" si="1"/>
        <v>0.43548387096774188</v>
      </c>
      <c r="X22" s="40">
        <f>H$22+V22*H$21</f>
        <v>30</v>
      </c>
      <c r="Y22" s="40">
        <f t="shared" si="2"/>
        <v>0.30187330678679208</v>
      </c>
      <c r="Z22" s="41">
        <f t="shared" si="3"/>
        <v>-0.7715827494904437</v>
      </c>
      <c r="AA22" s="39">
        <f t="shared" si="4"/>
        <v>4</v>
      </c>
      <c r="AB22" s="39">
        <f t="shared" si="5"/>
        <v>0.47580645161290314</v>
      </c>
      <c r="AC22" s="40">
        <f>I$22+AA22*I$21</f>
        <v>1000</v>
      </c>
      <c r="AD22" s="40">
        <f t="shared" si="6"/>
        <v>0.11206047438130529</v>
      </c>
      <c r="AE22" s="41">
        <f t="shared" si="7"/>
        <v>-0.81177193593077668</v>
      </c>
      <c r="AF22" s="39">
        <f t="shared" si="8"/>
        <v>3</v>
      </c>
      <c r="AG22" s="39">
        <f t="shared" si="9"/>
        <v>0.38437547502535679</v>
      </c>
      <c r="AH22" s="39">
        <f>J$22+AF22*J$21</f>
        <v>8</v>
      </c>
      <c r="AI22" s="40">
        <f t="shared" si="10"/>
        <v>0.76961524227066325</v>
      </c>
      <c r="AJ22" s="41">
        <f t="shared" si="11"/>
        <v>0.3993852769097796</v>
      </c>
    </row>
    <row r="23" spans="2:36" ht="16" customHeight="1">
      <c r="B23" s="32"/>
      <c r="D23" t="b">
        <v>0</v>
      </c>
      <c r="F23"/>
      <c r="G23" s="1" t="s">
        <v>59</v>
      </c>
      <c r="H23" s="39">
        <f>INT((H17+H16-H22)/H21)</f>
        <v>4</v>
      </c>
      <c r="I23" s="39">
        <f>INT((I17+I16-I22)/I21)</f>
        <v>4</v>
      </c>
      <c r="J23" s="39">
        <f>INT((J17+J16-J22)/J21)</f>
        <v>3</v>
      </c>
      <c r="K23" s="61" t="s">
        <v>32</v>
      </c>
      <c r="L23" s="65" t="s">
        <v>33</v>
      </c>
      <c r="M23" s="1"/>
      <c r="N23" s="5"/>
      <c r="O23" s="1"/>
      <c r="P23" s="22"/>
      <c r="Q23" s="16"/>
      <c r="R23" s="22"/>
      <c r="S23" s="69">
        <v>4</v>
      </c>
      <c r="T23" s="70">
        <v>0.5</v>
      </c>
      <c r="U23" s="71">
        <v>-0.5</v>
      </c>
      <c r="V23" s="39">
        <f t="shared" si="0"/>
        <v>4</v>
      </c>
      <c r="W23" s="39">
        <f t="shared" si="1"/>
        <v>0.43548387096774188</v>
      </c>
      <c r="X23" s="40"/>
      <c r="Y23" s="40">
        <f t="shared" si="2"/>
        <v>0.21527076640834825</v>
      </c>
      <c r="Z23" s="41">
        <f t="shared" si="3"/>
        <v>-0.74658274949044379</v>
      </c>
      <c r="AA23" s="39">
        <f t="shared" si="4"/>
        <v>4</v>
      </c>
      <c r="AB23" s="39">
        <f t="shared" si="5"/>
        <v>0.47580645161290314</v>
      </c>
      <c r="AC23" s="40"/>
      <c r="AD23" s="40">
        <f t="shared" si="6"/>
        <v>0.16206047438130528</v>
      </c>
      <c r="AE23" s="41">
        <f t="shared" si="7"/>
        <v>-0.76847066574155476</v>
      </c>
      <c r="AF23" s="39">
        <f t="shared" si="8"/>
        <v>3</v>
      </c>
      <c r="AG23" s="39">
        <f t="shared" si="9"/>
        <v>0.38437547502535679</v>
      </c>
      <c r="AH23" s="39"/>
      <c r="AI23" s="40">
        <f t="shared" si="10"/>
        <v>0.68301270189221941</v>
      </c>
      <c r="AJ23" s="41">
        <f t="shared" si="11"/>
        <v>0.42438527690977956</v>
      </c>
    </row>
    <row r="24" spans="2:36" ht="16" customHeight="1">
      <c r="F24"/>
      <c r="G24" s="1" t="s">
        <v>60</v>
      </c>
      <c r="H24" s="39">
        <f>(H22-H16)/H17-0.5</f>
        <v>-0.33870967741935487</v>
      </c>
      <c r="I24" s="39">
        <f>(I22-I16)/I17-0.5</f>
        <v>-0.33064516129032262</v>
      </c>
      <c r="J24" s="39">
        <f>(J22-J16)/J17-0.5</f>
        <v>-0.34062347976781665</v>
      </c>
      <c r="K24" s="57">
        <v>-0.5</v>
      </c>
      <c r="L24" s="58">
        <v>-0.5</v>
      </c>
      <c r="M24" s="54">
        <f>(H$27*$H$13+K24*$I$13+L24*$J$13+$D$27)*$C$27</f>
        <v>-0.1830127018922193</v>
      </c>
      <c r="N24" s="51">
        <f>(H$27*$H$14+K24*$I$14+L24*$J$14+$E$27)*$C$27</f>
        <v>-9.150635094610976E-2</v>
      </c>
      <c r="O24" s="54">
        <f>(K24*$H$13+I$27*$I$13+L24*$J$13+$D$27)*$C$27</f>
        <v>-0.1830127018922193</v>
      </c>
      <c r="P24" s="51">
        <f>(K24*$H$14+I$27*$I$14+L24*$J$14+$E$27)*$C$27</f>
        <v>-9.150635094610976E-2</v>
      </c>
      <c r="Q24" s="54">
        <f>(K24*$H$13+L24*$I$13+J$27*$J$13+$D$27)*$C$27</f>
        <v>-0.1830127018922193</v>
      </c>
      <c r="R24" s="51">
        <f>(K24*$H$14+L24*$I$14+J$27*$J$14+$E$27)*$C$27</f>
        <v>-9.150635094610976E-2</v>
      </c>
      <c r="S24" s="69">
        <v>5</v>
      </c>
      <c r="T24" s="70">
        <v>0.5</v>
      </c>
      <c r="U24" s="71">
        <v>-0.5</v>
      </c>
      <c r="V24" s="39">
        <f t="shared" si="0"/>
        <v>4</v>
      </c>
      <c r="W24" s="39">
        <f t="shared" si="1"/>
        <v>0.43548387096774188</v>
      </c>
      <c r="X24" s="40"/>
      <c r="Y24" s="40">
        <f t="shared" si="2"/>
        <v>0.21527076640834825</v>
      </c>
      <c r="Z24" s="41">
        <f t="shared" si="3"/>
        <v>-0.74658274949044379</v>
      </c>
      <c r="AA24" s="39">
        <f t="shared" si="4"/>
        <v>4</v>
      </c>
      <c r="AB24" s="39">
        <f t="shared" si="5"/>
        <v>0.47580645161290314</v>
      </c>
      <c r="AC24" s="40"/>
      <c r="AD24" s="40">
        <f t="shared" si="6"/>
        <v>0.16206047438130528</v>
      </c>
      <c r="AE24" s="41">
        <f t="shared" si="7"/>
        <v>-0.76847066574155476</v>
      </c>
      <c r="AF24" s="39">
        <f t="shared" si="8"/>
        <v>3</v>
      </c>
      <c r="AG24" s="39">
        <f t="shared" si="9"/>
        <v>0.38437547502535679</v>
      </c>
      <c r="AH24" s="39"/>
      <c r="AI24" s="40">
        <f t="shared" si="10"/>
        <v>0.68301270189221941</v>
      </c>
      <c r="AJ24" s="41">
        <f t="shared" si="11"/>
        <v>0.42438527690977956</v>
      </c>
    </row>
    <row r="25" spans="2:36" ht="16" customHeight="1">
      <c r="B25" s="5"/>
      <c r="C25" s="26" t="s">
        <v>22</v>
      </c>
      <c r="D25" s="6" t="s">
        <v>20</v>
      </c>
      <c r="E25" s="7" t="s">
        <v>21</v>
      </c>
      <c r="F25"/>
      <c r="G25" s="1" t="s">
        <v>61</v>
      </c>
      <c r="H25" s="39">
        <f>H21/H17</f>
        <v>0.19354838709677419</v>
      </c>
      <c r="I25" s="39">
        <f>I21/I17</f>
        <v>0.20161290322580644</v>
      </c>
      <c r="J25" s="39">
        <f>J21/J17</f>
        <v>0.24166631826439117</v>
      </c>
      <c r="K25" s="57">
        <v>0.5</v>
      </c>
      <c r="L25" s="58">
        <v>-0.5</v>
      </c>
      <c r="M25" s="54">
        <f>(H$27*$H$13+K25*$I$13+L25*$J$13+$D$27)*$C$27</f>
        <v>0.6830127018922193</v>
      </c>
      <c r="N25" s="51">
        <f>(H$27*$H$14+K25*$I$14+L25*$J$14+$E$27)*$C$27</f>
        <v>-0.34150635094610982</v>
      </c>
      <c r="O25" s="54">
        <f>(K25*$H$13+I$27*$I$13+L25*$J$13+$D$27)*$C$27</f>
        <v>-0.68301270189221952</v>
      </c>
      <c r="P25" s="51">
        <f>(K25*$H$14+I$27*$I$14+L25*$J$14+$E$27)*$C$27</f>
        <v>-0.52451905283832889</v>
      </c>
      <c r="Q25" s="54">
        <f>(K25*$H$13+L25*$I$13+J$27*$J$13+$D$27)*$C$27</f>
        <v>-0.68301270189221952</v>
      </c>
      <c r="R25" s="51">
        <f>(K25*$H$14+L25*$I$14+J$27*$J$14+$E$27)*$C$27</f>
        <v>-0.52451905283832889</v>
      </c>
      <c r="S25" s="69">
        <v>5</v>
      </c>
      <c r="T25" s="70">
        <v>0.6</v>
      </c>
      <c r="U25" s="71">
        <v>-0.5</v>
      </c>
      <c r="V25" s="39">
        <f t="shared" si="0"/>
        <v>4</v>
      </c>
      <c r="W25" s="39">
        <f t="shared" si="1"/>
        <v>0.43548387096774188</v>
      </c>
      <c r="X25" s="40">
        <f>H$22+V25*H$21</f>
        <v>30</v>
      </c>
      <c r="Y25" s="40">
        <f t="shared" si="2"/>
        <v>0.30187330678679208</v>
      </c>
      <c r="Z25" s="41">
        <f t="shared" si="3"/>
        <v>-0.7715827494904437</v>
      </c>
      <c r="AA25" s="39">
        <f t="shared" si="4"/>
        <v>4</v>
      </c>
      <c r="AB25" s="39">
        <f t="shared" si="5"/>
        <v>0.47580645161290314</v>
      </c>
      <c r="AC25" s="40">
        <f>I$22+AA25*I$21</f>
        <v>1000</v>
      </c>
      <c r="AD25" s="40">
        <f t="shared" si="6"/>
        <v>0.11206047438130529</v>
      </c>
      <c r="AE25" s="41">
        <f t="shared" si="7"/>
        <v>-0.81177193593077668</v>
      </c>
      <c r="AF25" s="39">
        <f t="shared" si="8"/>
        <v>3</v>
      </c>
      <c r="AG25" s="39">
        <f t="shared" si="9"/>
        <v>0.38437547502535679</v>
      </c>
      <c r="AH25" s="39">
        <f>J$22+AF25*J$21</f>
        <v>8</v>
      </c>
      <c r="AI25" s="40">
        <f t="shared" si="10"/>
        <v>0.76961524227066325</v>
      </c>
      <c r="AJ25" s="41">
        <f t="shared" si="11"/>
        <v>0.3993852769097796</v>
      </c>
    </row>
    <row r="26" spans="2:36" ht="16" customHeight="1">
      <c r="B26" s="5"/>
      <c r="C26" s="31">
        <v>0</v>
      </c>
      <c r="D26" s="16">
        <v>50</v>
      </c>
      <c r="E26" s="22">
        <v>50</v>
      </c>
      <c r="F26"/>
      <c r="G26" s="2" t="s">
        <v>26</v>
      </c>
      <c r="H26" s="39"/>
      <c r="I26" s="39"/>
      <c r="J26" s="39"/>
      <c r="K26" s="57">
        <v>0.5</v>
      </c>
      <c r="L26" s="58">
        <v>0.5</v>
      </c>
      <c r="M26" s="54">
        <f>(H$27*$H$13+K26*$I$13+L26*$J$13+$D$27)*$C$27</f>
        <v>0.68301270189221952</v>
      </c>
      <c r="N26" s="51">
        <f>(H$27*$H$14+K26*$I$14+L26*$J$14+$E$27)*$C$27</f>
        <v>0.52451905283832889</v>
      </c>
      <c r="O26" s="54">
        <f>(K26*$H$13+I$27*$I$13+L26*$J$13+$D$27)*$C$27</f>
        <v>-0.6830127018922193</v>
      </c>
      <c r="P26" s="51">
        <f>(K26*$H$14+I$27*$I$14+L26*$J$14+$E$27)*$C$27</f>
        <v>0.34150635094610982</v>
      </c>
      <c r="Q26" s="54">
        <f>(K26*$H$13+L26*$I$13+J$27*$J$13+$D$27)*$C$27</f>
        <v>0.18301270189221919</v>
      </c>
      <c r="R26" s="51">
        <f>(K26*$H$14+L26*$I$14+J$27*$J$14+$E$27)*$C$27</f>
        <v>-0.774519052838329</v>
      </c>
      <c r="S26" s="69">
        <v>5</v>
      </c>
      <c r="T26" s="70">
        <v>0.5</v>
      </c>
      <c r="U26" s="71">
        <v>-0.5</v>
      </c>
      <c r="V26" s="39">
        <f t="shared" si="0"/>
        <v>4</v>
      </c>
      <c r="W26" s="39">
        <f t="shared" si="1"/>
        <v>0.43548387096774188</v>
      </c>
      <c r="X26" s="40"/>
      <c r="Y26" s="40">
        <f t="shared" si="2"/>
        <v>0.21527076640834825</v>
      </c>
      <c r="Z26" s="41">
        <f t="shared" si="3"/>
        <v>-0.74658274949044379</v>
      </c>
      <c r="AA26" s="39">
        <f t="shared" si="4"/>
        <v>4</v>
      </c>
      <c r="AB26" s="39">
        <f t="shared" si="5"/>
        <v>0.47580645161290314</v>
      </c>
      <c r="AC26" s="40"/>
      <c r="AD26" s="40">
        <f t="shared" si="6"/>
        <v>0.16206047438130528</v>
      </c>
      <c r="AE26" s="41">
        <f t="shared" si="7"/>
        <v>-0.76847066574155476</v>
      </c>
      <c r="AF26" s="39">
        <f t="shared" si="8"/>
        <v>3</v>
      </c>
      <c r="AG26" s="39">
        <f t="shared" si="9"/>
        <v>0.38437547502535679</v>
      </c>
      <c r="AH26" s="39"/>
      <c r="AI26" s="40">
        <f t="shared" si="10"/>
        <v>0.68301270189221941</v>
      </c>
      <c r="AJ26" s="41">
        <f t="shared" si="11"/>
        <v>0.42438527690977956</v>
      </c>
    </row>
    <row r="27" spans="2:36" ht="16" customHeight="1">
      <c r="B27" s="5"/>
      <c r="C27" s="48">
        <f>(1+C26/50)^2</f>
        <v>1</v>
      </c>
      <c r="D27" s="42">
        <f>D26/100-0.5</f>
        <v>0</v>
      </c>
      <c r="E27" s="43">
        <f>-E26/100+0.5</f>
        <v>0</v>
      </c>
      <c r="F27"/>
      <c r="G27" s="1" t="s">
        <v>15</v>
      </c>
      <c r="H27" s="39">
        <f>C14/100-0.5</f>
        <v>-0.5</v>
      </c>
      <c r="I27" s="39">
        <f>D14/100-0.5</f>
        <v>-0.5</v>
      </c>
      <c r="J27" s="39">
        <f>E14/100-0.5</f>
        <v>-0.5</v>
      </c>
      <c r="K27" s="57">
        <v>-0.5</v>
      </c>
      <c r="L27" s="58">
        <v>0.5</v>
      </c>
      <c r="M27" s="54">
        <f>(H$27*$H$13+K27*$I$13+L27*$J$13+$D$27)*$C$27</f>
        <v>-0.18301270189221919</v>
      </c>
      <c r="N27" s="51">
        <f>(H$27*$H$14+K27*$I$14+L27*$J$14+$E$27)*$C$27</f>
        <v>0.774519052838329</v>
      </c>
      <c r="O27" s="54">
        <f>(K27*$H$13+I$27*$I$13+L27*$J$13+$D$27)*$C$27</f>
        <v>-0.18301270189221919</v>
      </c>
      <c r="P27" s="51">
        <f>(K27*$H$14+I$27*$I$14+L27*$J$14+$E$27)*$C$27</f>
        <v>0.774519052838329</v>
      </c>
      <c r="Q27" s="54">
        <f>(K27*$H$13+L27*$I$13+J$27*$J$13+$D$27)*$C$27</f>
        <v>0.6830127018922193</v>
      </c>
      <c r="R27" s="51">
        <f>(K27*$H$14+L27*$I$14+J$27*$J$14+$E$27)*$C$27</f>
        <v>-0.34150635094610982</v>
      </c>
      <c r="S27" s="69">
        <v>6</v>
      </c>
      <c r="T27" s="70">
        <v>0.5</v>
      </c>
      <c r="U27" s="71">
        <v>-0.5</v>
      </c>
      <c r="V27" s="39">
        <f t="shared" si="0"/>
        <v>4</v>
      </c>
      <c r="W27" s="39">
        <f t="shared" si="1"/>
        <v>0.43548387096774188</v>
      </c>
      <c r="X27" s="40"/>
      <c r="Y27" s="40">
        <f t="shared" si="2"/>
        <v>0.21527076640834825</v>
      </c>
      <c r="Z27" s="41">
        <f t="shared" si="3"/>
        <v>-0.74658274949044379</v>
      </c>
      <c r="AA27" s="39">
        <f t="shared" si="4"/>
        <v>4</v>
      </c>
      <c r="AB27" s="39">
        <f t="shared" si="5"/>
        <v>0.47580645161290314</v>
      </c>
      <c r="AC27" s="40"/>
      <c r="AD27" s="40">
        <f t="shared" si="6"/>
        <v>0.16206047438130528</v>
      </c>
      <c r="AE27" s="41">
        <f t="shared" si="7"/>
        <v>-0.76847066574155476</v>
      </c>
      <c r="AF27" s="39">
        <f t="shared" si="8"/>
        <v>3</v>
      </c>
      <c r="AG27" s="39">
        <f t="shared" si="9"/>
        <v>0.38437547502535679</v>
      </c>
      <c r="AH27" s="39"/>
      <c r="AI27" s="40">
        <f t="shared" si="10"/>
        <v>0.68301270189221941</v>
      </c>
      <c r="AJ27" s="41">
        <f t="shared" si="11"/>
        <v>0.42438527690977956</v>
      </c>
    </row>
    <row r="28" spans="2:36" ht="16" customHeight="1">
      <c r="K28" s="59">
        <v>-0.5</v>
      </c>
      <c r="L28" s="60">
        <v>-0.5</v>
      </c>
      <c r="M28" s="54">
        <f>(H$27*$H$13+K28*$I$13+L28*$J$13+$D$27)*$C$27</f>
        <v>-0.1830127018922193</v>
      </c>
      <c r="N28" s="51">
        <f>(H$27*$H$14+K28*$I$14+L28*$J$14+$E$27)*$C$27</f>
        <v>-9.150635094610976E-2</v>
      </c>
      <c r="O28" s="54">
        <f>(K28*$H$13+I$27*$I$13+L28*$J$13+$D$27)*$C$27</f>
        <v>-0.1830127018922193</v>
      </c>
      <c r="P28" s="51">
        <f>(K28*$H$14+I$27*$I$14+L28*$J$14+$E$27)*$C$27</f>
        <v>-9.150635094610976E-2</v>
      </c>
      <c r="Q28" s="54">
        <f>(K28*$H$13+L28*$I$13+J$27*$J$13+$D$27)*$C$27</f>
        <v>-0.1830127018922193</v>
      </c>
      <c r="R28" s="51">
        <f>(K28*$H$14+L28*$I$14+J$27*$J$14+$E$27)*$C$27</f>
        <v>-9.150635094610976E-2</v>
      </c>
      <c r="S28" s="69">
        <v>6</v>
      </c>
      <c r="T28" s="70">
        <v>0.6</v>
      </c>
      <c r="U28" s="71">
        <v>-0.5</v>
      </c>
      <c r="V28" s="39">
        <f t="shared" si="0"/>
        <v>4</v>
      </c>
      <c r="W28" s="39">
        <f t="shared" si="1"/>
        <v>0.43548387096774188</v>
      </c>
      <c r="X28" s="40">
        <f>H$22+V28*H$21</f>
        <v>30</v>
      </c>
      <c r="Y28" s="40">
        <f t="shared" si="2"/>
        <v>0.30187330678679208</v>
      </c>
      <c r="Z28" s="41">
        <f t="shared" si="3"/>
        <v>-0.7715827494904437</v>
      </c>
      <c r="AA28" s="39">
        <f t="shared" si="4"/>
        <v>4</v>
      </c>
      <c r="AB28" s="39">
        <f t="shared" si="5"/>
        <v>0.47580645161290314</v>
      </c>
      <c r="AC28" s="40">
        <f>I$22+AA28*I$21</f>
        <v>1000</v>
      </c>
      <c r="AD28" s="40">
        <f t="shared" si="6"/>
        <v>0.11206047438130529</v>
      </c>
      <c r="AE28" s="41">
        <f t="shared" si="7"/>
        <v>-0.81177193593077668</v>
      </c>
      <c r="AF28" s="39">
        <f t="shared" si="8"/>
        <v>3</v>
      </c>
      <c r="AG28" s="39">
        <f t="shared" si="9"/>
        <v>0.38437547502535679</v>
      </c>
      <c r="AH28" s="39">
        <f>J$22+AF28*J$21</f>
        <v>8</v>
      </c>
      <c r="AI28" s="40">
        <f t="shared" si="10"/>
        <v>0.76961524227066325</v>
      </c>
      <c r="AJ28" s="41">
        <f t="shared" si="11"/>
        <v>0.3993852769097796</v>
      </c>
    </row>
    <row r="29" spans="2:36">
      <c r="K29" s="5"/>
      <c r="M29" s="1"/>
      <c r="N29" s="5"/>
      <c r="O29" s="1"/>
      <c r="P29" s="22"/>
      <c r="Q29" s="16"/>
      <c r="R29" s="22"/>
      <c r="S29" s="72">
        <v>6</v>
      </c>
      <c r="T29" s="73">
        <v>0.5</v>
      </c>
      <c r="U29" s="74">
        <v>-0.5</v>
      </c>
      <c r="V29" s="42">
        <f t="shared" si="0"/>
        <v>4</v>
      </c>
      <c r="W29" s="42">
        <f t="shared" si="1"/>
        <v>0.43548387096774188</v>
      </c>
      <c r="X29" s="42"/>
      <c r="Y29" s="42">
        <f t="shared" si="2"/>
        <v>0.21527076640834825</v>
      </c>
      <c r="Z29" s="43">
        <f t="shared" si="3"/>
        <v>-0.74658274949044379</v>
      </c>
      <c r="AA29" s="42">
        <f t="shared" si="4"/>
        <v>4</v>
      </c>
      <c r="AB29" s="42">
        <f t="shared" si="5"/>
        <v>0.47580645161290314</v>
      </c>
      <c r="AC29" s="42"/>
      <c r="AD29" s="42">
        <f t="shared" si="6"/>
        <v>0.16206047438130528</v>
      </c>
      <c r="AE29" s="43">
        <f t="shared" si="7"/>
        <v>-0.76847066574155476</v>
      </c>
      <c r="AF29" s="42">
        <f t="shared" si="8"/>
        <v>3</v>
      </c>
      <c r="AG29" s="42">
        <f t="shared" si="9"/>
        <v>0.38437547502535679</v>
      </c>
      <c r="AH29" s="42"/>
      <c r="AI29" s="42">
        <f t="shared" si="10"/>
        <v>0.68301270189221941</v>
      </c>
      <c r="AJ29" s="43">
        <f t="shared" si="11"/>
        <v>0.42438527690977956</v>
      </c>
    </row>
    <row r="30" spans="2:36">
      <c r="F30"/>
      <c r="G30" s="1"/>
      <c r="K30" s="5"/>
      <c r="M30" s="1"/>
      <c r="N30" s="5"/>
      <c r="O30" s="1"/>
      <c r="P30" s="22"/>
      <c r="Q30" s="16"/>
      <c r="R30" s="22"/>
      <c r="S30"/>
      <c r="T30"/>
      <c r="U30"/>
      <c r="V30" s="10"/>
      <c r="W30" s="10"/>
      <c r="X30" s="10"/>
      <c r="AI30" s="5"/>
    </row>
    <row r="31" spans="2:36">
      <c r="F31"/>
      <c r="G31" s="1"/>
      <c r="H31" s="2" t="s">
        <v>52</v>
      </c>
      <c r="I31" s="3"/>
      <c r="J31" s="3"/>
      <c r="K31" s="18" t="s">
        <v>53</v>
      </c>
      <c r="L31" s="3"/>
      <c r="M31" s="2" t="s">
        <v>28</v>
      </c>
      <c r="N31" s="18"/>
      <c r="O31" s="2" t="s">
        <v>31</v>
      </c>
      <c r="P31" s="24"/>
      <c r="Q31" s="18" t="s">
        <v>30</v>
      </c>
      <c r="R31" s="22"/>
      <c r="AI31" s="5"/>
    </row>
    <row r="32" spans="2:36" ht="18">
      <c r="B32" s="55" t="s">
        <v>34</v>
      </c>
      <c r="C32" s="56" t="s">
        <v>86</v>
      </c>
      <c r="D32" s="56" t="s">
        <v>87</v>
      </c>
      <c r="E32" s="56" t="s">
        <v>85</v>
      </c>
      <c r="F32" s="55" t="s">
        <v>23</v>
      </c>
      <c r="G32" s="10" t="s">
        <v>0</v>
      </c>
      <c r="H32" s="33" t="s">
        <v>82</v>
      </c>
      <c r="I32" s="33" t="s">
        <v>83</v>
      </c>
      <c r="J32" s="33" t="s">
        <v>84</v>
      </c>
      <c r="K32" s="5" t="s">
        <v>54</v>
      </c>
      <c r="L32" t="s">
        <v>55</v>
      </c>
      <c r="M32" s="8" t="s">
        <v>27</v>
      </c>
      <c r="N32" s="9" t="s">
        <v>29</v>
      </c>
      <c r="O32" s="34" t="s">
        <v>1</v>
      </c>
      <c r="P32" s="35" t="s">
        <v>2</v>
      </c>
      <c r="Q32" s="34" t="s">
        <v>3</v>
      </c>
      <c r="R32" s="35" t="s">
        <v>4</v>
      </c>
      <c r="AI32" s="5"/>
    </row>
    <row r="33" spans="2:35">
      <c r="B33" s="79"/>
      <c r="C33">
        <v>1</v>
      </c>
      <c r="D33">
        <v>32</v>
      </c>
      <c r="E33">
        <v>1.8405549999999999</v>
      </c>
      <c r="F33" s="78"/>
      <c r="G33" s="76">
        <f t="shared" ref="G33:G39" si="14">D$19*(L33-R33)</f>
        <v>0</v>
      </c>
      <c r="H33" s="76">
        <f t="shared" ref="H33:J39" si="15">(C33-H$16)/H$17-0.5</f>
        <v>-0.5</v>
      </c>
      <c r="I33" s="75">
        <f t="shared" si="15"/>
        <v>-0.5</v>
      </c>
      <c r="J33" s="75">
        <f t="shared" si="15"/>
        <v>-0.35988972282564957</v>
      </c>
      <c r="K33" s="76">
        <f t="shared" ref="K33:K39" si="16">(H33*$H$13+I33*$I$13+J33*$J$13+$D$27)*$C$27</f>
        <v>-0.1830127018922193</v>
      </c>
      <c r="L33" s="77">
        <f t="shared" ref="L33:L39" si="17">(H33*$H$14+I33*$I$14+J33*$J$14+$E$27)*$C$27</f>
        <v>2.9832708418156717E-2</v>
      </c>
      <c r="M33" s="76">
        <f t="shared" ref="M33:M39" si="18">(H$27*$H$13+I33*$I$13+J33*$J$13+$D$27)*$C$27</f>
        <v>-0.1830127018922193</v>
      </c>
      <c r="N33" s="77">
        <f t="shared" ref="N33:N39" si="19">(H$27*$H$14+I33*$I$14+J33*$J$14+$E$27)*$C$27</f>
        <v>2.9832708418156717E-2</v>
      </c>
      <c r="O33" s="76">
        <f t="shared" ref="O33:O39" si="20">(H33*$H$13+I$27*$I$13+J33*$J$13+$D$27)*$C$27</f>
        <v>-0.1830127018922193</v>
      </c>
      <c r="P33" s="77">
        <f t="shared" ref="P33:P39" si="21">(H33*$H$14+I$27*$I$14+J33*$J$14+$E$27)*$C$27</f>
        <v>2.9832708418156717E-2</v>
      </c>
      <c r="Q33" s="76">
        <f t="shared" ref="Q33:Q39" si="22">(H33*$H$13+I33*$I$13+J$27*$J$13+$D$27)*$C$27</f>
        <v>-0.1830127018922193</v>
      </c>
      <c r="R33" s="77">
        <f t="shared" ref="R33:R39" si="23">(H33*$H$14+I33*$I$14+J$27*$J$14+$E$27)*$C$27</f>
        <v>-9.150635094610976E-2</v>
      </c>
      <c r="AI33" s="5"/>
    </row>
    <row r="34" spans="2:35">
      <c r="B34" s="79"/>
      <c r="C34">
        <v>1</v>
      </c>
      <c r="D34">
        <v>64</v>
      </c>
      <c r="E34">
        <v>1.152396</v>
      </c>
      <c r="F34" s="78"/>
      <c r="G34" s="76">
        <f t="shared" si="14"/>
        <v>0</v>
      </c>
      <c r="H34" s="76">
        <f t="shared" si="15"/>
        <v>-0.5</v>
      </c>
      <c r="I34" s="75">
        <f t="shared" si="15"/>
        <v>-0.467741935483871</v>
      </c>
      <c r="J34" s="75">
        <f t="shared" si="15"/>
        <v>-0.4430421487809022</v>
      </c>
      <c r="K34" s="76">
        <f t="shared" si="16"/>
        <v>-0.15507639854433419</v>
      </c>
      <c r="L34" s="77">
        <f t="shared" si="17"/>
        <v>-5.0243920974428868E-2</v>
      </c>
      <c r="M34" s="76">
        <f t="shared" si="18"/>
        <v>-0.15507639854433419</v>
      </c>
      <c r="N34" s="77">
        <f t="shared" si="19"/>
        <v>-5.0243920974428868E-2</v>
      </c>
      <c r="O34" s="76">
        <f t="shared" si="20"/>
        <v>-0.1830127018922193</v>
      </c>
      <c r="P34" s="77">
        <f t="shared" si="21"/>
        <v>-4.2179404845396617E-2</v>
      </c>
      <c r="Q34" s="76">
        <f t="shared" si="22"/>
        <v>-0.15507639854433419</v>
      </c>
      <c r="R34" s="77">
        <f t="shared" si="23"/>
        <v>-9.9570867075142011E-2</v>
      </c>
    </row>
    <row r="35" spans="2:35">
      <c r="B35" s="79"/>
      <c r="C35">
        <v>1</v>
      </c>
      <c r="D35">
        <v>96</v>
      </c>
      <c r="E35">
        <v>0.95119699999999996</v>
      </c>
      <c r="F35" s="78"/>
      <c r="G35" s="75">
        <f t="shared" si="14"/>
        <v>0</v>
      </c>
      <c r="H35" s="76">
        <f t="shared" si="15"/>
        <v>-0.5</v>
      </c>
      <c r="I35" s="75">
        <f t="shared" si="15"/>
        <v>-0.43548387096774194</v>
      </c>
      <c r="J35" s="75">
        <f t="shared" si="15"/>
        <v>-0.4673536595651408</v>
      </c>
      <c r="K35" s="76">
        <f t="shared" si="16"/>
        <v>-0.12714009519644909</v>
      </c>
      <c r="L35" s="77">
        <f t="shared" si="17"/>
        <v>-7.9362823046991104E-2</v>
      </c>
      <c r="M35" s="76">
        <f t="shared" si="18"/>
        <v>-0.12714009519644909</v>
      </c>
      <c r="N35" s="77">
        <f t="shared" si="19"/>
        <v>-7.9362823046991104E-2</v>
      </c>
      <c r="O35" s="76">
        <f t="shared" si="20"/>
        <v>-0.1830127018922193</v>
      </c>
      <c r="P35" s="77">
        <f t="shared" si="21"/>
        <v>-6.3233790788926547E-2</v>
      </c>
      <c r="Q35" s="76">
        <f t="shared" si="22"/>
        <v>-0.12714009519644909</v>
      </c>
      <c r="R35" s="77">
        <f t="shared" si="23"/>
        <v>-0.10763538320417432</v>
      </c>
    </row>
    <row r="36" spans="2:35">
      <c r="B36" s="79"/>
      <c r="C36">
        <v>1</v>
      </c>
      <c r="D36">
        <v>128</v>
      </c>
      <c r="E36">
        <v>0.81966399999999995</v>
      </c>
      <c r="F36" s="78"/>
      <c r="G36" s="75">
        <f t="shared" si="14"/>
        <v>0</v>
      </c>
      <c r="H36" s="76">
        <f t="shared" si="15"/>
        <v>-0.5</v>
      </c>
      <c r="I36" s="75">
        <f t="shared" si="15"/>
        <v>-0.40322580645161288</v>
      </c>
      <c r="J36" s="75">
        <f t="shared" si="15"/>
        <v>-0.48324720748527589</v>
      </c>
      <c r="K36" s="76">
        <f t="shared" si="16"/>
        <v>-9.9203791848563927E-2</v>
      </c>
      <c r="L36" s="77">
        <f t="shared" si="17"/>
        <v>-0.10119155543112568</v>
      </c>
      <c r="M36" s="76">
        <f t="shared" si="18"/>
        <v>-9.9203791848563927E-2</v>
      </c>
      <c r="N36" s="77">
        <f t="shared" si="19"/>
        <v>-0.10119155543112568</v>
      </c>
      <c r="O36" s="76">
        <f t="shared" si="20"/>
        <v>-0.1830127018922193</v>
      </c>
      <c r="P36" s="77">
        <f t="shared" si="21"/>
        <v>-7.6998007044028871E-2</v>
      </c>
      <c r="Q36" s="76">
        <f t="shared" si="22"/>
        <v>-9.9203791848563927E-2</v>
      </c>
      <c r="R36" s="77">
        <f t="shared" si="23"/>
        <v>-0.11569989933320657</v>
      </c>
    </row>
    <row r="37" spans="2:35">
      <c r="B37" s="79"/>
      <c r="C37">
        <v>1</v>
      </c>
      <c r="D37">
        <v>160</v>
      </c>
      <c r="E37">
        <v>0.78810000000000002</v>
      </c>
      <c r="F37" s="78"/>
      <c r="G37" s="75">
        <f t="shared" si="14"/>
        <v>0</v>
      </c>
      <c r="H37" s="76">
        <f t="shared" si="15"/>
        <v>-0.5</v>
      </c>
      <c r="I37" s="75">
        <f t="shared" si="15"/>
        <v>-0.37096774193548387</v>
      </c>
      <c r="J37" s="75">
        <f t="shared" si="15"/>
        <v>-0.48706118532012449</v>
      </c>
      <c r="K37" s="76">
        <f t="shared" si="16"/>
        <v>-7.1267488500678822E-2</v>
      </c>
      <c r="L37" s="77">
        <f t="shared" si="17"/>
        <v>-0.11255907325460762</v>
      </c>
      <c r="M37" s="76">
        <f t="shared" si="18"/>
        <v>-7.1267488500678822E-2</v>
      </c>
      <c r="N37" s="77">
        <f t="shared" si="19"/>
        <v>-0.11255907325460762</v>
      </c>
      <c r="O37" s="76">
        <f t="shared" si="20"/>
        <v>-0.1830127018922193</v>
      </c>
      <c r="P37" s="77">
        <f t="shared" si="21"/>
        <v>-8.0301008738478563E-2</v>
      </c>
      <c r="Q37" s="76">
        <f t="shared" si="22"/>
        <v>-7.1267488500678822E-2</v>
      </c>
      <c r="R37" s="77">
        <f t="shared" si="23"/>
        <v>-0.12376441546223882</v>
      </c>
    </row>
    <row r="38" spans="2:35">
      <c r="B38" s="79"/>
      <c r="C38">
        <v>1</v>
      </c>
      <c r="D38">
        <v>192</v>
      </c>
      <c r="E38">
        <v>0.76875499999999997</v>
      </c>
      <c r="F38" s="78"/>
      <c r="G38" s="75">
        <f t="shared" si="14"/>
        <v>0</v>
      </c>
      <c r="H38" s="76">
        <f t="shared" si="15"/>
        <v>-0.5</v>
      </c>
      <c r="I38" s="75">
        <f t="shared" si="15"/>
        <v>-0.33870967741935487</v>
      </c>
      <c r="J38" s="75">
        <f t="shared" si="15"/>
        <v>-0.48939870278353681</v>
      </c>
      <c r="K38" s="76">
        <f t="shared" si="16"/>
        <v>-4.3331185152793779E-2</v>
      </c>
      <c r="L38" s="77">
        <f t="shared" si="17"/>
        <v>-0.1226479388887447</v>
      </c>
      <c r="M38" s="76">
        <f t="shared" si="18"/>
        <v>-4.3331185152793779E-2</v>
      </c>
      <c r="N38" s="77">
        <f t="shared" si="19"/>
        <v>-0.1226479388887447</v>
      </c>
      <c r="O38" s="76">
        <f t="shared" si="20"/>
        <v>-0.1830127018922193</v>
      </c>
      <c r="P38" s="77">
        <f t="shared" si="21"/>
        <v>-8.2325358243583391E-2</v>
      </c>
      <c r="Q38" s="76">
        <f t="shared" si="22"/>
        <v>-4.3331185152793779E-2</v>
      </c>
      <c r="R38" s="77">
        <f t="shared" si="23"/>
        <v>-0.13182893159127107</v>
      </c>
    </row>
    <row r="39" spans="2:35">
      <c r="B39" s="79"/>
      <c r="C39">
        <v>1</v>
      </c>
      <c r="D39">
        <v>224</v>
      </c>
      <c r="E39">
        <v>0.75221199999999999</v>
      </c>
      <c r="F39" s="78"/>
      <c r="G39" s="75">
        <f t="shared" si="14"/>
        <v>0</v>
      </c>
      <c r="H39" s="75">
        <f t="shared" si="15"/>
        <v>-0.5</v>
      </c>
      <c r="I39" s="75">
        <f t="shared" si="15"/>
        <v>-0.30645161290322581</v>
      </c>
      <c r="J39" s="75">
        <f t="shared" si="15"/>
        <v>-0.49139764573506073</v>
      </c>
      <c r="K39" s="75">
        <f t="shared" si="16"/>
        <v>-1.5394881804908616E-2</v>
      </c>
      <c r="L39" s="75">
        <f t="shared" si="17"/>
        <v>-0.13244359039451253</v>
      </c>
      <c r="M39" s="75">
        <f t="shared" si="18"/>
        <v>-1.5394881804908616E-2</v>
      </c>
      <c r="N39" s="75">
        <f t="shared" si="19"/>
        <v>-0.13244359039451253</v>
      </c>
      <c r="O39" s="75">
        <f t="shared" si="20"/>
        <v>-0.1830127018922193</v>
      </c>
      <c r="P39" s="75">
        <f t="shared" si="21"/>
        <v>-8.4056493620318917E-2</v>
      </c>
      <c r="Q39" s="75">
        <f t="shared" si="22"/>
        <v>-1.5394881804908616E-2</v>
      </c>
      <c r="R39" s="75">
        <f t="shared" si="23"/>
        <v>-0.13989344772030338</v>
      </c>
    </row>
    <row r="40" spans="2:35">
      <c r="B40" s="81"/>
      <c r="C40">
        <v>1</v>
      </c>
      <c r="D40">
        <v>256</v>
      </c>
      <c r="E40">
        <v>0.712615</v>
      </c>
      <c r="F40" s="78"/>
      <c r="G40" s="75">
        <f>D$19*(L40-R40)</f>
        <v>0</v>
      </c>
      <c r="H40" s="76">
        <f>(C40-H$16)/H$17-0.5</f>
        <v>-0.5</v>
      </c>
      <c r="I40" s="75">
        <f>(D40-I$16)/I$17-0.5</f>
        <v>-0.27419354838709675</v>
      </c>
      <c r="J40" s="75">
        <f>(E40-J$16)/J$17-0.5</f>
        <v>-0.49618227633721829</v>
      </c>
      <c r="K40" s="76">
        <f>(H40*$H$13+I40*$I$13+J40*$J$13+$D$27)*$C$27</f>
        <v>1.2541421542976517E-2</v>
      </c>
      <c r="L40" s="77">
        <f>(H40*$H$14+I40*$I$14+J40*$J$14+$E$27)*$C$27</f>
        <v>-0.1446517181727377</v>
      </c>
      <c r="M40" s="76">
        <f>(H$27*$H$13+I40*$I$13+J40*$J$13+$D$27)*$C$27</f>
        <v>1.2541421542976517E-2</v>
      </c>
      <c r="N40" s="77">
        <f>(H$27*$H$14+I40*$I$14+J40*$J$14+$E$27)*$C$27</f>
        <v>-0.1446517181727377</v>
      </c>
      <c r="O40" s="76">
        <f>(H40*$H$13+I$27*$I$13+J40*$J$13+$D$27)*$C$27</f>
        <v>-0.1830127018922193</v>
      </c>
      <c r="P40" s="77">
        <f>(H40*$H$14+I$27*$I$14+J40*$J$14+$E$27)*$C$27</f>
        <v>-8.820010526951183E-2</v>
      </c>
      <c r="Q40" s="76">
        <f>(H40*$H$13+I40*$I$13+J$27*$J$13+$D$27)*$C$27</f>
        <v>1.2541421542976517E-2</v>
      </c>
      <c r="R40" s="75">
        <f>(H40*$H$14+I40*$I$14+J$27*$J$14+$E$27)*$C$27</f>
        <v>-0.14795796384933563</v>
      </c>
    </row>
    <row r="41" spans="2:35">
      <c r="B41" s="81"/>
      <c r="C41">
        <v>1</v>
      </c>
      <c r="D41">
        <v>288</v>
      </c>
      <c r="E41">
        <v>0.71066700000000005</v>
      </c>
      <c r="F41" s="78"/>
      <c r="G41" s="75">
        <f>D$19*(L41-R41)</f>
        <v>0</v>
      </c>
      <c r="H41" s="76">
        <f>(C41-H$16)/H$17-0.5</f>
        <v>-0.5</v>
      </c>
      <c r="I41" s="75">
        <f>(D41-I$16)/I$17-0.5</f>
        <v>-0.24193548387096775</v>
      </c>
      <c r="J41" s="75">
        <f>(E41-J$16)/J$17-0.5</f>
        <v>-0.49641765933120779</v>
      </c>
      <c r="K41" s="76">
        <f>(H41*$H$13+I41*$I$13+J41*$J$13+$D$27)*$C$27</f>
        <v>4.047772489086162E-2</v>
      </c>
      <c r="L41" s="77">
        <f>(H41*$H$14+I41*$I$14+J41*$J$14+$E$27)*$C$27</f>
        <v>-0.15292008195418372</v>
      </c>
      <c r="M41" s="76">
        <f>(H$27*$H$13+I41*$I$13+J41*$J$13+$D$27)*$C$27</f>
        <v>4.047772489086162E-2</v>
      </c>
      <c r="N41" s="77">
        <f>(H$27*$H$14+I41*$I$14+J41*$J$14+$E$27)*$C$27</f>
        <v>-0.15292008195418372</v>
      </c>
      <c r="O41" s="76">
        <f>(H41*$H$13+I$27*$I$13+J41*$J$13+$D$27)*$C$27</f>
        <v>-0.1830127018922193</v>
      </c>
      <c r="P41" s="77">
        <f>(H41*$H$14+I$27*$I$14+J41*$J$14+$E$27)*$C$27</f>
        <v>-8.8403952921925599E-2</v>
      </c>
      <c r="Q41" s="76">
        <f>(H41*$H$13+I41*$I$13+J$27*$J$13+$D$27)*$C$27</f>
        <v>4.047772489086162E-2</v>
      </c>
      <c r="R41" s="75">
        <f>(H41*$H$14+I41*$I$14+J$27*$J$14+$E$27)*$C$27</f>
        <v>-0.15602247997836788</v>
      </c>
    </row>
    <row r="42" spans="2:35">
      <c r="B42" s="81"/>
      <c r="C42">
        <v>1</v>
      </c>
      <c r="D42">
        <v>320</v>
      </c>
      <c r="E42">
        <v>0.73366600000000004</v>
      </c>
      <c r="F42" s="78"/>
      <c r="G42" s="75">
        <f>D$19*(L42-R42)</f>
        <v>0</v>
      </c>
      <c r="H42" s="76">
        <f>(C42-H$16)/H$17-0.5</f>
        <v>-0.5</v>
      </c>
      <c r="I42" s="75">
        <f>(D42-I$16)/I$17-0.5</f>
        <v>-0.20967741935483869</v>
      </c>
      <c r="J42" s="75">
        <f>(E42-J$16)/J$17-0.5</f>
        <v>-0.49363861750432642</v>
      </c>
      <c r="K42" s="76">
        <f>(H42*$H$13+I42*$I$13+J42*$J$13+$D$27)*$C$27</f>
        <v>6.841402823874676E-2</v>
      </c>
      <c r="L42" s="77">
        <f>(H42*$H$14+I42*$I$14+J42*$J$14+$E$27)*$C$27</f>
        <v>-0.15857787726295713</v>
      </c>
      <c r="M42" s="76">
        <f>(H$27*$H$13+I42*$I$13+J42*$J$13+$D$27)*$C$27</f>
        <v>6.841402823874676E-2</v>
      </c>
      <c r="N42" s="77">
        <f>(H$27*$H$14+I42*$I$14+J42*$J$14+$E$27)*$C$27</f>
        <v>-0.15857787726295713</v>
      </c>
      <c r="O42" s="76">
        <f>(H42*$H$13+I$27*$I$13+J42*$J$13+$D$27)*$C$27</f>
        <v>-0.1830127018922193</v>
      </c>
      <c r="P42" s="77">
        <f>(H42*$H$14+I$27*$I$14+J42*$J$14+$E$27)*$C$27</f>
        <v>-8.5997232101666765E-2</v>
      </c>
      <c r="Q42" s="76">
        <f>(H42*$H$13+I42*$I$13+J$27*$J$13+$D$27)*$C$27</f>
        <v>6.841402823874676E-2</v>
      </c>
      <c r="R42" s="75">
        <f>(H42*$H$14+I42*$I$14+J$27*$J$14+$E$27)*$C$27</f>
        <v>-0.16408699610740013</v>
      </c>
    </row>
    <row r="43" spans="2:35">
      <c r="B43" s="81"/>
      <c r="C43">
        <v>1</v>
      </c>
      <c r="D43">
        <v>352</v>
      </c>
      <c r="E43">
        <v>0.75462600000000002</v>
      </c>
      <c r="F43" s="78"/>
      <c r="G43" s="75">
        <f>D$19*(L43-R43)</f>
        <v>0</v>
      </c>
      <c r="H43" s="76">
        <f>(C43-H$16)/H$17-0.5</f>
        <v>-0.5</v>
      </c>
      <c r="I43" s="75">
        <f>(D43-I$16)/I$17-0.5</f>
        <v>-0.17741935483870969</v>
      </c>
      <c r="J43" s="75">
        <f>(E43-J$16)/J$17-0.5</f>
        <v>-0.49110595448891559</v>
      </c>
      <c r="K43" s="76">
        <f>(H43*$H$13+I43*$I$13+J43*$J$13+$D$27)*$C$27</f>
        <v>9.6350331586631865E-2</v>
      </c>
      <c r="L43" s="77">
        <f>(H43*$H$14+I43*$I$14+J43*$J$14+$E$27)*$C$27</f>
        <v>-0.16444904288141832</v>
      </c>
      <c r="M43" s="76">
        <f>(H$27*$H$13+I43*$I$13+J43*$J$13+$D$27)*$C$27</f>
        <v>9.6350331586631865E-2</v>
      </c>
      <c r="N43" s="77">
        <f>(H$27*$H$14+I43*$I$14+J43*$J$14+$E$27)*$C$27</f>
        <v>-0.16444904288141832</v>
      </c>
      <c r="O43" s="76">
        <f>(H43*$H$13+I$27*$I$13+J43*$J$13+$D$27)*$C$27</f>
        <v>-0.1830127018922193</v>
      </c>
      <c r="P43" s="77">
        <f>(H43*$H$14+I$27*$I$14+J43*$J$14+$E$27)*$C$27</f>
        <v>-8.3803881591095697E-2</v>
      </c>
      <c r="Q43" s="76">
        <f>(H43*$H$13+I43*$I$13+J$27*$J$13+$D$27)*$C$27</f>
        <v>9.6350331586631865E-2</v>
      </c>
      <c r="R43" s="75">
        <f>(H43*$H$14+I43*$I$14+J$27*$J$14+$E$27)*$C$27</f>
        <v>-0.17215151223643238</v>
      </c>
    </row>
    <row r="44" spans="2:35">
      <c r="B44" s="81"/>
      <c r="C44">
        <v>1</v>
      </c>
      <c r="D44">
        <v>384</v>
      </c>
      <c r="E44">
        <v>0.77272399999999997</v>
      </c>
      <c r="F44" s="78"/>
      <c r="G44" s="75">
        <f>D$19*(L44-R44)</f>
        <v>0</v>
      </c>
      <c r="H44" s="76">
        <f>(C44-H$16)/H$17-0.5</f>
        <v>-0.5</v>
      </c>
      <c r="I44" s="75">
        <f>(D44-I$16)/I$17-0.5</f>
        <v>-0.14516129032258063</v>
      </c>
      <c r="J44" s="75">
        <f>(E44-J$16)/J$17-0.5</f>
        <v>-0.48891911597494114</v>
      </c>
      <c r="K44" s="76">
        <f>(H44*$H$13+I44*$I$13+J44*$J$13+$D$27)*$C$27</f>
        <v>0.124286634934517</v>
      </c>
      <c r="L44" s="77">
        <f>(H44*$H$14+I44*$I$14+J44*$J$14+$E$27)*$C$27</f>
        <v>-0.1706197013033745</v>
      </c>
      <c r="M44" s="76">
        <f>(H$27*$H$13+I44*$I$13+J44*$J$13+$D$27)*$C$27</f>
        <v>0.124286634934517</v>
      </c>
      <c r="N44" s="77">
        <f>(H$27*$H$14+I44*$I$14+J44*$J$14+$E$27)*$C$27</f>
        <v>-0.1706197013033745</v>
      </c>
      <c r="O44" s="76">
        <f>(H44*$H$13+I$27*$I$13+J44*$J$13+$D$27)*$C$27</f>
        <v>-0.1830127018922193</v>
      </c>
      <c r="P44" s="77">
        <f>(H44*$H$14+I$27*$I$14+J44*$J$14+$E$27)*$C$27</f>
        <v>-8.1910023884019634E-2</v>
      </c>
      <c r="Q44" s="76">
        <f>(H44*$H$13+I44*$I$13+J$27*$J$13+$D$27)*$C$27</f>
        <v>0.124286634934517</v>
      </c>
      <c r="R44" s="75">
        <f>(H44*$H$14+I44*$I$14+J$27*$J$14+$E$27)*$C$27</f>
        <v>-0.18021602836546463</v>
      </c>
    </row>
    <row r="45" spans="2:35">
      <c r="B45" s="81"/>
      <c r="C45">
        <v>1</v>
      </c>
      <c r="D45">
        <v>416</v>
      </c>
      <c r="E45">
        <v>0.804539</v>
      </c>
      <c r="F45" s="78"/>
      <c r="G45" s="75">
        <f>D$19*(L45-R45)</f>
        <v>0</v>
      </c>
      <c r="H45" s="76">
        <f>(C45-H$16)/H$17-0.5</f>
        <v>-0.5</v>
      </c>
      <c r="I45" s="75">
        <f>(D45-I$16)/I$17-0.5</f>
        <v>-0.11290322580645162</v>
      </c>
      <c r="J45" s="75">
        <f>(E45-J$16)/J$17-0.5</f>
        <v>-0.48507480901715033</v>
      </c>
      <c r="K45" s="76">
        <f>(H45*$H$13+I45*$I$13+J45*$J$13+$D$27)*$C$27</f>
        <v>0.15222293828240208</v>
      </c>
      <c r="L45" s="77">
        <f>(H45*$H$14+I45*$I$14+J45*$J$14+$E$27)*$C$27</f>
        <v>-0.17535494994701464</v>
      </c>
      <c r="M45" s="76">
        <f>(H$27*$H$13+I45*$I$13+J45*$J$13+$D$27)*$C$27</f>
        <v>0.15222293828240208</v>
      </c>
      <c r="N45" s="77">
        <f>(H$27*$H$14+I45*$I$14+J45*$J$14+$E$27)*$C$27</f>
        <v>-0.17535494994701464</v>
      </c>
      <c r="O45" s="76">
        <f>(H45*$H$13+I$27*$I$13+J45*$J$13+$D$27)*$C$27</f>
        <v>-0.1830127018922193</v>
      </c>
      <c r="P45" s="77">
        <f>(H45*$H$14+I$27*$I$14+J45*$J$14+$E$27)*$C$27</f>
        <v>-7.8580756398627494E-2</v>
      </c>
      <c r="Q45" s="76">
        <f>(H45*$H$13+I45*$I$13+J$27*$J$13+$D$27)*$C$27</f>
        <v>0.15222293828240208</v>
      </c>
      <c r="R45" s="75">
        <f>(H45*$H$14+I45*$I$14+J$27*$J$14+$E$27)*$C$27</f>
        <v>-0.18828054449449691</v>
      </c>
    </row>
    <row r="46" spans="2:35">
      <c r="B46" s="81"/>
      <c r="C46">
        <v>1</v>
      </c>
      <c r="D46">
        <v>448</v>
      </c>
      <c r="E46">
        <v>0.83156600000000003</v>
      </c>
      <c r="F46" s="78"/>
      <c r="G46" s="75">
        <f>D$19*(L46-R46)</f>
        <v>0</v>
      </c>
      <c r="H46" s="76">
        <f>(C46-H$16)/H$17-0.5</f>
        <v>-0.5</v>
      </c>
      <c r="I46" s="75">
        <f>(D46-I$16)/I$17-0.5</f>
        <v>-8.0645161290322565E-2</v>
      </c>
      <c r="J46" s="75">
        <f>(E46-J$16)/J$17-0.5</f>
        <v>-0.4818090512252845</v>
      </c>
      <c r="K46" s="76">
        <f>(H46*$H$13+I46*$I$13+J46*$J$13+$D$27)*$C$27</f>
        <v>0.18015924163028724</v>
      </c>
      <c r="L46" s="77">
        <f>(H46*$H$14+I46*$I$14+J46*$J$14+$E$27)*$C$27</f>
        <v>-0.18059123686568415</v>
      </c>
      <c r="M46" s="76">
        <f>(H$27*$H$13+I46*$I$13+J46*$J$13+$D$27)*$C$27</f>
        <v>0.18015924163028724</v>
      </c>
      <c r="N46" s="77">
        <f>(H$27*$H$14+I46*$I$14+J46*$J$14+$E$27)*$C$27</f>
        <v>-0.18059123686568415</v>
      </c>
      <c r="O46" s="76">
        <f>(H46*$H$13+I$27*$I$13+J46*$J$13+$D$27)*$C$27</f>
        <v>-0.1830127018922193</v>
      </c>
      <c r="P46" s="77">
        <f>(H46*$H$14+I$27*$I$14+J46*$J$14+$E$27)*$C$27</f>
        <v>-7.5752527188264751E-2</v>
      </c>
      <c r="Q46" s="76">
        <f>(H46*$H$13+I46*$I$13+J$27*$J$13+$D$27)*$C$27</f>
        <v>0.18015924163028724</v>
      </c>
      <c r="R46" s="75">
        <f>(H46*$H$14+I46*$I$14+J$27*$J$14+$E$27)*$C$27</f>
        <v>-0.19634506062352916</v>
      </c>
    </row>
    <row r="47" spans="2:35">
      <c r="B47" s="81"/>
      <c r="C47">
        <v>1</v>
      </c>
      <c r="D47">
        <v>480</v>
      </c>
      <c r="E47">
        <v>0.86943800000000004</v>
      </c>
      <c r="F47" s="78"/>
      <c r="G47" s="75">
        <f>D$19*(L47-R47)</f>
        <v>0</v>
      </c>
      <c r="H47" s="76">
        <f>(C47-H$16)/H$17-0.5</f>
        <v>-0.5</v>
      </c>
      <c r="I47" s="75">
        <f>(D47-I$16)/I$17-0.5</f>
        <v>-4.8387096774193561E-2</v>
      </c>
      <c r="J47" s="75">
        <f>(E47-J$16)/J$17-0.5</f>
        <v>-0.47723285782262997</v>
      </c>
      <c r="K47" s="76">
        <f>(H47*$H$13+I47*$I$13+J47*$J$13+$D$27)*$C$27</f>
        <v>0.20809554497817231</v>
      </c>
      <c r="L47" s="77">
        <f>(H47*$H$14+I47*$I$14+J47*$J$14+$E$27)*$C$27</f>
        <v>-0.18469265325538683</v>
      </c>
      <c r="M47" s="76">
        <f>(H$27*$H$13+I47*$I$13+J47*$J$13+$D$27)*$C$27</f>
        <v>0.20809554497817231</v>
      </c>
      <c r="N47" s="77">
        <f>(H$27*$H$14+I47*$I$14+J47*$J$14+$E$27)*$C$27</f>
        <v>-0.18469265325538683</v>
      </c>
      <c r="O47" s="76">
        <f>(H47*$H$13+I$27*$I$13+J47*$J$13+$D$27)*$C$27</f>
        <v>-0.1830127018922193</v>
      </c>
      <c r="P47" s="77">
        <f>(H47*$H$14+I$27*$I$14+J47*$J$14+$E$27)*$C$27</f>
        <v>-7.1789427448935184E-2</v>
      </c>
      <c r="Q47" s="76">
        <f>(H47*$H$13+I47*$I$13+J$27*$J$13+$D$27)*$C$27</f>
        <v>0.20809554497817231</v>
      </c>
      <c r="R47" s="75">
        <f>(H47*$H$14+I47*$I$14+J$27*$J$14+$E$27)*$C$27</f>
        <v>-0.20440957675256141</v>
      </c>
    </row>
    <row r="48" spans="2:35">
      <c r="B48" s="81"/>
      <c r="C48">
        <v>1</v>
      </c>
      <c r="D48">
        <v>512</v>
      </c>
      <c r="E48">
        <v>0.91939099999999996</v>
      </c>
      <c r="F48" s="78"/>
      <c r="G48" s="75">
        <f>D$19*(L48-R48)</f>
        <v>0</v>
      </c>
      <c r="H48" s="76">
        <f>(C48-H$16)/H$17-0.5</f>
        <v>-0.5</v>
      </c>
      <c r="I48" s="75">
        <f>(D48-I$16)/I$17-0.5</f>
        <v>-1.6129032258064502E-2</v>
      </c>
      <c r="J48" s="75">
        <f>(E48-J$16)/J$17-0.5</f>
        <v>-0.47119687902449942</v>
      </c>
      <c r="K48" s="76">
        <f>(H48*$H$13+I48*$I$13+J48*$J$13+$D$27)*$C$27</f>
        <v>0.23603184832605745</v>
      </c>
      <c r="L48" s="77">
        <f>(H48*$H$14+I48*$I$14+J48*$J$14+$E$27)*$C$27</f>
        <v>-0.18752985840853376</v>
      </c>
      <c r="M48" s="76">
        <f>(H$27*$H$13+I48*$I$13+J48*$J$13+$D$27)*$C$27</f>
        <v>0.23603184832605745</v>
      </c>
      <c r="N48" s="77">
        <f>(H$27*$H$14+I48*$I$14+J48*$J$14+$E$27)*$C$27</f>
        <v>-0.18752985840853376</v>
      </c>
      <c r="O48" s="76">
        <f>(H48*$H$13+I$27*$I$13+J48*$J$13+$D$27)*$C$27</f>
        <v>-0.1830127018922193</v>
      </c>
      <c r="P48" s="77">
        <f>(H48*$H$14+I$27*$I$14+J48*$J$14+$E$27)*$C$27</f>
        <v>-6.6562116473049826E-2</v>
      </c>
      <c r="Q48" s="76">
        <f>(H48*$H$13+I48*$I$13+J$27*$J$13+$D$27)*$C$27</f>
        <v>0.23603184832605745</v>
      </c>
      <c r="R48" s="75">
        <f>(H48*$H$14+I48*$I$14+J$27*$J$14+$E$27)*$C$27</f>
        <v>-0.21247409288159369</v>
      </c>
    </row>
    <row r="49" spans="2:18">
      <c r="B49" s="81"/>
      <c r="C49">
        <v>1</v>
      </c>
      <c r="D49">
        <v>544</v>
      </c>
      <c r="E49">
        <v>0.963445</v>
      </c>
      <c r="F49" s="78"/>
      <c r="G49" s="75">
        <f>D$19*(L49-R49)</f>
        <v>0</v>
      </c>
      <c r="H49" s="76">
        <f>(C49-H$16)/H$17-0.5</f>
        <v>-0.5</v>
      </c>
      <c r="I49" s="75">
        <f>(D49-I$16)/I$17-0.5</f>
        <v>1.6129032258064502E-2</v>
      </c>
      <c r="J49" s="75">
        <f>(E49-J$16)/J$17-0.5</f>
        <v>-0.46587369503208964</v>
      </c>
      <c r="K49" s="76">
        <f>(H49*$H$13+I49*$I$13+J49*$J$13+$D$27)*$C$27</f>
        <v>0.26396815167394255</v>
      </c>
      <c r="L49" s="77">
        <f>(H49*$H$14+I49*$I$14+J49*$J$14+$E$27)*$C$27</f>
        <v>-0.19098436197112045</v>
      </c>
      <c r="M49" s="76">
        <f>(H$27*$H$13+I49*$I$13+J49*$J$13+$D$27)*$C$27</f>
        <v>0.26396815167394255</v>
      </c>
      <c r="N49" s="77">
        <f>(H$27*$H$14+I49*$I$14+J49*$J$14+$E$27)*$C$27</f>
        <v>-0.19098436197112045</v>
      </c>
      <c r="O49" s="76">
        <f>(H49*$H$13+I$27*$I$13+J49*$J$13+$D$27)*$C$27</f>
        <v>-0.1830127018922193</v>
      </c>
      <c r="P49" s="77">
        <f>(H49*$H$14+I$27*$I$14+J49*$J$14+$E$27)*$C$27</f>
        <v>-6.1952103906604272E-2</v>
      </c>
      <c r="Q49" s="76">
        <f>(H49*$H$13+I49*$I$13+J$27*$J$13+$D$27)*$C$27</f>
        <v>0.26396815167394255</v>
      </c>
      <c r="R49" s="75">
        <f>(H49*$H$14+I49*$I$14+J$27*$J$14+$E$27)*$C$27</f>
        <v>-0.22053860901062594</v>
      </c>
    </row>
    <row r="50" spans="2:18">
      <c r="B50" s="81"/>
      <c r="C50">
        <v>1</v>
      </c>
      <c r="D50">
        <v>576</v>
      </c>
      <c r="E50">
        <v>1.0103040000000001</v>
      </c>
      <c r="F50" s="78"/>
      <c r="G50" s="75">
        <f>D$19*(L50-R50)</f>
        <v>0</v>
      </c>
      <c r="H50" s="76">
        <f>(C50-H$16)/H$17-0.5</f>
        <v>-0.5</v>
      </c>
      <c r="I50" s="75">
        <f>(D50-I$16)/I$17-0.5</f>
        <v>4.8387096774193505E-2</v>
      </c>
      <c r="J50" s="75">
        <f>(E50-J$16)/J$17-0.5</f>
        <v>-0.46021157402831409</v>
      </c>
      <c r="K50" s="76">
        <f>(H50*$H$13+I50*$I$13+J50*$J$13+$D$27)*$C$27</f>
        <v>0.29190445502182766</v>
      </c>
      <c r="L50" s="77">
        <f>(H50*$H$14+I50*$I$14+J50*$J$14+$E$27)*$C$27</f>
        <v>-0.19414533747158164</v>
      </c>
      <c r="M50" s="76">
        <f>(H$27*$H$13+I50*$I$13+J50*$J$13+$D$27)*$C$27</f>
        <v>0.29190445502182766</v>
      </c>
      <c r="N50" s="77">
        <f>(H$27*$H$14+I50*$I$14+J50*$J$14+$E$27)*$C$27</f>
        <v>-0.19414533747158164</v>
      </c>
      <c r="O50" s="76">
        <f>(H50*$H$13+I$27*$I$13+J50*$J$13+$D$27)*$C$27</f>
        <v>-0.1830127018922193</v>
      </c>
      <c r="P50" s="77">
        <f>(H50*$H$14+I$27*$I$14+J50*$J$14+$E$27)*$C$27</f>
        <v>-5.7048563278033204E-2</v>
      </c>
      <c r="Q50" s="76">
        <f>(H50*$H$13+I50*$I$13+J$27*$J$13+$D$27)*$C$27</f>
        <v>0.29190445502182766</v>
      </c>
      <c r="R50" s="75">
        <f>(H50*$H$14+I50*$I$14+J$27*$J$14+$E$27)*$C$27</f>
        <v>-0.22860312513965819</v>
      </c>
    </row>
    <row r="51" spans="2:18">
      <c r="B51" s="81"/>
      <c r="C51">
        <v>1</v>
      </c>
      <c r="D51">
        <v>608</v>
      </c>
      <c r="E51">
        <v>1.058468</v>
      </c>
      <c r="F51" s="78"/>
      <c r="G51" s="75">
        <f>D$19*(L51-R51)</f>
        <v>0</v>
      </c>
      <c r="H51" s="76">
        <f>(C51-H$16)/H$17-0.5</f>
        <v>-0.5</v>
      </c>
      <c r="I51" s="75">
        <f>(D51-I$16)/I$17-0.5</f>
        <v>8.064516129032262E-2</v>
      </c>
      <c r="J51" s="75">
        <f>(E51-J$16)/J$17-0.5</f>
        <v>-0.45439176575187101</v>
      </c>
      <c r="K51" s="76">
        <f>(H51*$H$13+I51*$I$13+J51*$J$13+$D$27)*$C$27</f>
        <v>0.31984075836971282</v>
      </c>
      <c r="L51" s="77">
        <f>(H51*$H$14+I51*$I$14+J51*$J$14+$E$27)*$C$27</f>
        <v>-0.19716975178805932</v>
      </c>
      <c r="M51" s="76">
        <f>(H$27*$H$13+I51*$I$13+J51*$J$13+$D$27)*$C$27</f>
        <v>0.31984075836971282</v>
      </c>
      <c r="N51" s="77">
        <f>(H$27*$H$14+I51*$I$14+J51*$J$14+$E$27)*$C$27</f>
        <v>-0.19716975178805932</v>
      </c>
      <c r="O51" s="76">
        <f>(H51*$H$13+I$27*$I$13+J51*$J$13+$D$27)*$C$27</f>
        <v>-0.1830127018922193</v>
      </c>
      <c r="P51" s="77">
        <f>(H51*$H$14+I$27*$I$14+J51*$J$14+$E$27)*$C$27</f>
        <v>-5.2008461465478606E-2</v>
      </c>
      <c r="Q51" s="76">
        <f>(H51*$H$13+I51*$I$13+J$27*$J$13+$D$27)*$C$27</f>
        <v>0.31984075836971282</v>
      </c>
      <c r="R51" s="75">
        <f>(H51*$H$14+I51*$I$14+J$27*$J$14+$E$27)*$C$27</f>
        <v>-0.23666764126869047</v>
      </c>
    </row>
    <row r="52" spans="2:18">
      <c r="B52" s="81"/>
      <c r="C52">
        <v>1</v>
      </c>
      <c r="D52">
        <v>640</v>
      </c>
      <c r="E52">
        <v>1.0783750000000001</v>
      </c>
      <c r="F52" s="78"/>
      <c r="G52" s="75">
        <f>D$19*(L52-R52)</f>
        <v>0</v>
      </c>
      <c r="H52" s="76">
        <f>(C52-H$16)/H$17-0.5</f>
        <v>-0.5</v>
      </c>
      <c r="I52" s="75">
        <f>(D52-I$16)/I$17-0.5</f>
        <v>0.11290322580645162</v>
      </c>
      <c r="J52" s="75">
        <f>(E52-J$16)/J$17-0.5</f>
        <v>-0.4519863400530264</v>
      </c>
      <c r="K52" s="76">
        <f>(H52*$H$13+I52*$I$13+J52*$J$13+$D$27)*$C$27</f>
        <v>0.34777706171759792</v>
      </c>
      <c r="L52" s="77">
        <f>(H52*$H$14+I52*$I$14+J52*$J$14+$E$27)*$C$27</f>
        <v>-0.2031511081549762</v>
      </c>
      <c r="M52" s="76">
        <f>(H$27*$H$13+I52*$I$13+J52*$J$13+$D$27)*$C$27</f>
        <v>0.34777706171759792</v>
      </c>
      <c r="N52" s="77">
        <f>(H$27*$H$14+I52*$I$14+J52*$J$14+$E$27)*$C$27</f>
        <v>-0.2031511081549762</v>
      </c>
      <c r="O52" s="76">
        <f>(H52*$H$13+I$27*$I$13+J52*$J$13+$D$27)*$C$27</f>
        <v>-0.1830127018922193</v>
      </c>
      <c r="P52" s="77">
        <f>(H52*$H$14+I$27*$I$14+J52*$J$14+$E$27)*$C$27</f>
        <v>-4.9925301703363234E-2</v>
      </c>
      <c r="Q52" s="76">
        <f>(H52*$H$13+I52*$I$13+J$27*$J$13+$D$27)*$C$27</f>
        <v>0.34777706171759792</v>
      </c>
      <c r="R52" s="75">
        <f>(H52*$H$14+I52*$I$14+J$27*$J$14+$E$27)*$C$27</f>
        <v>-0.24473215739772272</v>
      </c>
    </row>
    <row r="53" spans="2:18">
      <c r="B53" s="81"/>
      <c r="C53">
        <v>1</v>
      </c>
      <c r="D53">
        <v>672</v>
      </c>
      <c r="E53">
        <v>1.129424</v>
      </c>
      <c r="F53" s="78"/>
      <c r="G53" s="75">
        <f>D$19*(L53-R53)</f>
        <v>0</v>
      </c>
      <c r="H53" s="76">
        <f>(C53-H$16)/H$17-0.5</f>
        <v>-0.5</v>
      </c>
      <c r="I53" s="75">
        <f>(D53-I$16)/I$17-0.5</f>
        <v>0.14516129032258063</v>
      </c>
      <c r="J53" s="75">
        <f>(E53-J$16)/J$17-0.5</f>
        <v>-0.44581792811248699</v>
      </c>
      <c r="K53" s="76">
        <f>(H53*$H$13+I53*$I$13+J53*$J$13+$D$27)*$C$27</f>
        <v>0.37571336506548297</v>
      </c>
      <c r="L53" s="77">
        <f>(H53*$H$14+I53*$I$14+J53*$J$14+$E$27)*$C$27</f>
        <v>-0.20587362284249403</v>
      </c>
      <c r="M53" s="76">
        <f>(H$27*$H$13+I53*$I$13+J53*$J$13+$D$27)*$C$27</f>
        <v>0.37571336506548297</v>
      </c>
      <c r="N53" s="77">
        <f>(H$27*$H$14+I53*$I$14+J53*$J$14+$E$27)*$C$27</f>
        <v>-0.20587362284249403</v>
      </c>
      <c r="O53" s="76">
        <f>(H53*$H$13+I$27*$I$13+J53*$J$13+$D$27)*$C$27</f>
        <v>-0.1830127018922193</v>
      </c>
      <c r="P53" s="77">
        <f>(H53*$H$14+I$27*$I$14+J53*$J$14+$E$27)*$C$27</f>
        <v>-4.4583300261848813E-2</v>
      </c>
      <c r="Q53" s="76">
        <f>(H53*$H$13+I53*$I$13+J$27*$J$13+$D$27)*$C$27</f>
        <v>0.37571336506548297</v>
      </c>
      <c r="R53" s="75">
        <f>(H53*$H$14+I53*$I$14+J$27*$J$14+$E$27)*$C$27</f>
        <v>-0.25279667352675494</v>
      </c>
    </row>
    <row r="54" spans="2:18">
      <c r="B54" s="81"/>
      <c r="C54">
        <v>1</v>
      </c>
      <c r="D54">
        <v>704</v>
      </c>
      <c r="E54">
        <v>1.171281</v>
      </c>
      <c r="F54" s="78"/>
      <c r="G54" s="75">
        <f>D$19*(L54-R54)</f>
        <v>0</v>
      </c>
      <c r="H54" s="76">
        <f>(C54-H$16)/H$17-0.5</f>
        <v>-0.5</v>
      </c>
      <c r="I54" s="75">
        <f>(D54-I$16)/I$17-0.5</f>
        <v>0.17741935483870963</v>
      </c>
      <c r="J54" s="75">
        <f>(E54-J$16)/J$17-0.5</f>
        <v>-0.44076021457069064</v>
      </c>
      <c r="K54" s="76">
        <f>(H54*$H$13+I54*$I$13+J54*$J$13+$D$27)*$C$27</f>
        <v>0.40364966841336808</v>
      </c>
      <c r="L54" s="77">
        <f>(H54*$H$14+I54*$I$14+J54*$J$14+$E$27)*$C$27</f>
        <v>-0.20955803055926606</v>
      </c>
      <c r="M54" s="76">
        <f>(H$27*$H$13+I54*$I$13+J54*$J$13+$D$27)*$C$27</f>
        <v>0.40364966841336808</v>
      </c>
      <c r="N54" s="77">
        <f>(H$27*$H$14+I54*$I$14+J54*$J$14+$E$27)*$C$27</f>
        <v>-0.20955803055926606</v>
      </c>
      <c r="O54" s="76">
        <f>(H54*$H$13+I$27*$I$13+J54*$J$13+$D$27)*$C$27</f>
        <v>-0.1830127018922193</v>
      </c>
      <c r="P54" s="77">
        <f>(H54*$H$14+I$27*$I$14+J54*$J$14+$E$27)*$C$27</f>
        <v>-4.0203191849588593E-2</v>
      </c>
      <c r="Q54" s="76">
        <f>(H54*$H$13+I54*$I$13+J$27*$J$13+$D$27)*$C$27</f>
        <v>0.40364966841336808</v>
      </c>
      <c r="R54" s="75">
        <f>(H54*$H$14+I54*$I$14+J$27*$J$14+$E$27)*$C$27</f>
        <v>-0.2608611896557872</v>
      </c>
    </row>
    <row r="55" spans="2:18">
      <c r="B55" s="81"/>
      <c r="C55">
        <v>1</v>
      </c>
      <c r="D55">
        <v>736</v>
      </c>
      <c r="E55">
        <v>1.213967</v>
      </c>
      <c r="F55" s="78"/>
      <c r="G55" s="75">
        <f>D$19*(L55-R55)</f>
        <v>0</v>
      </c>
      <c r="H55" s="76">
        <f>(C55-H$16)/H$17-0.5</f>
        <v>-0.5</v>
      </c>
      <c r="I55" s="75">
        <f>(D55-I$16)/I$17-0.5</f>
        <v>0.20967741935483875</v>
      </c>
      <c r="J55" s="75">
        <f>(E55-J$16)/J$17-0.5</f>
        <v>-0.43560233033997375</v>
      </c>
      <c r="K55" s="76">
        <f>(H55*$H$13+I55*$I$13+J55*$J$13+$D$27)*$C$27</f>
        <v>0.4315859717612533</v>
      </c>
      <c r="L55" s="77">
        <f>(H55*$H$14+I55*$I$14+J55*$J$14+$E$27)*$C$27</f>
        <v>-0.21315568791471839</v>
      </c>
      <c r="M55" s="76">
        <f>(H$27*$H$13+I55*$I$13+J55*$J$13+$D$27)*$C$27</f>
        <v>0.4315859717612533</v>
      </c>
      <c r="N55" s="77">
        <f>(H$27*$H$14+I55*$I$14+J55*$J$14+$E$27)*$C$27</f>
        <v>-0.21315568791471839</v>
      </c>
      <c r="O55" s="76">
        <f>(H55*$H$13+I$27*$I$13+J55*$J$13+$D$27)*$C$27</f>
        <v>-0.1830127018922193</v>
      </c>
      <c r="P55" s="77">
        <f>(H55*$H$14+I$27*$I$14+J55*$J$14+$E$27)*$C$27</f>
        <v>-3.5736333076008653E-2</v>
      </c>
      <c r="Q55" s="76">
        <f>(H55*$H$13+I55*$I$13+J$27*$J$13+$D$27)*$C$27</f>
        <v>0.4315859717612533</v>
      </c>
      <c r="R55" s="75">
        <f>(H55*$H$14+I55*$I$14+J$27*$J$14+$E$27)*$C$27</f>
        <v>-0.2689257057848195</v>
      </c>
    </row>
    <row r="56" spans="2:18">
      <c r="B56" s="81"/>
      <c r="C56">
        <v>1</v>
      </c>
      <c r="D56">
        <v>768</v>
      </c>
      <c r="E56">
        <v>1.2686329999999999</v>
      </c>
      <c r="F56" s="78"/>
      <c r="G56" s="75">
        <f>D$19*(L56-R56)</f>
        <v>0</v>
      </c>
      <c r="H56" s="76">
        <f>(C56-H$16)/H$17-0.5</f>
        <v>-0.5</v>
      </c>
      <c r="I56" s="75">
        <f>(D56-I$16)/I$17-0.5</f>
        <v>0.24193548387096775</v>
      </c>
      <c r="J56" s="75">
        <f>(E56-J$16)/J$17-0.5</f>
        <v>-0.42899686486285316</v>
      </c>
      <c r="K56" s="76">
        <f>(H56*$H$13+I56*$I$13+J56*$J$13+$D$27)*$C$27</f>
        <v>0.4595222751091384</v>
      </c>
      <c r="L56" s="77">
        <f>(H56*$H$14+I56*$I$14+J56*$J$14+$E$27)*$C$27</f>
        <v>-0.2154997031367431</v>
      </c>
      <c r="M56" s="76">
        <f>(H$27*$H$13+I56*$I$13+J56*$J$13+$D$27)*$C$27</f>
        <v>0.4595222751091384</v>
      </c>
      <c r="N56" s="77">
        <f>(H$27*$H$14+I56*$I$14+J56*$J$14+$E$27)*$C$27</f>
        <v>-0.2154997031367431</v>
      </c>
      <c r="O56" s="76">
        <f>(H56*$H$13+I$27*$I$13+J56*$J$13+$D$27)*$C$27</f>
        <v>-0.1830127018922193</v>
      </c>
      <c r="P56" s="77">
        <f>(H56*$H$14+I$27*$I$14+J56*$J$14+$E$27)*$C$27</f>
        <v>-3.0015832169001111E-2</v>
      </c>
      <c r="Q56" s="76">
        <f>(H56*$H$13+I56*$I$13+J$27*$J$13+$D$27)*$C$27</f>
        <v>0.4595222751091384</v>
      </c>
      <c r="R56" s="75">
        <f>(H56*$H$14+I56*$I$14+J$27*$J$14+$E$27)*$C$27</f>
        <v>-0.27699022191385175</v>
      </c>
    </row>
    <row r="57" spans="2:18">
      <c r="B57" s="81"/>
      <c r="C57">
        <v>1</v>
      </c>
      <c r="D57">
        <v>800</v>
      </c>
      <c r="E57">
        <v>1.348349</v>
      </c>
      <c r="F57" s="78"/>
      <c r="G57" s="75">
        <f>D$19*(L57-R57)</f>
        <v>0</v>
      </c>
      <c r="H57" s="76">
        <f>(C57-H$16)/H$17-0.5</f>
        <v>-0.5</v>
      </c>
      <c r="I57" s="75">
        <f>(D57-I$16)/I$17-0.5</f>
        <v>0.27419354838709675</v>
      </c>
      <c r="J57" s="75">
        <f>(E57-J$16)/J$17-0.5</f>
        <v>-0.41936452874947105</v>
      </c>
      <c r="K57" s="76">
        <f>(H57*$H$13+I57*$I$13+J57*$J$13+$D$27)*$C$27</f>
        <v>0.48745857845702351</v>
      </c>
      <c r="L57" s="77">
        <f>(H57*$H$14+I57*$I$14+J57*$J$14+$E$27)*$C$27</f>
        <v>-0.21522237149379619</v>
      </c>
      <c r="M57" s="76">
        <f>(H$27*$H$13+I57*$I$13+J57*$J$13+$D$27)*$C$27</f>
        <v>0.48745857845702351</v>
      </c>
      <c r="N57" s="77">
        <f>(H$27*$H$14+I57*$I$14+J57*$J$14+$E$27)*$C$27</f>
        <v>-0.21522237149379619</v>
      </c>
      <c r="O57" s="76">
        <f>(H57*$H$13+I$27*$I$13+J57*$J$13+$D$27)*$C$27</f>
        <v>-0.1830127018922193</v>
      </c>
      <c r="P57" s="77">
        <f>(H57*$H$14+I$27*$I$14+J57*$J$14+$E$27)*$C$27</f>
        <v>-2.167398439702195E-2</v>
      </c>
      <c r="Q57" s="76">
        <f>(H57*$H$13+I57*$I$13+J$27*$J$13+$D$27)*$C$27</f>
        <v>0.48745857845702351</v>
      </c>
      <c r="R57" s="75">
        <f>(H57*$H$14+I57*$I$14+J$27*$J$14+$E$27)*$C$27</f>
        <v>-0.285054738042884</v>
      </c>
    </row>
    <row r="58" spans="2:18">
      <c r="B58" s="81"/>
      <c r="C58">
        <v>1</v>
      </c>
      <c r="D58">
        <v>832</v>
      </c>
      <c r="E58">
        <v>1.3596870000000001</v>
      </c>
      <c r="F58" s="78"/>
      <c r="G58" s="75">
        <f>D$19*(L58-R58)</f>
        <v>0</v>
      </c>
      <c r="H58" s="76">
        <f>(C58-H$16)/H$17-0.5</f>
        <v>-0.5</v>
      </c>
      <c r="I58" s="75">
        <f>(D58-I$16)/I$17-0.5</f>
        <v>0.30645161290322576</v>
      </c>
      <c r="J58" s="75">
        <f>(E58-J$16)/J$17-0.5</f>
        <v>-0.41799452239123019</v>
      </c>
      <c r="K58" s="76">
        <f>(H58*$H$13+I58*$I$13+J58*$J$13+$D$27)*$C$27</f>
        <v>0.51539488180490856</v>
      </c>
      <c r="L58" s="77">
        <f>(H58*$H$14+I58*$I$14+J58*$J$14+$E$27)*$C$27</f>
        <v>-0.22210042731324564</v>
      </c>
      <c r="M58" s="76">
        <f>(H$27*$H$13+I58*$I$13+J58*$J$13+$D$27)*$C$27</f>
        <v>0.51539488180490856</v>
      </c>
      <c r="N58" s="77">
        <f>(H$27*$H$14+I58*$I$14+J58*$J$14+$E$27)*$C$27</f>
        <v>-0.22210042731324564</v>
      </c>
      <c r="O58" s="76">
        <f>(H58*$H$13+I$27*$I$13+J58*$J$13+$D$27)*$C$27</f>
        <v>-0.1830127018922193</v>
      </c>
      <c r="P58" s="77">
        <f>(H58*$H$14+I$27*$I$14+J58*$J$14+$E$27)*$C$27</f>
        <v>-2.0487524087439146E-2</v>
      </c>
      <c r="Q58" s="76">
        <f>(H58*$H$13+I58*$I$13+J$27*$J$13+$D$27)*$C$27</f>
        <v>0.51539488180490844</v>
      </c>
      <c r="R58" s="75">
        <f>(H58*$H$14+I58*$I$14+J$27*$J$14+$E$27)*$C$27</f>
        <v>-0.29311925417191625</v>
      </c>
    </row>
    <row r="59" spans="2:18">
      <c r="B59" s="81"/>
      <c r="C59">
        <v>1</v>
      </c>
      <c r="D59">
        <v>864</v>
      </c>
      <c r="E59">
        <v>1.4070419999999999</v>
      </c>
      <c r="F59" s="78"/>
      <c r="G59" s="75">
        <f>D$19*(L59-R59)</f>
        <v>0</v>
      </c>
      <c r="H59" s="76">
        <f>(C59-H$16)/H$17-0.5</f>
        <v>-0.5</v>
      </c>
      <c r="I59" s="75">
        <f>(D59-I$16)/I$17-0.5</f>
        <v>0.33870967741935487</v>
      </c>
      <c r="J59" s="75">
        <f>(E59-J$16)/J$17-0.5</f>
        <v>-0.41227246814052509</v>
      </c>
      <c r="K59" s="76">
        <f>(H59*$H$13+I59*$I$13+J59*$J$13+$D$27)*$C$27</f>
        <v>0.54333118515279377</v>
      </c>
      <c r="L59" s="77">
        <f>(H59*$H$14+I59*$I$14+J59*$J$14+$E$27)*$C$27</f>
        <v>-0.22520949909933458</v>
      </c>
      <c r="M59" s="76">
        <f>(H$27*$H$13+I59*$I$13+J59*$J$13+$D$27)*$C$27</f>
        <v>0.54333118515279377</v>
      </c>
      <c r="N59" s="77">
        <f>(H$27*$H$14+I59*$I$14+J59*$J$14+$E$27)*$C$27</f>
        <v>-0.22520949909933458</v>
      </c>
      <c r="O59" s="76">
        <f>(H59*$H$13+I$27*$I$13+J59*$J$13+$D$27)*$C$27</f>
        <v>-0.1830127018922193</v>
      </c>
      <c r="P59" s="77">
        <f>(H59*$H$14+I$27*$I$14+J59*$J$14+$E$27)*$C$27</f>
        <v>-1.5532079744495775E-2</v>
      </c>
      <c r="Q59" s="76">
        <f>(H59*$H$13+I59*$I$13+J$27*$J$13+$D$27)*$C$27</f>
        <v>0.54333118515279366</v>
      </c>
      <c r="R59" s="75">
        <f>(H59*$H$14+I59*$I$14+J$27*$J$14+$E$27)*$C$27</f>
        <v>-0.30118377030094856</v>
      </c>
    </row>
    <row r="60" spans="2:18">
      <c r="B60" s="81"/>
      <c r="C60">
        <v>1</v>
      </c>
      <c r="D60">
        <v>896</v>
      </c>
      <c r="E60">
        <v>1.431343</v>
      </c>
      <c r="F60" s="78"/>
      <c r="G60" s="75">
        <f>D$19*(L60-R60)</f>
        <v>0</v>
      </c>
      <c r="H60" s="76">
        <f>(C60-H$16)/H$17-0.5</f>
        <v>-0.5</v>
      </c>
      <c r="I60" s="75">
        <f>(D60-I$16)/I$17-0.5</f>
        <v>0.37096774193548387</v>
      </c>
      <c r="J60" s="75">
        <f>(E60-J$16)/J$17-0.5</f>
        <v>-0.40933610154045363</v>
      </c>
      <c r="K60" s="76">
        <f>(H60*$H$13+I60*$I$13+J60*$J$13+$D$27)*$C$27</f>
        <v>0.57126748850067888</v>
      </c>
      <c r="L60" s="77">
        <f>(H60*$H$14+I60*$I$14+J60*$J$14+$E$27)*$C$27</f>
        <v>-0.23073104715788084</v>
      </c>
      <c r="M60" s="76">
        <f>(H$27*$H$13+I60*$I$13+J60*$J$13+$D$27)*$C$27</f>
        <v>0.57126748850067888</v>
      </c>
      <c r="N60" s="77">
        <f>(H$27*$H$14+I60*$I$14+J60*$J$14+$E$27)*$C$27</f>
        <v>-0.23073104715788084</v>
      </c>
      <c r="O60" s="76">
        <f>(H60*$H$13+I$27*$I$13+J60*$J$13+$D$27)*$C$27</f>
        <v>-0.1830127018922193</v>
      </c>
      <c r="P60" s="77">
        <f>(H60*$H$14+I$27*$I$14+J60*$J$14+$E$27)*$C$27</f>
        <v>-1.298911167400979E-2</v>
      </c>
      <c r="Q60" s="76">
        <f>(H60*$H$13+I60*$I$13+J$27*$J$13+$D$27)*$C$27</f>
        <v>0.57126748850067877</v>
      </c>
      <c r="R60" s="75">
        <f>(H60*$H$14+I60*$I$14+J$27*$J$14+$E$27)*$C$27</f>
        <v>-0.30924828642998081</v>
      </c>
    </row>
    <row r="61" spans="2:18">
      <c r="B61" s="81"/>
      <c r="C61">
        <v>1</v>
      </c>
      <c r="D61">
        <v>928</v>
      </c>
      <c r="E61">
        <v>1.505978</v>
      </c>
      <c r="F61" s="78"/>
      <c r="G61" s="75">
        <f>D$19*(L61-R61)</f>
        <v>0</v>
      </c>
      <c r="H61" s="76">
        <f>(C61-H$16)/H$17-0.5</f>
        <v>-0.5</v>
      </c>
      <c r="I61" s="75">
        <f>(D61-I$16)/I$17-0.5</f>
        <v>0.40322580645161288</v>
      </c>
      <c r="J61" s="75">
        <f>(E61-J$16)/J$17-0.5</f>
        <v>-0.40031771870862221</v>
      </c>
      <c r="K61" s="76">
        <f>(H61*$H$13+I61*$I$13+J61*$J$13+$D$27)*$C$27</f>
        <v>0.59920379184856398</v>
      </c>
      <c r="L61" s="77">
        <f>(H61*$H$14+I61*$I$14+J61*$J$14+$E$27)*$C$27</f>
        <v>-0.23098541465349359</v>
      </c>
      <c r="M61" s="76">
        <f>(H$27*$H$13+I61*$I$13+J61*$J$13+$D$27)*$C$27</f>
        <v>0.59920379184856398</v>
      </c>
      <c r="N61" s="77">
        <f>(H$27*$H$14+I61*$I$14+J61*$J$14+$E$27)*$C$27</f>
        <v>-0.23098541465349359</v>
      </c>
      <c r="O61" s="76">
        <f>(H61*$H$13+I$27*$I$13+J61*$J$13+$D$27)*$C$27</f>
        <v>-0.1830127018922193</v>
      </c>
      <c r="P61" s="77">
        <f>(H61*$H$14+I$27*$I$14+J61*$J$14+$E$27)*$C$27</f>
        <v>-5.1789630405902898E-3</v>
      </c>
      <c r="Q61" s="76">
        <f>(H61*$H$13+I61*$I$13+J$27*$J$13+$D$27)*$C$27</f>
        <v>0.59920379184856387</v>
      </c>
      <c r="R61" s="75">
        <f>(H61*$H$14+I61*$I$14+J$27*$J$14+$E$27)*$C$27</f>
        <v>-0.31731280255901306</v>
      </c>
    </row>
    <row r="62" spans="2:18">
      <c r="B62" s="81"/>
      <c r="C62">
        <v>1</v>
      </c>
      <c r="D62">
        <v>960</v>
      </c>
      <c r="E62">
        <v>1.5691999999999999</v>
      </c>
      <c r="F62" s="78"/>
      <c r="G62" s="75">
        <f>D$19*(L62-R62)</f>
        <v>0</v>
      </c>
      <c r="H62" s="76">
        <f>(C62-H$16)/H$17-0.5</f>
        <v>-0.5</v>
      </c>
      <c r="I62" s="75">
        <f>(D62-I$16)/I$17-0.5</f>
        <v>0.43548387096774188</v>
      </c>
      <c r="J62" s="75">
        <f>(E62-J$16)/J$17-0.5</f>
        <v>-0.39267840472196652</v>
      </c>
      <c r="K62" s="76">
        <f>(H62*$H$13+I62*$I$13+J62*$J$13+$D$27)*$C$27</f>
        <v>0.62714009519644909</v>
      </c>
      <c r="L62" s="77">
        <f>(H62*$H$14+I62*$I$14+J62*$J$14+$E$27)*$C$27</f>
        <v>-0.23243409080259625</v>
      </c>
      <c r="M62" s="76">
        <f>(H$27*$H$13+I62*$I$13+J62*$J$13+$D$27)*$C$27</f>
        <v>0.62714009519644909</v>
      </c>
      <c r="N62" s="77">
        <f>(H$27*$H$14+I62*$I$14+J62*$J$14+$E$27)*$C$27</f>
        <v>-0.23243409080259625</v>
      </c>
      <c r="O62" s="76">
        <f>(H62*$H$13+I$27*$I$13+J62*$J$13+$D$27)*$C$27</f>
        <v>-0.1830127018922193</v>
      </c>
      <c r="P62" s="77">
        <f>(H62*$H$14+I$27*$I$14+J62*$J$14+$E$27)*$C$27</f>
        <v>1.4368769393393044E-3</v>
      </c>
      <c r="Q62" s="76">
        <f>(H62*$H$13+I62*$I$13+J$27*$J$13+$D$27)*$C$27</f>
        <v>0.62714009519644898</v>
      </c>
      <c r="R62" s="75">
        <f>(H62*$H$14+I62*$I$14+J$27*$J$14+$E$27)*$C$27</f>
        <v>-0.32537731868804531</v>
      </c>
    </row>
    <row r="63" spans="2:18">
      <c r="B63" s="81"/>
      <c r="C63">
        <v>1</v>
      </c>
      <c r="D63">
        <v>992</v>
      </c>
      <c r="E63">
        <v>1.623923</v>
      </c>
      <c r="F63" s="78"/>
      <c r="G63" s="75">
        <f>D$19*(L63-R63)</f>
        <v>0</v>
      </c>
      <c r="H63" s="76">
        <f>(C63-H$16)/H$17-0.5</f>
        <v>-0.5</v>
      </c>
      <c r="I63" s="75">
        <f>(D63-I$16)/I$17-0.5</f>
        <v>0.467741935483871</v>
      </c>
      <c r="J63" s="75">
        <f>(E63-J$16)/J$17-0.5</f>
        <v>-0.38606605175477537</v>
      </c>
      <c r="K63" s="76">
        <f>(H63*$H$13+I63*$I$13+J63*$J$13+$D$27)*$C$27</f>
        <v>0.65507639854433419</v>
      </c>
      <c r="L63" s="77">
        <f>(H63*$H$14+I63*$I$14+J63*$J$14+$E$27)*$C$27</f>
        <v>-0.23477214128325161</v>
      </c>
      <c r="M63" s="76">
        <f>(H$27*$H$13+I63*$I$13+J63*$J$13+$D$27)*$C$27</f>
        <v>0.65507639854433419</v>
      </c>
      <c r="N63" s="77">
        <f>(H$27*$H$14+I63*$I$14+J63*$J$14+$E$27)*$C$27</f>
        <v>-0.23477214128325161</v>
      </c>
      <c r="O63" s="76">
        <f>(H63*$H$13+I$27*$I$13+J63*$J$13+$D$27)*$C$27</f>
        <v>-0.1830127018922193</v>
      </c>
      <c r="P63" s="77">
        <f>(H63*$H$14+I$27*$I$14+J63*$J$14+$E$27)*$C$27</f>
        <v>7.163342587716226E-3</v>
      </c>
      <c r="Q63" s="76">
        <f>(H63*$H$13+I63*$I$13+J$27*$J$13+$D$27)*$C$27</f>
        <v>0.65507639854433408</v>
      </c>
      <c r="R63" s="75">
        <f>(H63*$H$14+I63*$I$14+J$27*$J$14+$E$27)*$C$27</f>
        <v>-0.33344183481707756</v>
      </c>
    </row>
    <row r="64" spans="2:18">
      <c r="B64" s="81"/>
      <c r="C64">
        <v>1</v>
      </c>
      <c r="D64">
        <v>1024</v>
      </c>
      <c r="E64">
        <v>1.6292850000000001</v>
      </c>
      <c r="F64" s="78"/>
      <c r="G64" s="75">
        <f>D$19*(L64-R64)</f>
        <v>0</v>
      </c>
      <c r="H64" s="76">
        <f>(C64-H$16)/H$17-0.5</f>
        <v>-0.5</v>
      </c>
      <c r="I64" s="75">
        <f>(D64-I$16)/I$17-0.5</f>
        <v>0.5</v>
      </c>
      <c r="J64" s="75">
        <f>(E64-J$16)/J$17-0.5</f>
        <v>-0.38541814435550853</v>
      </c>
      <c r="K64" s="76">
        <f>(H64*$H$13+I64*$I$13+J64*$J$13+$D$27)*$C$27</f>
        <v>0.68301270189221941</v>
      </c>
      <c r="L64" s="77">
        <f>(H64*$H$14+I64*$I$14+J64*$J$14+$E$27)*$C$27</f>
        <v>-0.24227555314521884</v>
      </c>
      <c r="M64" s="76">
        <f>(H$27*$H$13+I64*$I$13+J64*$J$13+$D$27)*$C$27</f>
        <v>0.68301270189221941</v>
      </c>
      <c r="N64" s="77">
        <f>(H$27*$H$14+I64*$I$14+J64*$J$14+$E$27)*$C$27</f>
        <v>-0.24227555314521884</v>
      </c>
      <c r="O64" s="76">
        <f>(H64*$H$13+I$27*$I$13+J64*$J$13+$D$27)*$C$27</f>
        <v>-0.1830127018922193</v>
      </c>
      <c r="P64" s="77">
        <f>(H64*$H$14+I$27*$I$14+J64*$J$14+$E$27)*$C$27</f>
        <v>7.7244468547812417E-3</v>
      </c>
      <c r="Q64" s="76">
        <f>(H64*$H$13+I64*$I$13+J$27*$J$13+$D$27)*$C$27</f>
        <v>0.6830127018922193</v>
      </c>
      <c r="R64" s="75">
        <f>(H64*$H$14+I64*$I$14+J$27*$J$14+$E$27)*$C$27</f>
        <v>-0.34150635094610982</v>
      </c>
    </row>
    <row r="65" spans="2:18">
      <c r="B65" s="81"/>
      <c r="C65">
        <v>2</v>
      </c>
      <c r="D65">
        <v>32</v>
      </c>
      <c r="E65">
        <v>0.98321000000000003</v>
      </c>
      <c r="F65" s="78"/>
      <c r="G65" s="75">
        <f>D$19*(L65-R65)</f>
        <v>0</v>
      </c>
      <c r="H65" s="76">
        <f>(C65-H$16)/H$17-0.5</f>
        <v>-0.467741935483871</v>
      </c>
      <c r="I65" s="75">
        <f>(D65-I$16)/I$17-0.5</f>
        <v>-0.5</v>
      </c>
      <c r="J65" s="75">
        <f>(E65-J$16)/J$17-0.5</f>
        <v>-0.46348542764184181</v>
      </c>
      <c r="K65" s="76">
        <f>(H65*$H$13+I65*$I$13+J65*$J$13+$D$27)*$C$27</f>
        <v>-0.1991417341502838</v>
      </c>
      <c r="L65" s="77">
        <f>(H65*$H$14+I65*$I$14+J65*$J$14+$E$27)*$C$27</f>
        <v>-7.3851955349562237E-2</v>
      </c>
      <c r="M65" s="76">
        <f>(H$27*$H$13+I65*$I$13+J65*$J$13+$D$27)*$C$27</f>
        <v>-0.1830127018922193</v>
      </c>
      <c r="N65" s="77">
        <f>(H$27*$H$14+I65*$I$14+J65*$J$14+$E$27)*$C$27</f>
        <v>-5.9883803675619685E-2</v>
      </c>
      <c r="O65" s="76">
        <f>(H65*$H$13+I$27*$I$13+J65*$J$13+$D$27)*$C$27</f>
        <v>-0.1991417341502838</v>
      </c>
      <c r="P65" s="77">
        <f>(H65*$H$14+I$27*$I$14+J65*$J$14+$E$27)*$C$27</f>
        <v>-7.3851955349562237E-2</v>
      </c>
      <c r="Q65" s="76">
        <f>(H65*$H$13+I65*$I$13+J$27*$J$13+$D$27)*$C$27</f>
        <v>-0.1991417341502838</v>
      </c>
      <c r="R65" s="75">
        <f>(H65*$H$14+I65*$I$14+J$27*$J$14+$E$27)*$C$27</f>
        <v>-0.10547450262005231</v>
      </c>
    </row>
    <row r="66" spans="2:18">
      <c r="B66" s="81"/>
      <c r="C66">
        <v>2</v>
      </c>
      <c r="D66">
        <v>64</v>
      </c>
      <c r="E66">
        <v>0.72834900000000002</v>
      </c>
      <c r="F66" s="78"/>
      <c r="G66" s="75">
        <f>D$19*(L66-R66)</f>
        <v>0</v>
      </c>
      <c r="H66" s="76">
        <f>(C66-H$16)/H$17-0.5</f>
        <v>-0.467741935483871</v>
      </c>
      <c r="I66" s="75">
        <f>(D66-I$16)/I$17-0.5</f>
        <v>-0.467741935483871</v>
      </c>
      <c r="J66" s="75">
        <f>(E66-J$16)/J$17-0.5</f>
        <v>-0.49428108741143228</v>
      </c>
      <c r="K66" s="76">
        <f>(H66*$H$13+I66*$I$13+J66*$J$13+$D$27)*$C$27</f>
        <v>-0.17120543080239869</v>
      </c>
      <c r="L66" s="77">
        <f>(H66*$H$14+I66*$I$14+J66*$J$14+$E$27)*$C$27</f>
        <v>-0.10858629516536228</v>
      </c>
      <c r="M66" s="76">
        <f>(H$27*$H$13+I66*$I$13+J66*$J$13+$D$27)*$C$27</f>
        <v>-0.15507639854433419</v>
      </c>
      <c r="N66" s="77">
        <f>(H$27*$H$14+I66*$I$14+J66*$J$14+$E$27)*$C$27</f>
        <v>-9.4618143491419726E-2</v>
      </c>
      <c r="O66" s="76">
        <f>(H66*$H$13+I$27*$I$13+J66*$J$13+$D$27)*$C$27</f>
        <v>-0.1991417341502838</v>
      </c>
      <c r="P66" s="77">
        <f>(H66*$H$14+I$27*$I$14+J66*$J$14+$E$27)*$C$27</f>
        <v>-0.10052177903633003</v>
      </c>
      <c r="Q66" s="76">
        <f>(H66*$H$13+I66*$I$13+J$27*$J$13+$D$27)*$C$27</f>
        <v>-0.17120543080239869</v>
      </c>
      <c r="R66" s="75">
        <f>(H66*$H$14+I66*$I$14+J$27*$J$14+$E$27)*$C$27</f>
        <v>-0.11353901874908456</v>
      </c>
    </row>
    <row r="67" spans="2:18">
      <c r="B67" s="81"/>
      <c r="C67">
        <v>2</v>
      </c>
      <c r="D67">
        <v>96</v>
      </c>
      <c r="E67">
        <v>0.68101999999999996</v>
      </c>
      <c r="F67" s="78"/>
      <c r="G67" s="75">
        <f>D$19*(L67-R67)</f>
        <v>0</v>
      </c>
      <c r="H67" s="76">
        <f>(C67-H$16)/H$17-0.5</f>
        <v>-0.467741935483871</v>
      </c>
      <c r="I67" s="75">
        <f>(D67-I$16)/I$17-0.5</f>
        <v>-0.43548387096774194</v>
      </c>
      <c r="J67" s="75">
        <f>(E67-J$16)/J$17-0.5</f>
        <v>-0.5</v>
      </c>
      <c r="K67" s="76">
        <f>(H67*$H$13+I67*$I$13+J67*$J$13+$D$27)*$C$27</f>
        <v>-0.14326912745451359</v>
      </c>
      <c r="L67" s="77">
        <f>(H67*$H$14+I67*$I$14+J67*$J$14+$E$27)*$C$27</f>
        <v>-0.12160353487811681</v>
      </c>
      <c r="M67" s="76">
        <f>(H$27*$H$13+I67*$I$13+J67*$J$13+$D$27)*$C$27</f>
        <v>-0.12714009519644909</v>
      </c>
      <c r="N67" s="77">
        <f>(H$27*$H$14+I67*$I$14+J67*$J$14+$E$27)*$C$27</f>
        <v>-0.10763538320417432</v>
      </c>
      <c r="O67" s="76">
        <f>(H67*$H$13+I$27*$I$13+J67*$J$13+$D$27)*$C$27</f>
        <v>-0.1991417341502838</v>
      </c>
      <c r="P67" s="77">
        <f>(H67*$H$14+I$27*$I$14+J67*$J$14+$E$27)*$C$27</f>
        <v>-0.10547450262005231</v>
      </c>
      <c r="Q67" s="76">
        <f>(H67*$H$13+I67*$I$13+J$27*$J$13+$D$27)*$C$27</f>
        <v>-0.14326912745451359</v>
      </c>
      <c r="R67" s="75">
        <f>(H67*$H$14+I67*$I$14+J$27*$J$14+$E$27)*$C$27</f>
        <v>-0.12160353487811681</v>
      </c>
    </row>
    <row r="68" spans="2:18">
      <c r="B68" s="81"/>
      <c r="C68">
        <v>2</v>
      </c>
      <c r="D68">
        <v>128</v>
      </c>
      <c r="E68">
        <v>0.69667900000000005</v>
      </c>
      <c r="F68" s="78"/>
      <c r="G68" s="75">
        <f>D$19*(L68-R68)</f>
        <v>0</v>
      </c>
      <c r="H68" s="76">
        <f>(C68-H$16)/H$17-0.5</f>
        <v>-0.467741935483871</v>
      </c>
      <c r="I68" s="75">
        <f>(D68-I$16)/I$17-0.5</f>
        <v>-0.40322580645161288</v>
      </c>
      <c r="J68" s="75">
        <f>(E68-J$16)/J$17-0.5</f>
        <v>-0.49810787356114894</v>
      </c>
      <c r="K68" s="76">
        <f>(H68*$H$13+I68*$I$13+J68*$J$13+$D$27)*$C$27</f>
        <v>-0.11533282410662843</v>
      </c>
      <c r="L68" s="77">
        <f>(H68*$H$14+I68*$I$14+J68*$J$14+$E$27)*$C$27</f>
        <v>-0.12802942144393192</v>
      </c>
      <c r="M68" s="76">
        <f>(H$27*$H$13+I68*$I$13+J68*$J$13+$D$27)*$C$27</f>
        <v>-9.9203791848563927E-2</v>
      </c>
      <c r="N68" s="77">
        <f>(H$27*$H$14+I68*$I$14+J68*$J$14+$E$27)*$C$27</f>
        <v>-0.11406126976998937</v>
      </c>
      <c r="O68" s="76">
        <f>(H68*$H$13+I$27*$I$13+J68*$J$13+$D$27)*$C$27</f>
        <v>-0.1991417341502838</v>
      </c>
      <c r="P68" s="77">
        <f>(H68*$H$14+I$27*$I$14+J68*$J$14+$E$27)*$C$27</f>
        <v>-0.10383587305683512</v>
      </c>
      <c r="Q68" s="76">
        <f>(H68*$H$13+I68*$I$13+J$27*$J$13+$D$27)*$C$27</f>
        <v>-0.11533282410662843</v>
      </c>
      <c r="R68" s="75">
        <f>(H68*$H$14+I68*$I$14+J$27*$J$14+$E$27)*$C$27</f>
        <v>-0.12966805100714912</v>
      </c>
    </row>
    <row r="69" spans="2:18">
      <c r="B69" s="81"/>
      <c r="C69">
        <v>2</v>
      </c>
      <c r="D69">
        <v>160</v>
      </c>
      <c r="E69">
        <v>0.72997800000000002</v>
      </c>
      <c r="F69" s="78"/>
      <c r="G69" s="75">
        <f>D$19*(L69-R69)</f>
        <v>0</v>
      </c>
      <c r="H69" s="76">
        <f>(C69-H$16)/H$17-0.5</f>
        <v>-0.467741935483871</v>
      </c>
      <c r="I69" s="75">
        <f>(D69-I$16)/I$17-0.5</f>
        <v>-0.37096774193548387</v>
      </c>
      <c r="J69" s="75">
        <f>(E69-J$16)/J$17-0.5</f>
        <v>-0.49408425019520597</v>
      </c>
      <c r="K69" s="76">
        <f>(H69*$H$13+I69*$I$13+J69*$J$13+$D$27)*$C$27</f>
        <v>-8.7396520758743323E-2</v>
      </c>
      <c r="L69" s="77">
        <f>(H69*$H$14+I69*$I$14+J69*$J$14+$E$27)*$C$27</f>
        <v>-0.13260937752279689</v>
      </c>
      <c r="M69" s="76">
        <f>(H$27*$H$13+I69*$I$13+J69*$J$13+$D$27)*$C$27</f>
        <v>-7.1267488500678822E-2</v>
      </c>
      <c r="N69" s="77">
        <f>(H$27*$H$14+I69*$I$14+J69*$J$14+$E$27)*$C$27</f>
        <v>-0.11864122584885434</v>
      </c>
      <c r="O69" s="76">
        <f>(H69*$H$13+I$27*$I$13+J69*$J$13+$D$27)*$C$27</f>
        <v>-0.1991417341502838</v>
      </c>
      <c r="P69" s="77">
        <f>(H69*$H$14+I$27*$I$14+J69*$J$14+$E$27)*$C$27</f>
        <v>-0.10035131300666783</v>
      </c>
      <c r="Q69" s="76">
        <f>(H69*$H$13+I69*$I$13+J$27*$J$13+$D$27)*$C$27</f>
        <v>-8.7396520758743323E-2</v>
      </c>
      <c r="R69" s="75">
        <f>(H69*$H$14+I69*$I$14+J$27*$J$14+$E$27)*$C$27</f>
        <v>-0.13773256713618137</v>
      </c>
    </row>
    <row r="70" spans="2:18">
      <c r="B70" s="81"/>
      <c r="C70">
        <v>2</v>
      </c>
      <c r="D70">
        <v>192</v>
      </c>
      <c r="E70">
        <v>0.772177</v>
      </c>
      <c r="F70" s="78"/>
      <c r="G70" s="75">
        <f>D$19*(L70-R70)</f>
        <v>0</v>
      </c>
      <c r="H70" s="76">
        <f>(C70-H$16)/H$17-0.5</f>
        <v>-0.467741935483871</v>
      </c>
      <c r="I70" s="75">
        <f>(D70-I$16)/I$17-0.5</f>
        <v>-0.33870967741935487</v>
      </c>
      <c r="J70" s="75">
        <f>(E70-J$16)/J$17-0.5</f>
        <v>-0.48898521171298642</v>
      </c>
      <c r="K70" s="76">
        <f>(H70*$H$13+I70*$I$13+J70*$J$13+$D$27)*$C$27</f>
        <v>-5.9460217410858281E-2</v>
      </c>
      <c r="L70" s="77">
        <f>(H70*$H$14+I70*$I$14+J70*$J$14+$E$27)*$C$27</f>
        <v>-0.13625799679135259</v>
      </c>
      <c r="M70" s="76">
        <f>(H$27*$H$13+I70*$I$13+J70*$J$13+$D$27)*$C$27</f>
        <v>-4.3331185152793779E-2</v>
      </c>
      <c r="N70" s="77">
        <f>(H$27*$H$14+I70*$I$14+J70*$J$14+$E$27)*$C$27</f>
        <v>-0.12228984511741003</v>
      </c>
      <c r="O70" s="76">
        <f>(H70*$H$13+I$27*$I$13+J70*$J$13+$D$27)*$C$27</f>
        <v>-0.1991417341502838</v>
      </c>
      <c r="P70" s="77">
        <f>(H70*$H$14+I$27*$I$14+J70*$J$14+$E$27)*$C$27</f>
        <v>-9.5935416146191277E-2</v>
      </c>
      <c r="Q70" s="76">
        <f>(H70*$H$13+I70*$I$13+J$27*$J$13+$D$27)*$C$27</f>
        <v>-5.9460217410858281E-2</v>
      </c>
      <c r="R70" s="75">
        <f>(H70*$H$14+I70*$I$14+J$27*$J$14+$E$27)*$C$27</f>
        <v>-0.14579708326521362</v>
      </c>
    </row>
    <row r="71" spans="2:18">
      <c r="B71" s="81"/>
      <c r="C71">
        <v>2</v>
      </c>
      <c r="D71">
        <v>224</v>
      </c>
      <c r="E71">
        <v>0.83155500000000004</v>
      </c>
      <c r="F71" s="78"/>
      <c r="G71" s="75">
        <f>D$19*(L71-R71)</f>
        <v>0</v>
      </c>
      <c r="H71" s="76">
        <f>(C71-H$16)/H$17-0.5</f>
        <v>-0.467741935483871</v>
      </c>
      <c r="I71" s="75">
        <f>(D71-I$16)/I$17-0.5</f>
        <v>-0.30645161290322581</v>
      </c>
      <c r="J71" s="75">
        <f>(E71-J$16)/J$17-0.5</f>
        <v>-0.48181038039003493</v>
      </c>
      <c r="K71" s="76">
        <f>(H71*$H$13+I71*$I$13+J71*$J$13+$D$27)*$C$27</f>
        <v>-3.152391406297312E-2</v>
      </c>
      <c r="L71" s="77">
        <f>(H71*$H$14+I71*$I$14+J71*$J$14+$E$27)*$C$27</f>
        <v>-0.13810892672684055</v>
      </c>
      <c r="M71" s="76">
        <f>(H$27*$H$13+I71*$I$13+J71*$J$13+$D$27)*$C$27</f>
        <v>-1.5394881804908615E-2</v>
      </c>
      <c r="N71" s="77">
        <f>(H$27*$H$14+I71*$I$14+J71*$J$14+$E$27)*$C$27</f>
        <v>-0.12414077505289806</v>
      </c>
      <c r="O71" s="76">
        <f>(H71*$H$13+I$27*$I$13+J71*$J$13+$D$27)*$C$27</f>
        <v>-0.1991417341502838</v>
      </c>
      <c r="P71" s="77">
        <f>(H71*$H$14+I$27*$I$14+J71*$J$14+$E$27)*$C$27</f>
        <v>-8.9721829952646992E-2</v>
      </c>
      <c r="Q71" s="76">
        <f>(H71*$H$13+I71*$I$13+J$27*$J$13+$D$27)*$C$27</f>
        <v>-3.152391406297312E-2</v>
      </c>
      <c r="R71" s="75">
        <f>(H71*$H$14+I71*$I$14+J$27*$J$14+$E$27)*$C$27</f>
        <v>-0.15386159939424587</v>
      </c>
    </row>
    <row r="72" spans="2:18">
      <c r="B72" s="81"/>
      <c r="C72">
        <v>2</v>
      </c>
      <c r="D72">
        <v>256</v>
      </c>
      <c r="E72">
        <v>0.91936600000000002</v>
      </c>
      <c r="F72" s="78"/>
      <c r="G72" s="75">
        <f>D$19*(L72-R72)</f>
        <v>0</v>
      </c>
      <c r="H72" s="76">
        <f>(C72-H$16)/H$17-0.5</f>
        <v>-0.467741935483871</v>
      </c>
      <c r="I72" s="75">
        <f>(D72-I$16)/I$17-0.5</f>
        <v>-0.27419354838709675</v>
      </c>
      <c r="J72" s="75">
        <f>(E72-J$16)/J$17-0.5</f>
        <v>-0.47119989985347771</v>
      </c>
      <c r="K72" s="76">
        <f>(H72*$H$13+I72*$I$13+J72*$J$13+$D$27)*$C$27</f>
        <v>-3.5876107150879821E-3</v>
      </c>
      <c r="L72" s="77">
        <f>(H72*$H$14+I72*$I$14+J72*$J$14+$E$27)*$C$27</f>
        <v>-0.13698449716485389</v>
      </c>
      <c r="M72" s="76">
        <f>(H$27*$H$13+I72*$I$13+J72*$J$13+$D$27)*$C$27</f>
        <v>1.254142154297652E-2</v>
      </c>
      <c r="N72" s="77">
        <f>(H$27*$H$14+I72*$I$14+J72*$J$14+$E$27)*$C$27</f>
        <v>-0.12301634549091139</v>
      </c>
      <c r="O72" s="76">
        <f>(H72*$H$13+I$27*$I$13+J72*$J$13+$D$27)*$C$27</f>
        <v>-0.1991417341502838</v>
      </c>
      <c r="P72" s="77">
        <f>(H72*$H$14+I$27*$I$14+J72*$J$14+$E$27)*$C$27</f>
        <v>-8.0532884261628079E-2</v>
      </c>
      <c r="Q72" s="76">
        <f>(H72*$H$13+I72*$I$13+J$27*$J$13+$D$27)*$C$27</f>
        <v>-3.5876107150879855E-3</v>
      </c>
      <c r="R72" s="75">
        <f>(H72*$H$14+I72*$I$14+J$27*$J$14+$E$27)*$C$27</f>
        <v>-0.16192611552327812</v>
      </c>
    </row>
    <row r="73" spans="2:18">
      <c r="B73" s="81"/>
      <c r="C73">
        <v>2</v>
      </c>
      <c r="D73">
        <v>288</v>
      </c>
      <c r="E73">
        <v>1.0102070000000001</v>
      </c>
      <c r="F73" s="78"/>
      <c r="G73" s="75">
        <f>D$19*(L73-R73)</f>
        <v>0</v>
      </c>
      <c r="H73" s="76">
        <f>(C73-H$16)/H$17-0.5</f>
        <v>-0.467741935483871</v>
      </c>
      <c r="I73" s="75">
        <f>(D73-I$16)/I$17-0.5</f>
        <v>-0.24193548387096775</v>
      </c>
      <c r="J73" s="75">
        <f>(E73-J$16)/J$17-0.5</f>
        <v>-0.46022329484474994</v>
      </c>
      <c r="K73" s="76">
        <f>(H73*$H$13+I73*$I$13+J73*$J$13+$D$27)*$C$27</f>
        <v>2.4348692632797125E-2</v>
      </c>
      <c r="L73" s="77">
        <f>(H73*$H$14+I73*$I$14+J73*$J$14+$E$27)*$C$27</f>
        <v>-0.13554299450902035</v>
      </c>
      <c r="M73" s="76">
        <f>(H$27*$H$13+I73*$I$13+J73*$J$13+$D$27)*$C$27</f>
        <v>4.0477724890861627E-2</v>
      </c>
      <c r="N73" s="77">
        <f>(H$27*$H$14+I73*$I$14+J73*$J$14+$E$27)*$C$27</f>
        <v>-0.12157484283507786</v>
      </c>
      <c r="O73" s="76">
        <f>(H73*$H$13+I$27*$I$13+J73*$J$13+$D$27)*$C$27</f>
        <v>-0.1991417341502838</v>
      </c>
      <c r="P73" s="77">
        <f>(H73*$H$14+I$27*$I$14+J73*$J$14+$E$27)*$C$27</f>
        <v>-7.1026865476762291E-2</v>
      </c>
      <c r="Q73" s="76">
        <f>(H73*$H$13+I73*$I$13+J$27*$J$13+$D$27)*$C$27</f>
        <v>2.4348692632797118E-2</v>
      </c>
      <c r="R73" s="75">
        <f>(H73*$H$14+I73*$I$14+J$27*$J$14+$E$27)*$C$27</f>
        <v>-0.16999063165231038</v>
      </c>
    </row>
    <row r="74" spans="2:18">
      <c r="B74" s="81"/>
      <c r="C74">
        <v>2</v>
      </c>
      <c r="D74">
        <v>320</v>
      </c>
      <c r="E74">
        <v>1.0782959999999999</v>
      </c>
      <c r="F74" s="78"/>
      <c r="G74" s="75">
        <f>D$19*(L74-R74)</f>
        <v>0</v>
      </c>
      <c r="H74" s="76">
        <f>(C74-H$16)/H$17-0.5</f>
        <v>-0.467741935483871</v>
      </c>
      <c r="I74" s="75">
        <f>(D74-I$16)/I$17-0.5</f>
        <v>-0.20967741935483869</v>
      </c>
      <c r="J74" s="75">
        <f>(E74-J$16)/J$17-0.5</f>
        <v>-0.45199588587259787</v>
      </c>
      <c r="K74" s="76">
        <f>(H74*$H$13+I74*$I$13+J74*$J$13+$D$27)*$C$27</f>
        <v>5.2284995980682258E-2</v>
      </c>
      <c r="L74" s="77">
        <f>(H74*$H$14+I74*$I$14+J74*$J$14+$E$27)*$C$27</f>
        <v>-0.13648236546084491</v>
      </c>
      <c r="M74" s="76">
        <f>(H$27*$H$13+I74*$I$13+J74*$J$13+$D$27)*$C$27</f>
        <v>6.841402823874676E-2</v>
      </c>
      <c r="N74" s="77">
        <f>(H$27*$H$14+I74*$I$14+J74*$J$14+$E$27)*$C$27</f>
        <v>-0.12251421378690242</v>
      </c>
      <c r="O74" s="76">
        <f>(H74*$H$13+I$27*$I$13+J74*$J$13+$D$27)*$C$27</f>
        <v>-0.1991417341502838</v>
      </c>
      <c r="P74" s="77">
        <f>(H74*$H$14+I$27*$I$14+J74*$J$14+$E$27)*$C$27</f>
        <v>-6.3901720299554599E-2</v>
      </c>
      <c r="Q74" s="76">
        <f>(H74*$H$13+I74*$I$13+J$27*$J$13+$D$27)*$C$27</f>
        <v>5.2284995980682251E-2</v>
      </c>
      <c r="R74" s="75">
        <f>(H74*$H$14+I74*$I$14+J$27*$J$14+$E$27)*$C$27</f>
        <v>-0.17805514778134263</v>
      </c>
    </row>
    <row r="75" spans="2:18">
      <c r="B75" s="81"/>
      <c r="C75">
        <v>2</v>
      </c>
      <c r="D75">
        <v>352</v>
      </c>
      <c r="E75">
        <v>1.1705460000000001</v>
      </c>
      <c r="F75" s="78"/>
      <c r="G75" s="75">
        <f>D$19*(L75-R75)</f>
        <v>0</v>
      </c>
      <c r="H75" s="76">
        <f>(C75-H$16)/H$17-0.5</f>
        <v>-0.467741935483871</v>
      </c>
      <c r="I75" s="75">
        <f>(D75-I$16)/I$17-0.5</f>
        <v>-0.17741935483870969</v>
      </c>
      <c r="J75" s="75">
        <f>(E75-J$16)/J$17-0.5</f>
        <v>-0.44084902694265282</v>
      </c>
      <c r="K75" s="76">
        <f>(H75*$H$13+I75*$I$13+J75*$J$13+$D$27)*$C$27</f>
        <v>8.0221299328567364E-2</v>
      </c>
      <c r="L75" s="77">
        <f>(H75*$H$14+I75*$I$14+J75*$J$14+$E$27)*$C$27</f>
        <v>-0.13489341858414336</v>
      </c>
      <c r="M75" s="76">
        <f>(H$27*$H$13+I75*$I$13+J75*$J$13+$D$27)*$C$27</f>
        <v>9.6350331586631865E-2</v>
      </c>
      <c r="N75" s="77">
        <f>(H$27*$H$14+I75*$I$14+J75*$J$14+$E$27)*$C$27</f>
        <v>-0.12092526691020083</v>
      </c>
      <c r="O75" s="76">
        <f>(H75*$H$13+I$27*$I$13+J75*$J$13+$D$27)*$C$27</f>
        <v>-0.1991417341502838</v>
      </c>
      <c r="P75" s="77">
        <f>(H75*$H$14+I$27*$I$14+J75*$J$14+$E$27)*$C$27</f>
        <v>-5.4248257293820767E-2</v>
      </c>
      <c r="Q75" s="76">
        <f>(H75*$H$13+I75*$I$13+J$27*$J$13+$D$27)*$C$27</f>
        <v>8.0221299328567364E-2</v>
      </c>
      <c r="R75" s="75">
        <f>(H75*$H$14+I75*$I$14+J$27*$J$14+$E$27)*$C$27</f>
        <v>-0.18611966391037491</v>
      </c>
    </row>
    <row r="76" spans="2:18">
      <c r="B76" s="81"/>
      <c r="C76">
        <v>2</v>
      </c>
      <c r="D76">
        <v>384</v>
      </c>
      <c r="E76">
        <v>1.2722830000000001</v>
      </c>
      <c r="F76" s="78"/>
      <c r="G76" s="75">
        <f>D$19*(L76-R76)</f>
        <v>0</v>
      </c>
      <c r="H76" s="76">
        <f>(C76-H$16)/H$17-0.5</f>
        <v>-0.467741935483871</v>
      </c>
      <c r="I76" s="75">
        <f>(D76-I$16)/I$17-0.5</f>
        <v>-0.14516129032258063</v>
      </c>
      <c r="J76" s="75">
        <f>(E76-J$16)/J$17-0.5</f>
        <v>-0.42855582383202062</v>
      </c>
      <c r="K76" s="76">
        <f>(H76*$H$13+I76*$I$13+J76*$J$13+$D$27)*$C$27</f>
        <v>0.1081576026764525</v>
      </c>
      <c r="L76" s="77">
        <f>(H76*$H$14+I76*$I$14+J76*$J$14+$E$27)*$C$27</f>
        <v>-0.13231170852548629</v>
      </c>
      <c r="M76" s="76">
        <f>(H$27*$H$13+I76*$I$13+J76*$J$13+$D$27)*$C$27</f>
        <v>0.124286634934517</v>
      </c>
      <c r="N76" s="77">
        <f>(H$27*$H$14+I76*$I$14+J76*$J$14+$E$27)*$C$27</f>
        <v>-0.11834355685154374</v>
      </c>
      <c r="O76" s="76">
        <f>(H76*$H$13+I$27*$I$13+J76*$J$13+$D$27)*$C$27</f>
        <v>-0.1991417341502838</v>
      </c>
      <c r="P76" s="77">
        <f>(H76*$H$14+I$27*$I$14+J76*$J$14+$E$27)*$C$27</f>
        <v>-4.3602031106131423E-2</v>
      </c>
      <c r="Q76" s="76">
        <f>(H76*$H$13+I76*$I$13+J$27*$J$13+$D$27)*$C$27</f>
        <v>0.1081576026764525</v>
      </c>
      <c r="R76" s="75">
        <f>(H76*$H$14+I76*$I$14+J$27*$J$14+$E$27)*$C$27</f>
        <v>-0.19418418003940718</v>
      </c>
    </row>
    <row r="77" spans="2:18">
      <c r="B77" s="81"/>
      <c r="C77">
        <v>2</v>
      </c>
      <c r="D77">
        <v>416</v>
      </c>
      <c r="E77">
        <v>1.35904</v>
      </c>
      <c r="F77" s="78"/>
      <c r="G77" s="75">
        <f>D$19*(L77-R77)</f>
        <v>0</v>
      </c>
      <c r="H77" s="76">
        <f>(C77-H$16)/H$17-0.5</f>
        <v>-0.467741935483871</v>
      </c>
      <c r="I77" s="75">
        <f>(D77-I$16)/I$17-0.5</f>
        <v>-0.11290322580645162</v>
      </c>
      <c r="J77" s="75">
        <f>(E77-J$16)/J$17-0.5</f>
        <v>-0.41807270144518871</v>
      </c>
      <c r="K77" s="76">
        <f>(H77*$H$13+I77*$I$13+J77*$J$13+$D$27)*$C$27</f>
        <v>0.13609390602433757</v>
      </c>
      <c r="L77" s="77">
        <f>(H77*$H$14+I77*$I$14+J77*$J$14+$E$27)*$C$27</f>
        <v>-0.13129757435654071</v>
      </c>
      <c r="M77" s="76">
        <f>(H$27*$H$13+I77*$I$13+J77*$J$13+$D$27)*$C$27</f>
        <v>0.15222293828240208</v>
      </c>
      <c r="N77" s="77">
        <f>(H$27*$H$14+I77*$I$14+J77*$J$14+$E$27)*$C$27</f>
        <v>-0.11732942268259819</v>
      </c>
      <c r="O77" s="76">
        <f>(H77*$H$13+I$27*$I$13+J77*$J$13+$D$27)*$C$27</f>
        <v>-0.1991417341502838</v>
      </c>
      <c r="P77" s="77">
        <f>(H77*$H$14+I$27*$I$14+J77*$J$14+$E$27)*$C$27</f>
        <v>-3.4523380808153592E-2</v>
      </c>
      <c r="Q77" s="76">
        <f>(H77*$H$13+I77*$I$13+J$27*$J$13+$D$27)*$C$27</f>
        <v>0.13609390602433757</v>
      </c>
      <c r="R77" s="75">
        <f>(H77*$H$14+I77*$I$14+J$27*$J$14+$E$27)*$C$27</f>
        <v>-0.20224869616843943</v>
      </c>
    </row>
    <row r="78" spans="2:18">
      <c r="B78" s="81"/>
      <c r="C78">
        <v>2</v>
      </c>
      <c r="D78">
        <v>448</v>
      </c>
      <c r="E78">
        <v>1.430693</v>
      </c>
      <c r="F78" s="78"/>
      <c r="G78" s="75">
        <f>D$19*(L78-R78)</f>
        <v>0</v>
      </c>
      <c r="H78" s="76">
        <f>(C78-H$16)/H$17-0.5</f>
        <v>-0.467741935483871</v>
      </c>
      <c r="I78" s="75">
        <f>(D78-I$16)/I$17-0.5</f>
        <v>-8.0645161290322565E-2</v>
      </c>
      <c r="J78" s="75">
        <f>(E78-J$16)/J$17-0.5</f>
        <v>-0.40941464309388953</v>
      </c>
      <c r="K78" s="76">
        <f>(H78*$H$13+I78*$I$13+J78*$J$13+$D$27)*$C$27</f>
        <v>0.16403020937222274</v>
      </c>
      <c r="L78" s="77">
        <f>(H78*$H$14+I78*$I$14+J78*$J$14+$E$27)*$C$27</f>
        <v>-0.13186399200589988</v>
      </c>
      <c r="M78" s="76">
        <f>(H$27*$H$13+I78*$I$13+J78*$J$13+$D$27)*$C$27</f>
        <v>0.18015924163028724</v>
      </c>
      <c r="N78" s="77">
        <f>(H$27*$H$14+I78*$I$14+J78*$J$14+$E$27)*$C$27</f>
        <v>-0.11789584033195735</v>
      </c>
      <c r="O78" s="76">
        <f>(H78*$H$13+I$27*$I$13+J78*$J$13+$D$27)*$C$27</f>
        <v>-0.1991417341502838</v>
      </c>
      <c r="P78" s="77">
        <f>(H78*$H$14+I$27*$I$14+J78*$J$14+$E$27)*$C$27</f>
        <v>-2.7025282328480504E-2</v>
      </c>
      <c r="Q78" s="76">
        <f>(H78*$H$13+I78*$I$13+J$27*$J$13+$D$27)*$C$27</f>
        <v>0.16403020937222274</v>
      </c>
      <c r="R78" s="75">
        <f>(H78*$H$14+I78*$I$14+J$27*$J$14+$E$27)*$C$27</f>
        <v>-0.21031321229747169</v>
      </c>
    </row>
    <row r="79" spans="2:18">
      <c r="B79" s="81"/>
      <c r="C79">
        <v>2</v>
      </c>
      <c r="D79">
        <v>480</v>
      </c>
      <c r="E79">
        <v>1.5680499999999999</v>
      </c>
      <c r="F79" s="78"/>
      <c r="G79" s="75">
        <f>D$19*(L79-R79)</f>
        <v>0</v>
      </c>
      <c r="H79" s="76">
        <f>(C79-H$16)/H$17-0.5</f>
        <v>-0.467741935483871</v>
      </c>
      <c r="I79" s="75">
        <f>(D79-I$16)/I$17-0.5</f>
        <v>-4.8387096774193561E-2</v>
      </c>
      <c r="J79" s="75">
        <f>(E79-J$16)/J$17-0.5</f>
        <v>-0.39281736285496854</v>
      </c>
      <c r="K79" s="76">
        <f>(H79*$H$13+I79*$I$13+J79*$J$13+$D$27)*$C$27</f>
        <v>0.19196651272010781</v>
      </c>
      <c r="L79" s="77">
        <f>(H79*$H$14+I79*$I$14+J79*$J$14+$E$27)*$C$27</f>
        <v>-0.1255548418142971</v>
      </c>
      <c r="M79" s="76">
        <f>(H$27*$H$13+I79*$I$13+J79*$J$13+$D$27)*$C$27</f>
        <v>0.20809554497817231</v>
      </c>
      <c r="N79" s="77">
        <f>(H$27*$H$14+I79*$I$14+J79*$J$14+$E$27)*$C$27</f>
        <v>-0.11158669014035458</v>
      </c>
      <c r="O79" s="76">
        <f>(H79*$H$13+I$27*$I$13+J79*$J$13+$D$27)*$C$27</f>
        <v>-0.1991417341502838</v>
      </c>
      <c r="P79" s="77">
        <f>(H79*$H$14+I$27*$I$14+J79*$J$14+$E$27)*$C$27</f>
        <v>-1.2651616007845479E-2</v>
      </c>
      <c r="Q79" s="76">
        <f>(H79*$H$13+I79*$I$13+J$27*$J$13+$D$27)*$C$27</f>
        <v>0.19196651272010781</v>
      </c>
      <c r="R79" s="75">
        <f>(H79*$H$14+I79*$I$14+J$27*$J$14+$E$27)*$C$27</f>
        <v>-0.21837772842650394</v>
      </c>
    </row>
    <row r="80" spans="2:18">
      <c r="B80" s="81"/>
      <c r="C80">
        <v>2</v>
      </c>
      <c r="D80">
        <v>512</v>
      </c>
      <c r="E80">
        <v>1.628077</v>
      </c>
      <c r="F80" s="78"/>
      <c r="G80" s="75">
        <f>D$19*(L80-R80)</f>
        <v>0</v>
      </c>
      <c r="H80" s="76">
        <f>(C80-H$16)/H$17-0.5</f>
        <v>-0.467741935483871</v>
      </c>
      <c r="I80" s="75">
        <f>(D80-I$16)/I$17-0.5</f>
        <v>-1.6129032258064502E-2</v>
      </c>
      <c r="J80" s="75">
        <f>(E80-J$16)/J$17-0.5</f>
        <v>-0.38556411081174025</v>
      </c>
      <c r="K80" s="76">
        <f>(H80*$H$13+I80*$I$13+J80*$J$13+$D$27)*$C$27</f>
        <v>0.21990281606799295</v>
      </c>
      <c r="L80" s="77">
        <f>(H80*$H$14+I80*$I$14+J80*$J$14+$E$27)*$C$27</f>
        <v>-0.12733785741384226</v>
      </c>
      <c r="M80" s="76">
        <f>(H$27*$H$13+I80*$I$13+J80*$J$13+$D$27)*$C$27</f>
        <v>0.23603184832605745</v>
      </c>
      <c r="N80" s="77">
        <f>(H$27*$H$14+I80*$I$14+J80*$J$14+$E$27)*$C$27</f>
        <v>-0.11336970573989974</v>
      </c>
      <c r="O80" s="76">
        <f>(H80*$H$13+I$27*$I$13+J80*$J$13+$D$27)*$C$27</f>
        <v>-0.1991417341502838</v>
      </c>
      <c r="P80" s="77">
        <f>(H80*$H$14+I$27*$I$14+J80*$J$14+$E$27)*$C$27</f>
        <v>-6.3701154783583624E-3</v>
      </c>
      <c r="Q80" s="76">
        <f>(H80*$H$13+I80*$I$13+J$27*$J$13+$D$27)*$C$27</f>
        <v>0.21990281606799295</v>
      </c>
      <c r="R80" s="75">
        <f>(H80*$H$14+I80*$I$14+J$27*$J$14+$E$27)*$C$27</f>
        <v>-0.22644224455553622</v>
      </c>
    </row>
    <row r="81" spans="2:18">
      <c r="B81" s="81"/>
      <c r="C81">
        <v>2</v>
      </c>
      <c r="D81">
        <v>544</v>
      </c>
      <c r="E81">
        <v>1.6482460000000001</v>
      </c>
      <c r="F81" s="78"/>
      <c r="G81" s="75">
        <f>D$19*(L81-R81)</f>
        <v>0</v>
      </c>
      <c r="H81" s="76">
        <f>(C81-H$16)/H$17-0.5</f>
        <v>-0.467741935483871</v>
      </c>
      <c r="I81" s="75">
        <f>(D81-I$16)/I$17-0.5</f>
        <v>1.6129032258064502E-2</v>
      </c>
      <c r="J81" s="75">
        <f>(E81-J$16)/J$17-0.5</f>
        <v>-0.38312702682520294</v>
      </c>
      <c r="K81" s="76">
        <f>(H81*$H$13+I81*$I$13+J81*$J$13+$D$27)*$C$27</f>
        <v>0.24783911941587805</v>
      </c>
      <c r="L81" s="77">
        <f>(H81*$H$14+I81*$I$14+J81*$J$14+$E$27)*$C$27</f>
        <v>-0.13329179689937695</v>
      </c>
      <c r="M81" s="76">
        <f>(H$27*$H$13+I81*$I$13+J81*$J$13+$D$27)*$C$27</f>
        <v>0.26396815167394255</v>
      </c>
      <c r="N81" s="77">
        <f>(H$27*$H$14+I81*$I$14+J81*$J$14+$E$27)*$C$27</f>
        <v>-0.11932364522543443</v>
      </c>
      <c r="O81" s="76">
        <f>(H81*$H$13+I$27*$I$13+J81*$J$13+$D$27)*$C$27</f>
        <v>-0.1991417341502838</v>
      </c>
      <c r="P81" s="77">
        <f>(H81*$H$14+I$27*$I$14+J81*$J$14+$E$27)*$C$27</f>
        <v>-4.2595388348607988E-3</v>
      </c>
      <c r="Q81" s="76">
        <f>(H81*$H$13+I81*$I$13+J$27*$J$13+$D$27)*$C$27</f>
        <v>0.24783911941587805</v>
      </c>
      <c r="R81" s="75">
        <f>(H81*$H$14+I81*$I$14+J$27*$J$14+$E$27)*$C$27</f>
        <v>-0.23450676068456847</v>
      </c>
    </row>
    <row r="82" spans="2:18">
      <c r="B82" s="81"/>
      <c r="C82">
        <v>2</v>
      </c>
      <c r="D82">
        <v>576</v>
      </c>
      <c r="E82">
        <v>1.665116</v>
      </c>
      <c r="F82" s="78"/>
      <c r="G82" s="75">
        <f>D$19*(L82-R82)</f>
        <v>0</v>
      </c>
      <c r="H82" s="76">
        <f>(C82-H$16)/H$17-0.5</f>
        <v>-0.467741935483871</v>
      </c>
      <c r="I82" s="75">
        <f>(D82-I$16)/I$17-0.5</f>
        <v>4.8387096774193505E-2</v>
      </c>
      <c r="J82" s="75">
        <f>(E82-J$16)/J$17-0.5</f>
        <v>-0.38108857143064284</v>
      </c>
      <c r="K82" s="76">
        <f>(H82*$H$13+I82*$I$13+J82*$J$13+$D$27)*$C$27</f>
        <v>0.27577542276376316</v>
      </c>
      <c r="L82" s="77">
        <f>(H82*$H$14+I82*$I$14+J82*$J$14+$E$27)*$C$27</f>
        <v>-0.13959095887223874</v>
      </c>
      <c r="M82" s="76">
        <f>(H$27*$H$13+I82*$I$13+J82*$J$13+$D$27)*$C$27</f>
        <v>0.29190445502182766</v>
      </c>
      <c r="N82" s="77">
        <f>(H$27*$H$14+I82*$I$14+J82*$J$14+$E$27)*$C$27</f>
        <v>-0.12562280719829622</v>
      </c>
      <c r="O82" s="76">
        <f>(H82*$H$13+I$27*$I$13+J82*$J$13+$D$27)*$C$27</f>
        <v>-0.1991417341502838</v>
      </c>
      <c r="P82" s="77">
        <f>(H82*$H$14+I$27*$I$14+J82*$J$14+$E$27)*$C$27</f>
        <v>-2.4941846786903366E-3</v>
      </c>
      <c r="Q82" s="76">
        <f>(H82*$H$13+I82*$I$13+J$27*$J$13+$D$27)*$C$27</f>
        <v>0.27577542276376316</v>
      </c>
      <c r="R82" s="75">
        <f>(H82*$H$14+I82*$I$14+J$27*$J$14+$E$27)*$C$27</f>
        <v>-0.24257127681360072</v>
      </c>
    </row>
    <row r="83" spans="2:18">
      <c r="B83" s="81"/>
      <c r="C83">
        <v>2</v>
      </c>
      <c r="D83">
        <v>608</v>
      </c>
      <c r="E83">
        <v>1.6788650000000001</v>
      </c>
      <c r="F83" s="78"/>
      <c r="G83" s="75">
        <f>D$19*(L83-R83)</f>
        <v>0</v>
      </c>
      <c r="H83" s="76">
        <f>(C83-H$16)/H$17-0.5</f>
        <v>-0.467741935483871</v>
      </c>
      <c r="I83" s="75">
        <f>(D83-I$16)/I$17-0.5</f>
        <v>8.064516129032262E-2</v>
      </c>
      <c r="J83" s="75">
        <f>(E83-J$16)/J$17-0.5</f>
        <v>-0.37942723632573427</v>
      </c>
      <c r="K83" s="76">
        <f>(H83*$H$13+I83*$I$13+J83*$J$13+$D$27)*$C$27</f>
        <v>0.30371172611164832</v>
      </c>
      <c r="L83" s="77">
        <f>(H83*$H$14+I83*$I$14+J83*$J$14+$E$27)*$C$27</f>
        <v>-0.14621671659622132</v>
      </c>
      <c r="M83" s="76">
        <f>(H$27*$H$13+I83*$I$13+J83*$J$13+$D$27)*$C$27</f>
        <v>0.31984075836971282</v>
      </c>
      <c r="N83" s="77">
        <f>(H$27*$H$14+I83*$I$14+J83*$J$14+$E$27)*$C$27</f>
        <v>-0.13224856492227879</v>
      </c>
      <c r="O83" s="76">
        <f>(H83*$H$13+I$27*$I$13+J83*$J$13+$D$27)*$C$27</f>
        <v>-0.1991417341502838</v>
      </c>
      <c r="P83" s="77">
        <f>(H83*$H$14+I$27*$I$14+J83*$J$14+$E$27)*$C$27</f>
        <v>-1.0554262736406361E-3</v>
      </c>
      <c r="Q83" s="76">
        <f>(H83*$H$13+I83*$I$13+J$27*$J$13+$D$27)*$C$27</f>
        <v>0.30371172611164832</v>
      </c>
      <c r="R83" s="75">
        <f>(H83*$H$14+I83*$I$14+J$27*$J$14+$E$27)*$C$27</f>
        <v>-0.250635792942633</v>
      </c>
    </row>
    <row r="84" spans="2:18">
      <c r="B84" s="81"/>
      <c r="C84">
        <v>2</v>
      </c>
      <c r="D84">
        <v>640</v>
      </c>
      <c r="E84">
        <v>1.697155</v>
      </c>
      <c r="F84" s="78"/>
      <c r="G84" s="75">
        <f>D$19*(L84-R84)</f>
        <v>0</v>
      </c>
      <c r="H84" s="76">
        <f>(C84-H$16)/H$17-0.5</f>
        <v>-0.467741935483871</v>
      </c>
      <c r="I84" s="75">
        <f>(D84-I$16)/I$17-0.5</f>
        <v>0.11290322580645162</v>
      </c>
      <c r="J84" s="75">
        <f>(E84-J$16)/J$17-0.5</f>
        <v>-0.37721719784520646</v>
      </c>
      <c r="K84" s="76">
        <f>(H84*$H$13+I84*$I$13+J84*$J$13+$D$27)*$C$27</f>
        <v>0.33164802945953342</v>
      </c>
      <c r="L84" s="77">
        <f>(H84*$H$14+I84*$I$14+J84*$J$14+$E$27)*$C$27</f>
        <v>-0.15236728325777532</v>
      </c>
      <c r="M84" s="76">
        <f>(H$27*$H$13+I84*$I$13+J84*$J$13+$D$27)*$C$27</f>
        <v>0.34777706171759792</v>
      </c>
      <c r="N84" s="77">
        <f>(H$27*$H$14+I84*$I$14+J84*$J$14+$E$27)*$C$27</f>
        <v>-0.1383991315838328</v>
      </c>
      <c r="O84" s="76">
        <f>(H84*$H$13+I$27*$I$13+J84*$J$13+$D$27)*$C$27</f>
        <v>-0.1991417341502838</v>
      </c>
      <c r="P84" s="77">
        <f>(H84*$H$14+I$27*$I$14+J84*$J$14+$E$27)*$C$27</f>
        <v>8.5852319383761255E-4</v>
      </c>
      <c r="Q84" s="76">
        <f>(H84*$H$13+I84*$I$13+J$27*$J$13+$D$27)*$C$27</f>
        <v>0.33164802945953342</v>
      </c>
      <c r="R84" s="75">
        <f>(H84*$H$14+I84*$I$14+J$27*$J$14+$E$27)*$C$27</f>
        <v>-0.25870030907166525</v>
      </c>
    </row>
    <row r="85" spans="2:18">
      <c r="B85" s="81"/>
      <c r="C85">
        <v>2</v>
      </c>
      <c r="D85">
        <v>672</v>
      </c>
      <c r="E85">
        <v>1.707689</v>
      </c>
      <c r="F85" s="78"/>
      <c r="G85" s="75">
        <f>D$19*(L85-R85)</f>
        <v>0</v>
      </c>
      <c r="H85" s="76">
        <f>(C85-H$16)/H$17-0.5</f>
        <v>-0.467741935483871</v>
      </c>
      <c r="I85" s="75">
        <f>(D85-I$16)/I$17-0.5</f>
        <v>0.14516129032258063</v>
      </c>
      <c r="J85" s="75">
        <f>(E85-J$16)/J$17-0.5</f>
        <v>-0.37594434134690791</v>
      </c>
      <c r="K85" s="76">
        <f>(H85*$H$13+I85*$I$13+J85*$J$13+$D$27)*$C$27</f>
        <v>0.35958433280741847</v>
      </c>
      <c r="L85" s="77">
        <f>(H85*$H$14+I85*$I$14+J85*$J$14+$E$27)*$C$27</f>
        <v>-0.1593294733239089</v>
      </c>
      <c r="M85" s="76">
        <f>(H$27*$H$13+I85*$I$13+J85*$J$13+$D$27)*$C$27</f>
        <v>0.37571336506548297</v>
      </c>
      <c r="N85" s="77">
        <f>(H$27*$H$14+I85*$I$14+J85*$J$14+$E$27)*$C$27</f>
        <v>-0.14536132164996637</v>
      </c>
      <c r="O85" s="76">
        <f>(H85*$H$13+I$27*$I$13+J85*$J$13+$D$27)*$C$27</f>
        <v>-0.1991417341502838</v>
      </c>
      <c r="P85" s="77">
        <f>(H85*$H$14+I$27*$I$14+J85*$J$14+$E$27)*$C$27</f>
        <v>1.9608492567362856E-3</v>
      </c>
      <c r="Q85" s="76">
        <f>(H85*$H$13+I85*$I$13+J$27*$J$13+$D$27)*$C$27</f>
        <v>0.35958433280741847</v>
      </c>
      <c r="R85" s="75">
        <f>(H85*$H$14+I85*$I$14+J$27*$J$14+$E$27)*$C$27</f>
        <v>-0.2667648252006975</v>
      </c>
    </row>
    <row r="86" spans="2:18">
      <c r="B86" s="81"/>
      <c r="C86">
        <v>2</v>
      </c>
      <c r="D86">
        <v>704</v>
      </c>
      <c r="E86">
        <v>1.727112</v>
      </c>
      <c r="F86" s="78"/>
      <c r="G86" s="75">
        <f>D$19*(L86-R86)</f>
        <v>0</v>
      </c>
      <c r="H86" s="76">
        <f>(C86-H$16)/H$17-0.5</f>
        <v>-0.467741935483871</v>
      </c>
      <c r="I86" s="75">
        <f>(D86-I$16)/I$17-0.5</f>
        <v>0.17741935483870963</v>
      </c>
      <c r="J86" s="75">
        <f>(E86-J$16)/J$17-0.5</f>
        <v>-0.37359739889708327</v>
      </c>
      <c r="K86" s="76">
        <f>(H86*$H$13+I86*$I$13+J86*$J$13+$D$27)*$C$27</f>
        <v>0.38752063615530358</v>
      </c>
      <c r="L86" s="77">
        <f>(H86*$H$14+I86*$I$14+J86*$J$14+$E$27)*$C$27</f>
        <v>-0.16536147767017295</v>
      </c>
      <c r="M86" s="76">
        <f>(H$27*$H$13+I86*$I$13+J86*$J$13+$D$27)*$C$27</f>
        <v>0.40364966841336808</v>
      </c>
      <c r="N86" s="77">
        <f>(H$27*$H$14+I86*$I$14+J86*$J$14+$E$27)*$C$27</f>
        <v>-0.15139332599623043</v>
      </c>
      <c r="O86" s="76">
        <f>(H86*$H$13+I$27*$I$13+J86*$J$13+$D$27)*$C$27</f>
        <v>-0.1991417341502838</v>
      </c>
      <c r="P86" s="77">
        <f>(H86*$H$14+I$27*$I$14+J86*$J$14+$E$27)*$C$27</f>
        <v>3.9933610395044838E-3</v>
      </c>
      <c r="Q86" s="76">
        <f>(H86*$H$13+I86*$I$13+J$27*$J$13+$D$27)*$C$27</f>
        <v>0.38752063615530358</v>
      </c>
      <c r="R86" s="75">
        <f>(H86*$H$14+I86*$I$14+J$27*$J$14+$E$27)*$C$27</f>
        <v>-0.27482934132972975</v>
      </c>
    </row>
    <row r="87" spans="2:18">
      <c r="B87" s="81"/>
      <c r="C87">
        <v>2</v>
      </c>
      <c r="D87">
        <v>736</v>
      </c>
      <c r="E87">
        <v>1.7451030000000001</v>
      </c>
      <c r="F87" s="78"/>
      <c r="G87" s="75">
        <f>D$19*(L87-R87)</f>
        <v>0</v>
      </c>
      <c r="H87" s="76">
        <f>(C87-H$16)/H$17-0.5</f>
        <v>-0.467741935483871</v>
      </c>
      <c r="I87" s="75">
        <f>(D87-I$16)/I$17-0.5</f>
        <v>0.20967741935483875</v>
      </c>
      <c r="J87" s="75">
        <f>(E87-J$16)/J$17-0.5</f>
        <v>-0.37142348953113591</v>
      </c>
      <c r="K87" s="76">
        <f>(H87*$H$13+I87*$I$13+J87*$J$13+$D$27)*$C$27</f>
        <v>0.41545693950318879</v>
      </c>
      <c r="L87" s="77">
        <f>(H87*$H$14+I87*$I$14+J87*$J$14+$E$27)*$C$27</f>
        <v>-0.17154333306276992</v>
      </c>
      <c r="M87" s="76">
        <f>(H$27*$H$13+I87*$I$13+J87*$J$13+$D$27)*$C$27</f>
        <v>0.4315859717612533</v>
      </c>
      <c r="N87" s="77">
        <f>(H$27*$H$14+I87*$I$14+J87*$J$14+$E$27)*$C$27</f>
        <v>-0.15757518138882737</v>
      </c>
      <c r="O87" s="76">
        <f>(H87*$H$13+I$27*$I$13+J87*$J$13+$D$27)*$C$27</f>
        <v>-0.1991417341502838</v>
      </c>
      <c r="P87" s="77">
        <f>(H87*$H$14+I$27*$I$14+J87*$J$14+$E$27)*$C$27</f>
        <v>5.8760217759398214E-3</v>
      </c>
      <c r="Q87" s="76">
        <f>(H87*$H$13+I87*$I$13+J$27*$J$13+$D$27)*$C$27</f>
        <v>0.41545693950318879</v>
      </c>
      <c r="R87" s="75">
        <f>(H87*$H$14+I87*$I$14+J$27*$J$14+$E$27)*$C$27</f>
        <v>-0.28289385745876205</v>
      </c>
    </row>
    <row r="88" spans="2:18">
      <c r="B88" s="81"/>
      <c r="C88">
        <v>2</v>
      </c>
      <c r="D88">
        <v>768</v>
      </c>
      <c r="E88">
        <v>1.765943</v>
      </c>
      <c r="F88" s="78"/>
      <c r="G88" s="75">
        <f>D$19*(L88-R88)</f>
        <v>0</v>
      </c>
      <c r="H88" s="76">
        <f>(C88-H$16)/H$17-0.5</f>
        <v>-0.467741935483871</v>
      </c>
      <c r="I88" s="75">
        <f>(D88-I$16)/I$17-0.5</f>
        <v>0.24193548387096775</v>
      </c>
      <c r="J88" s="75">
        <f>(E88-J$16)/J$17-0.5</f>
        <v>-0.368905326494821</v>
      </c>
      <c r="K88" s="76">
        <f>(H88*$H$13+I88*$I$13+J88*$J$13+$D$27)*$C$27</f>
        <v>0.4433932428510739</v>
      </c>
      <c r="L88" s="77">
        <f>(H88*$H$14+I88*$I$14+J88*$J$14+$E$27)*$C$27</f>
        <v>-0.17742705603148251</v>
      </c>
      <c r="M88" s="76">
        <f>(H$27*$H$13+I88*$I$13+J88*$J$13+$D$27)*$C$27</f>
        <v>0.4595222751091384</v>
      </c>
      <c r="N88" s="77">
        <f>(H$27*$H$14+I88*$I$14+J88*$J$14+$E$27)*$C$27</f>
        <v>-0.16345890435753996</v>
      </c>
      <c r="O88" s="76">
        <f>(H88*$H$13+I$27*$I$13+J88*$J$13+$D$27)*$C$27</f>
        <v>-0.1991417341502838</v>
      </c>
      <c r="P88" s="77">
        <f>(H88*$H$14+I$27*$I$14+J88*$J$14+$E$27)*$C$27</f>
        <v>8.0568149362594821E-3</v>
      </c>
      <c r="Q88" s="76">
        <f>(H88*$H$13+I88*$I$13+J$27*$J$13+$D$27)*$C$27</f>
        <v>0.4433932428510739</v>
      </c>
      <c r="R88" s="75">
        <f>(H88*$H$14+I88*$I$14+J$27*$J$14+$E$27)*$C$27</f>
        <v>-0.29095837358779431</v>
      </c>
    </row>
    <row r="89" spans="2:18">
      <c r="B89" s="81"/>
      <c r="C89">
        <v>2</v>
      </c>
      <c r="D89">
        <v>800</v>
      </c>
      <c r="E89">
        <v>1.7876099999999999</v>
      </c>
      <c r="F89" s="78"/>
      <c r="G89" s="75">
        <f>D$19*(L89-R89)</f>
        <v>0</v>
      </c>
      <c r="H89" s="76">
        <f>(C89-H$16)/H$17-0.5</f>
        <v>-0.467741935483871</v>
      </c>
      <c r="I89" s="75">
        <f>(D89-I$16)/I$17-0.5</f>
        <v>0.27419354838709675</v>
      </c>
      <c r="J89" s="75">
        <f>(E89-J$16)/J$17-0.5</f>
        <v>-0.36628723443590372</v>
      </c>
      <c r="K89" s="76">
        <f>(H89*$H$13+I89*$I$13+J89*$J$13+$D$27)*$C$27</f>
        <v>0.471329546198959</v>
      </c>
      <c r="L89" s="77">
        <f>(H89*$H$14+I89*$I$14+J89*$J$14+$E$27)*$C$27</f>
        <v>-0.1832242379280461</v>
      </c>
      <c r="M89" s="76">
        <f>(H$27*$H$13+I89*$I$13+J89*$J$13+$D$27)*$C$27</f>
        <v>0.48745857845702351</v>
      </c>
      <c r="N89" s="77">
        <f>(H$27*$H$14+I89*$I$14+J89*$J$14+$E$27)*$C$27</f>
        <v>-0.16925608625410354</v>
      </c>
      <c r="O89" s="76">
        <f>(H89*$H$13+I$27*$I$13+J89*$J$13+$D$27)*$C$27</f>
        <v>-0.1991417341502838</v>
      </c>
      <c r="P89" s="77">
        <f>(H89*$H$14+I$27*$I$14+J89*$J$14+$E$27)*$C$27</f>
        <v>1.0324149168728147E-2</v>
      </c>
      <c r="Q89" s="76">
        <f>(H89*$H$13+I89*$I$13+J$27*$J$13+$D$27)*$C$27</f>
        <v>0.471329546198959</v>
      </c>
      <c r="R89" s="75">
        <f>(H89*$H$14+I89*$I$14+J$27*$J$14+$E$27)*$C$27</f>
        <v>-0.29902288971682656</v>
      </c>
    </row>
    <row r="90" spans="2:18">
      <c r="B90" s="81"/>
      <c r="C90">
        <v>2</v>
      </c>
      <c r="D90">
        <v>832</v>
      </c>
      <c r="E90">
        <v>1.807285</v>
      </c>
      <c r="F90" s="78"/>
      <c r="G90" s="75">
        <f>D$19*(L90-R90)</f>
        <v>0</v>
      </c>
      <c r="H90" s="76">
        <f>(C90-H$16)/H$17-0.5</f>
        <v>-0.467741935483871</v>
      </c>
      <c r="I90" s="75">
        <f>(D90-I$16)/I$17-0.5</f>
        <v>0.30645161290322576</v>
      </c>
      <c r="J90" s="75">
        <f>(E90-J$16)/J$17-0.5</f>
        <v>-0.36390984202997773</v>
      </c>
      <c r="K90" s="76">
        <f>(H90*$H$13+I90*$I$13+J90*$J$13+$D$27)*$C$27</f>
        <v>0.49926584954684405</v>
      </c>
      <c r="L90" s="77">
        <f>(H90*$H$14+I90*$I$14+J90*$J$14+$E$27)*$C$27</f>
        <v>-0.1892298718387822</v>
      </c>
      <c r="M90" s="76">
        <f>(H$27*$H$13+I90*$I$13+J90*$J$13+$D$27)*$C$27</f>
        <v>0.51539488180490856</v>
      </c>
      <c r="N90" s="77">
        <f>(H$27*$H$14+I90*$I$14+J90*$J$14+$E$27)*$C$27</f>
        <v>-0.17526172016483965</v>
      </c>
      <c r="O90" s="76">
        <f>(H90*$H$13+I$27*$I$13+J90*$J$13+$D$27)*$C$27</f>
        <v>-0.1991417341502838</v>
      </c>
      <c r="P90" s="77">
        <f>(H90*$H$14+I$27*$I$14+J90*$J$14+$E$27)*$C$27</f>
        <v>1.238303138702429E-2</v>
      </c>
      <c r="Q90" s="76">
        <f>(H90*$H$13+I90*$I$13+J$27*$J$13+$D$27)*$C$27</f>
        <v>0.49926584954684405</v>
      </c>
      <c r="R90" s="75">
        <f>(H90*$H$14+I90*$I$14+J$27*$J$14+$E$27)*$C$27</f>
        <v>-0.30708740584585881</v>
      </c>
    </row>
    <row r="91" spans="2:18">
      <c r="B91" s="81"/>
      <c r="C91">
        <v>2</v>
      </c>
      <c r="D91">
        <v>864</v>
      </c>
      <c r="E91">
        <v>1.8249759999999999</v>
      </c>
      <c r="F91" s="78"/>
      <c r="G91" s="75">
        <f>D$19*(L91-R91)</f>
        <v>0</v>
      </c>
      <c r="H91" s="76">
        <f>(C91-H$16)/H$17-0.5</f>
        <v>-0.467741935483871</v>
      </c>
      <c r="I91" s="75">
        <f>(D91-I$16)/I$17-0.5</f>
        <v>0.33870967741935487</v>
      </c>
      <c r="J91" s="75">
        <f>(E91-J$16)/J$17-0.5</f>
        <v>-0.36177218261177008</v>
      </c>
      <c r="K91" s="76">
        <f>(H91*$H$13+I91*$I$13+J91*$J$13+$D$27)*$C$27</f>
        <v>0.52720215289472927</v>
      </c>
      <c r="L91" s="77">
        <f>(H91*$H$14+I91*$I$14+J91*$J$14+$E$27)*$C$27</f>
        <v>-0.19544312060700758</v>
      </c>
      <c r="M91" s="76">
        <f>(H$27*$H$13+I91*$I$13+J91*$J$13+$D$27)*$C$27</f>
        <v>0.54333118515279377</v>
      </c>
      <c r="N91" s="77">
        <f>(H$27*$H$14+I91*$I$14+J91*$J$14+$E$27)*$C$27</f>
        <v>-0.18147496893306508</v>
      </c>
      <c r="O91" s="76">
        <f>(H91*$H$13+I$27*$I$13+J91*$J$13+$D$27)*$C$27</f>
        <v>-0.1991417341502838</v>
      </c>
      <c r="P91" s="77">
        <f>(H91*$H$14+I$27*$I$14+J91*$J$14+$E$27)*$C$27</f>
        <v>1.4234298747831164E-2</v>
      </c>
      <c r="Q91" s="76">
        <f>(H91*$H$13+I91*$I$13+J$27*$J$13+$D$27)*$C$27</f>
        <v>0.52720215289472916</v>
      </c>
      <c r="R91" s="75">
        <f>(H91*$H$14+I91*$I$14+J$27*$J$14+$E$27)*$C$27</f>
        <v>-0.31515192197489106</v>
      </c>
    </row>
    <row r="92" spans="2:18">
      <c r="B92" s="81"/>
      <c r="C92">
        <v>2</v>
      </c>
      <c r="D92">
        <v>896</v>
      </c>
      <c r="E92">
        <v>1.85104</v>
      </c>
      <c r="F92" s="78"/>
      <c r="G92" s="75">
        <f>D$19*(L92-R92)</f>
        <v>0</v>
      </c>
      <c r="H92" s="76">
        <f>(C92-H$16)/H$17-0.5</f>
        <v>-0.467741935483871</v>
      </c>
      <c r="I92" s="75">
        <f>(D92-I$16)/I$17-0.5</f>
        <v>0.37096774193548387</v>
      </c>
      <c r="J92" s="75">
        <f>(E92-J$16)/J$17-0.5</f>
        <v>-0.35862278715214851</v>
      </c>
      <c r="K92" s="76">
        <f>(H92*$H$13+I92*$I$13+J92*$J$13+$D$27)*$C$27</f>
        <v>0.55513845624261438</v>
      </c>
      <c r="L92" s="77">
        <f>(H92*$H$14+I92*$I$14+J92*$J$14+$E$27)*$C$27</f>
        <v>-0.20078018026144417</v>
      </c>
      <c r="M92" s="76">
        <f>(H$27*$H$13+I92*$I$13+J92*$J$13+$D$27)*$C$27</f>
        <v>0.57126748850067888</v>
      </c>
      <c r="N92" s="77">
        <f>(H$27*$H$14+I92*$I$14+J92*$J$14+$E$27)*$C$27</f>
        <v>-0.18681202858750168</v>
      </c>
      <c r="O92" s="76">
        <f>(H92*$H$13+I$27*$I$13+J92*$J$13+$D$27)*$C$27</f>
        <v>-0.1991417341502838</v>
      </c>
      <c r="P92" s="77">
        <f>(H92*$H$14+I$27*$I$14+J92*$J$14+$E$27)*$C$27</f>
        <v>1.6961755222426822E-2</v>
      </c>
      <c r="Q92" s="76">
        <f>(H92*$H$13+I92*$I$13+J$27*$J$13+$D$27)*$C$27</f>
        <v>0.55513845624261426</v>
      </c>
      <c r="R92" s="75">
        <f>(H92*$H$14+I92*$I$14+J$27*$J$14+$E$27)*$C$27</f>
        <v>-0.32321643810392331</v>
      </c>
    </row>
    <row r="93" spans="2:18">
      <c r="B93" s="81"/>
      <c r="C93">
        <v>2</v>
      </c>
      <c r="D93">
        <v>928</v>
      </c>
      <c r="E93">
        <v>1.8730329999999999</v>
      </c>
      <c r="F93" s="78"/>
      <c r="G93" s="75">
        <f>D$19*(L93-R93)</f>
        <v>0</v>
      </c>
      <c r="H93" s="76">
        <f>(C93-H$16)/H$17-0.5</f>
        <v>-0.467741935483871</v>
      </c>
      <c r="I93" s="75">
        <f>(D93-I$16)/I$17-0.5</f>
        <v>0.40322580645161288</v>
      </c>
      <c r="J93" s="75">
        <f>(E93-J$16)/J$17-0.5</f>
        <v>-0.35596530348335415</v>
      </c>
      <c r="K93" s="76">
        <f>(H93*$H$13+I93*$I$13+J93*$J$13+$D$27)*$C$27</f>
        <v>0.58307475959049948</v>
      </c>
      <c r="L93" s="77">
        <f>(H93*$H$14+I93*$I$14+J93*$J$14+$E$27)*$C$27</f>
        <v>-0.20654324802315829</v>
      </c>
      <c r="M93" s="76">
        <f>(H$27*$H$13+I93*$I$13+J93*$J$13+$D$27)*$C$27</f>
        <v>0.59920379184856398</v>
      </c>
      <c r="N93" s="77">
        <f>(H$27*$H$14+I93*$I$14+J93*$J$14+$E$27)*$C$27</f>
        <v>-0.19257509634921577</v>
      </c>
      <c r="O93" s="76">
        <f>(H93*$H$13+I$27*$I$13+J93*$J$13+$D$27)*$C$27</f>
        <v>-0.1991417341502838</v>
      </c>
      <c r="P93" s="77">
        <f>(H93*$H$14+I$27*$I$14+J93*$J$14+$E$27)*$C$27</f>
        <v>1.9263203589744982E-2</v>
      </c>
      <c r="Q93" s="76">
        <f>(H93*$H$13+I93*$I$13+J$27*$J$13+$D$27)*$C$27</f>
        <v>0.58307475959049937</v>
      </c>
      <c r="R93" s="75">
        <f>(H93*$H$14+I93*$I$14+J$27*$J$14+$E$27)*$C$27</f>
        <v>-0.33128095423295556</v>
      </c>
    </row>
    <row r="94" spans="2:18">
      <c r="B94" s="81"/>
      <c r="C94">
        <v>2</v>
      </c>
      <c r="D94">
        <v>960</v>
      </c>
      <c r="E94">
        <v>1.9005479999999999</v>
      </c>
      <c r="F94" s="78"/>
      <c r="G94" s="75">
        <f>D$19*(L94-R94)</f>
        <v>0</v>
      </c>
      <c r="H94" s="76">
        <f>(C94-H$16)/H$17-0.5</f>
        <v>-0.467741935483871</v>
      </c>
      <c r="I94" s="75">
        <f>(D94-I$16)/I$17-0.5</f>
        <v>0.43548387096774188</v>
      </c>
      <c r="J94" s="75">
        <f>(E94-J$16)/J$17-0.5</f>
        <v>-0.35264057910983182</v>
      </c>
      <c r="K94" s="76">
        <f>(H94*$H$13+I94*$I$13+J94*$J$13+$D$27)*$C$27</f>
        <v>0.61101106293838459</v>
      </c>
      <c r="L94" s="77">
        <f>(H94*$H$14+I94*$I$14+J94*$J$14+$E$27)*$C$27</f>
        <v>-0.21172846838413886</v>
      </c>
      <c r="M94" s="76">
        <f>(H$27*$H$13+I94*$I$13+J94*$J$13+$D$27)*$C$27</f>
        <v>0.62714009519644909</v>
      </c>
      <c r="N94" s="77">
        <f>(H$27*$H$14+I94*$I$14+J94*$J$14+$E$27)*$C$27</f>
        <v>-0.19776031671019634</v>
      </c>
      <c r="O94" s="76">
        <f>(H94*$H$13+I$27*$I$13+J94*$J$13+$D$27)*$C$27</f>
        <v>-0.1991417341502838</v>
      </c>
      <c r="P94" s="77">
        <f>(H94*$H$14+I$27*$I$14+J94*$J$14+$E$27)*$C$27</f>
        <v>2.2142499357796663E-2</v>
      </c>
      <c r="Q94" s="76">
        <f>(H94*$H$13+I94*$I$13+J$27*$J$13+$D$27)*$C$27</f>
        <v>0.61101106293838447</v>
      </c>
      <c r="R94" s="75">
        <f>(H94*$H$14+I94*$I$14+J$27*$J$14+$E$27)*$C$27</f>
        <v>-0.33934547036198781</v>
      </c>
    </row>
    <row r="95" spans="2:18">
      <c r="B95" s="81"/>
      <c r="C95">
        <v>2</v>
      </c>
      <c r="D95">
        <v>992</v>
      </c>
      <c r="E95">
        <v>1.9175219999999999</v>
      </c>
      <c r="F95" s="78"/>
      <c r="G95" s="75">
        <f>D$19*(L95-R95)</f>
        <v>0</v>
      </c>
      <c r="H95" s="76">
        <f>(C95-H$16)/H$17-0.5</f>
        <v>-0.467741935483871</v>
      </c>
      <c r="I95" s="75">
        <f>(D95-I$16)/I$17-0.5</f>
        <v>0.467741935483871</v>
      </c>
      <c r="J95" s="75">
        <f>(E95-J$16)/J$17-0.5</f>
        <v>-0.3505895570667219</v>
      </c>
      <c r="K95" s="76">
        <f>(H95*$H$13+I95*$I$13+J95*$J$13+$D$27)*$C$27</f>
        <v>0.63894736628626969</v>
      </c>
      <c r="L95" s="77">
        <f>(H95*$H$14+I95*$I$14+J95*$J$14+$E$27)*$C$27</f>
        <v>-0.21801674732011611</v>
      </c>
      <c r="M95" s="76">
        <f>(H$27*$H$13+I95*$I$13+J95*$J$13+$D$27)*$C$27</f>
        <v>0.65507639854433419</v>
      </c>
      <c r="N95" s="77">
        <f>(H$27*$H$14+I95*$I$14+J95*$J$14+$E$27)*$C$27</f>
        <v>-0.20404859564617359</v>
      </c>
      <c r="O95" s="76">
        <f>(H95*$H$13+I$27*$I$13+J95*$J$13+$D$27)*$C$27</f>
        <v>-0.1991417341502838</v>
      </c>
      <c r="P95" s="77">
        <f>(H95*$H$14+I$27*$I$14+J95*$J$14+$E$27)*$C$27</f>
        <v>2.3918736550851694E-2</v>
      </c>
      <c r="Q95" s="76">
        <f>(H95*$H$13+I95*$I$13+J$27*$J$13+$D$27)*$C$27</f>
        <v>0.63894736628626958</v>
      </c>
      <c r="R95" s="75">
        <f>(H95*$H$14+I95*$I$14+J$27*$J$14+$E$27)*$C$27</f>
        <v>-0.34740998649102012</v>
      </c>
    </row>
    <row r="96" spans="2:18">
      <c r="B96" s="81"/>
      <c r="C96">
        <v>2</v>
      </c>
      <c r="D96">
        <v>1024</v>
      </c>
      <c r="E96">
        <v>1.9377390000000001</v>
      </c>
      <c r="F96" s="78"/>
      <c r="G96" s="75">
        <f>D$19*(L96-R96)</f>
        <v>0</v>
      </c>
      <c r="H96" s="76">
        <f>(C96-H$16)/H$17-0.5</f>
        <v>-0.467741935483871</v>
      </c>
      <c r="I96" s="75">
        <f>(D96-I$16)/I$17-0.5</f>
        <v>0.5</v>
      </c>
      <c r="J96" s="75">
        <f>(E96-J$16)/J$17-0.5</f>
        <v>-0.3481466730885463</v>
      </c>
      <c r="K96" s="76">
        <f>(H96*$H$13+I96*$I$13+J96*$J$13+$D$27)*$C$27</f>
        <v>0.66688366963415491</v>
      </c>
      <c r="L96" s="77">
        <f>(H96*$H$14+I96*$I$14+J96*$J$14+$E$27)*$C$27</f>
        <v>-0.22396566386555028</v>
      </c>
      <c r="M96" s="76">
        <f>(H$27*$H$13+I96*$I$13+J96*$J$13+$D$27)*$C$27</f>
        <v>0.68301270189221941</v>
      </c>
      <c r="N96" s="77">
        <f>(H$27*$H$14+I96*$I$14+J96*$J$14+$E$27)*$C$27</f>
        <v>-0.20999751219160775</v>
      </c>
      <c r="O96" s="76">
        <f>(H96*$H$13+I$27*$I$13+J96*$J$13+$D$27)*$C$27</f>
        <v>-0.1991417341502838</v>
      </c>
      <c r="P96" s="77">
        <f>(H96*$H$14+I$27*$I$14+J96*$J$14+$E$27)*$C$27</f>
        <v>2.6034336134449776E-2</v>
      </c>
      <c r="Q96" s="76">
        <f>(H96*$H$13+I96*$I$13+J$27*$J$13+$D$27)*$C$27</f>
        <v>0.6668836696341548</v>
      </c>
      <c r="R96" s="75">
        <f>(H96*$H$14+I96*$I$14+J$27*$J$14+$E$27)*$C$27</f>
        <v>-0.35547450262005237</v>
      </c>
    </row>
    <row r="97" spans="2:18">
      <c r="B97" s="81"/>
      <c r="C97">
        <v>4</v>
      </c>
      <c r="D97">
        <v>32</v>
      </c>
      <c r="E97">
        <v>0.72835099999999997</v>
      </c>
      <c r="F97" s="78"/>
      <c r="G97" s="75">
        <f>D$19*(L97-R97)</f>
        <v>0</v>
      </c>
      <c r="H97" s="76">
        <f>(C97-H$16)/H$17-0.5</f>
        <v>-0.40322580645161288</v>
      </c>
      <c r="I97" s="75">
        <f>(D97-I$16)/I$17-0.5</f>
        <v>-0.5</v>
      </c>
      <c r="J97" s="75">
        <f>(E97-J$16)/J$17-0.5</f>
        <v>-0.49428084574511405</v>
      </c>
      <c r="K97" s="76">
        <f>(H97*$H$13+I97*$I$13+J97*$J$13+$D$27)*$C$27</f>
        <v>-0.23139979866641286</v>
      </c>
      <c r="L97" s="77">
        <f>(H97*$H$14+I97*$I$14+J97*$J$14+$E$27)*$C$27</f>
        <v>-0.12845787309504436</v>
      </c>
      <c r="M97" s="76">
        <f>(H$27*$H$13+I97*$I$13+J97*$J$13+$D$27)*$C$27</f>
        <v>-0.1830127018922193</v>
      </c>
      <c r="N97" s="77">
        <f>(H$27*$H$14+I97*$I$14+J97*$J$14+$E$27)*$C$27</f>
        <v>-8.6553418073216648E-2</v>
      </c>
      <c r="O97" s="76">
        <f>(H97*$H$13+I$27*$I$13+J97*$J$13+$D$27)*$C$27</f>
        <v>-0.23139979866641286</v>
      </c>
      <c r="P97" s="77">
        <f>(H97*$H$14+I$27*$I$14+J97*$J$14+$E$27)*$C$27</f>
        <v>-0.12845787309504436</v>
      </c>
      <c r="Q97" s="76">
        <f>(H97*$H$13+I97*$I$13+J$27*$J$13+$D$27)*$C$27</f>
        <v>-0.23139979866641286</v>
      </c>
      <c r="R97" s="75">
        <f>(H97*$H$14+I97*$I$14+J$27*$J$14+$E$27)*$C$27</f>
        <v>-0.13341080596793747</v>
      </c>
    </row>
    <row r="98" spans="2:18">
      <c r="B98" s="81"/>
      <c r="C98">
        <v>4</v>
      </c>
      <c r="D98">
        <v>64</v>
      </c>
      <c r="E98">
        <v>0.69669800000000004</v>
      </c>
      <c r="F98" s="78"/>
      <c r="G98" s="75">
        <f>D$19*(L98-R98)</f>
        <v>0</v>
      </c>
      <c r="H98" s="76">
        <f>(C98-H$16)/H$17-0.5</f>
        <v>-0.40322580645161288</v>
      </c>
      <c r="I98" s="75">
        <f>(D98-I$16)/I$17-0.5</f>
        <v>-0.467741935483871</v>
      </c>
      <c r="J98" s="75">
        <f>(E98-J$16)/J$17-0.5</f>
        <v>-0.4981055777311254</v>
      </c>
      <c r="K98" s="76">
        <f>(H98*$H$13+I98*$I$13+J98*$J$13+$D$27)*$C$27</f>
        <v>-0.20346349531852775</v>
      </c>
      <c r="L98" s="77">
        <f>(H98*$H$14+I98*$I$14+J98*$J$14+$E$27)*$C$27</f>
        <v>-0.13983470428662936</v>
      </c>
      <c r="M98" s="76">
        <f>(H$27*$H$13+I98*$I$13+J98*$J$13+$D$27)*$C$27</f>
        <v>-0.15507639854433419</v>
      </c>
      <c r="N98" s="77">
        <f>(H$27*$H$14+I98*$I$14+J98*$J$14+$E$27)*$C$27</f>
        <v>-9.793024926480165E-2</v>
      </c>
      <c r="O98" s="76">
        <f>(H98*$H$13+I$27*$I$13+J98*$J$13+$D$27)*$C$27</f>
        <v>-0.23139979866641286</v>
      </c>
      <c r="P98" s="77">
        <f>(H98*$H$14+I$27*$I$14+J98*$J$14+$E$27)*$C$27</f>
        <v>-0.13177018815759711</v>
      </c>
      <c r="Q98" s="76">
        <f>(H98*$H$13+I98*$I$13+J$27*$J$13+$D$27)*$C$27</f>
        <v>-0.20346349531852775</v>
      </c>
      <c r="R98" s="75">
        <f>(H98*$H$14+I98*$I$14+J$27*$J$14+$E$27)*$C$27</f>
        <v>-0.14147532209696972</v>
      </c>
    </row>
    <row r="99" spans="2:18">
      <c r="B99" s="81"/>
      <c r="C99">
        <v>4</v>
      </c>
      <c r="D99">
        <v>96</v>
      </c>
      <c r="E99">
        <v>0.771652</v>
      </c>
      <c r="F99" s="78"/>
      <c r="G99" s="75">
        <f>D$19*(L99-R99)</f>
        <v>0</v>
      </c>
      <c r="H99" s="76">
        <f>(C99-H$16)/H$17-0.5</f>
        <v>-0.40322580645161288</v>
      </c>
      <c r="I99" s="75">
        <f>(D99-I$16)/I$17-0.5</f>
        <v>-0.43548387096774194</v>
      </c>
      <c r="J99" s="75">
        <f>(E99-J$16)/J$17-0.5</f>
        <v>-0.48904864912153084</v>
      </c>
      <c r="K99" s="76">
        <f>(H99*$H$13+I99*$I$13+J99*$J$13+$D$27)*$C$27</f>
        <v>-0.17552719197064265</v>
      </c>
      <c r="L99" s="77">
        <f>(H99*$H$14+I99*$I$14+J99*$J$14+$E$27)*$C$27</f>
        <v>-0.14005569015949065</v>
      </c>
      <c r="M99" s="76">
        <f>(H$27*$H$13+I99*$I$13+J99*$J$13+$D$27)*$C$27</f>
        <v>-0.12714009519644909</v>
      </c>
      <c r="N99" s="77">
        <f>(H$27*$H$14+I99*$I$14+J99*$J$14+$E$27)*$C$27</f>
        <v>-9.8151235137662995E-2</v>
      </c>
      <c r="O99" s="76">
        <f>(H99*$H$13+I$27*$I$13+J99*$J$13+$D$27)*$C$27</f>
        <v>-0.23139979866641286</v>
      </c>
      <c r="P99" s="77">
        <f>(H99*$H$14+I$27*$I$14+J99*$J$14+$E$27)*$C$27</f>
        <v>-0.12392665790142615</v>
      </c>
      <c r="Q99" s="76">
        <f>(H99*$H$13+I99*$I$13+J$27*$J$13+$D$27)*$C$27</f>
        <v>-0.17552719197064265</v>
      </c>
      <c r="R99" s="75">
        <f>(H99*$H$14+I99*$I$14+J$27*$J$14+$E$27)*$C$27</f>
        <v>-0.14953983822600198</v>
      </c>
    </row>
    <row r="100" spans="2:18">
      <c r="B100" s="81"/>
      <c r="C100">
        <v>4</v>
      </c>
      <c r="D100">
        <v>128</v>
      </c>
      <c r="E100">
        <v>0.91919700000000004</v>
      </c>
      <c r="F100" s="78"/>
      <c r="G100" s="75">
        <f>D$19*(L100-R100)</f>
        <v>0</v>
      </c>
      <c r="H100" s="76">
        <f>(C100-H$16)/H$17-0.5</f>
        <v>-0.40322580645161288</v>
      </c>
      <c r="I100" s="75">
        <f>(D100-I$16)/I$17-0.5</f>
        <v>-0.40322580645161288</v>
      </c>
      <c r="J100" s="75">
        <f>(E100-J$16)/J$17-0.5</f>
        <v>-0.47122032065737102</v>
      </c>
      <c r="K100" s="76">
        <f>(H100*$H$13+I100*$I$13+J100*$J$13+$D$27)*$C$27</f>
        <v>-0.14759088862275749</v>
      </c>
      <c r="L100" s="77">
        <f>(H100*$H$14+I100*$I$14+J100*$J$14+$E$27)*$C$27</f>
        <v>-0.1326804209315473</v>
      </c>
      <c r="M100" s="76">
        <f>(H$27*$H$13+I100*$I$13+J100*$J$13+$D$27)*$C$27</f>
        <v>-9.9203791848563927E-2</v>
      </c>
      <c r="N100" s="77">
        <f>(H$27*$H$14+I100*$I$14+J100*$J$14+$E$27)*$C$27</f>
        <v>-9.0775965909719647E-2</v>
      </c>
      <c r="O100" s="76">
        <f>(H100*$H$13+I$27*$I$13+J100*$J$13+$D$27)*$C$27</f>
        <v>-0.23139979866641286</v>
      </c>
      <c r="P100" s="77">
        <f>(H100*$H$14+I$27*$I$14+J100*$J$14+$E$27)*$C$27</f>
        <v>-0.10848687254445055</v>
      </c>
      <c r="Q100" s="76">
        <f>(H100*$H$13+I100*$I$13+J$27*$J$13+$D$27)*$C$27</f>
        <v>-0.14759088862275749</v>
      </c>
      <c r="R100" s="75">
        <f>(H100*$H$14+I100*$I$14+J$27*$J$14+$E$27)*$C$27</f>
        <v>-0.15760435435503423</v>
      </c>
    </row>
    <row r="101" spans="2:18">
      <c r="B101" s="81"/>
      <c r="C101">
        <v>4</v>
      </c>
      <c r="D101">
        <v>160</v>
      </c>
      <c r="E101">
        <v>1.078254</v>
      </c>
      <c r="F101" s="78"/>
      <c r="G101" s="75">
        <f>D$19*(L101-R101)</f>
        <v>0</v>
      </c>
      <c r="H101" s="76">
        <f>(C101-H$16)/H$17-0.5</f>
        <v>-0.40322580645161288</v>
      </c>
      <c r="I101" s="75">
        <f>(D101-I$16)/I$17-0.5</f>
        <v>-0.37096774193548387</v>
      </c>
      <c r="J101" s="75">
        <f>(E101-J$16)/J$17-0.5</f>
        <v>-0.45200096086528141</v>
      </c>
      <c r="K101" s="76">
        <f>(H101*$H$13+I101*$I$13+J101*$J$13+$D$27)*$C$27</f>
        <v>-0.11965458527487238</v>
      </c>
      <c r="L101" s="77">
        <f>(H101*$H$14+I101*$I$14+J101*$J$14+$E$27)*$C$27</f>
        <v>-0.12410048323615674</v>
      </c>
      <c r="M101" s="76">
        <f>(H$27*$H$13+I101*$I$13+J101*$J$13+$D$27)*$C$27</f>
        <v>-7.1267488500678822E-2</v>
      </c>
      <c r="N101" s="77">
        <f>(H$27*$H$14+I101*$I$14+J101*$J$14+$E$27)*$C$27</f>
        <v>-8.2196028214329087E-2</v>
      </c>
      <c r="O101" s="76">
        <f>(H101*$H$13+I$27*$I$13+J101*$J$13+$D$27)*$C$27</f>
        <v>-0.23139979866641286</v>
      </c>
      <c r="P101" s="77">
        <f>(H101*$H$14+I$27*$I$14+J101*$J$14+$E$27)*$C$27</f>
        <v>-9.1842418720027741E-2</v>
      </c>
      <c r="Q101" s="76">
        <f>(H101*$H$13+I101*$I$13+J$27*$J$13+$D$27)*$C$27</f>
        <v>-0.11965458527487238</v>
      </c>
      <c r="R101" s="75">
        <f>(H101*$H$14+I101*$I$14+J$27*$J$14+$E$27)*$C$27</f>
        <v>-0.16566887048406648</v>
      </c>
    </row>
    <row r="102" spans="2:18">
      <c r="B102" s="81"/>
      <c r="C102">
        <v>4</v>
      </c>
      <c r="D102">
        <v>192</v>
      </c>
      <c r="E102">
        <v>1.268797</v>
      </c>
      <c r="F102" s="78"/>
      <c r="G102" s="75">
        <f>D$19*(L102-R102)</f>
        <v>0</v>
      </c>
      <c r="H102" s="76">
        <f>(C102-H$16)/H$17-0.5</f>
        <v>-0.40322580645161288</v>
      </c>
      <c r="I102" s="75">
        <f>(D102-I$16)/I$17-0.5</f>
        <v>-0.33870967741935487</v>
      </c>
      <c r="J102" s="75">
        <f>(E102-J$16)/J$17-0.5</f>
        <v>-0.42897704822475546</v>
      </c>
      <c r="K102" s="76">
        <f>(H102*$H$13+I102*$I$13+J102*$J$13+$D$27)*$C$27</f>
        <v>-9.1718281926987333E-2</v>
      </c>
      <c r="L102" s="77">
        <f>(H102*$H$14+I102*$I$14+J102*$J$14+$E$27)*$C$27</f>
        <v>-0.11222570612397986</v>
      </c>
      <c r="M102" s="76">
        <f>(H$27*$H$13+I102*$I$13+J102*$J$13+$D$27)*$C$27</f>
        <v>-4.3331185152793772E-2</v>
      </c>
      <c r="N102" s="77">
        <f>(H$27*$H$14+I102*$I$14+J102*$J$14+$E$27)*$C$27</f>
        <v>-7.0321251102152205E-2</v>
      </c>
      <c r="O102" s="76">
        <f>(H102*$H$13+I$27*$I$13+J102*$J$13+$D$27)*$C$27</f>
        <v>-0.23139979866641286</v>
      </c>
      <c r="P102" s="77">
        <f>(H102*$H$14+I$27*$I$14+J102*$J$14+$E$27)*$C$27</f>
        <v>-7.1903125478818608E-2</v>
      </c>
      <c r="Q102" s="76">
        <f>(H102*$H$13+I102*$I$13+J$27*$J$13+$D$27)*$C$27</f>
        <v>-9.1718281926987333E-2</v>
      </c>
      <c r="R102" s="75">
        <f>(H102*$H$14+I102*$I$14+J$27*$J$14+$E$27)*$C$27</f>
        <v>-0.17373338661309873</v>
      </c>
    </row>
    <row r="103" spans="2:18">
      <c r="B103" s="81"/>
      <c r="C103">
        <v>4</v>
      </c>
      <c r="D103">
        <v>224</v>
      </c>
      <c r="E103">
        <v>1.4308339999999999</v>
      </c>
      <c r="F103" s="78"/>
      <c r="G103" s="75">
        <f>D$19*(L103-R103)</f>
        <v>0</v>
      </c>
      <c r="H103" s="76">
        <f>(C103-H$16)/H$17-0.5</f>
        <v>-0.40322580645161288</v>
      </c>
      <c r="I103" s="75">
        <f>(D103-I$16)/I$17-0.5</f>
        <v>-0.30645161290322581</v>
      </c>
      <c r="J103" s="75">
        <f>(E103-J$16)/J$17-0.5</f>
        <v>-0.4093976056184519</v>
      </c>
      <c r="K103" s="76">
        <f>(H103*$H$13+I103*$I$13+J103*$J$13+$D$27)*$C$27</f>
        <v>-6.3781978579102172E-2</v>
      </c>
      <c r="L103" s="77">
        <f>(H103*$H$14+I103*$I$14+J103*$J$14+$E$27)*$C$27</f>
        <v>-0.10333392756401383</v>
      </c>
      <c r="M103" s="76">
        <f>(H$27*$H$13+I103*$I$13+J103*$J$13+$D$27)*$C$27</f>
        <v>-1.5394881804908606E-2</v>
      </c>
      <c r="N103" s="77">
        <f>(H$27*$H$14+I103*$I$14+J103*$J$14+$E$27)*$C$27</f>
        <v>-6.1429472542186225E-2</v>
      </c>
      <c r="O103" s="76">
        <f>(H103*$H$13+I$27*$I$13+J103*$J$13+$D$27)*$C$27</f>
        <v>-0.23139979866641286</v>
      </c>
      <c r="P103" s="77">
        <f>(H103*$H$14+I$27*$I$14+J103*$J$14+$E$27)*$C$27</f>
        <v>-5.4946830789820322E-2</v>
      </c>
      <c r="Q103" s="76">
        <f>(H103*$H$13+I103*$I$13+J$27*$J$13+$D$27)*$C$27</f>
        <v>-6.3781978579102172E-2</v>
      </c>
      <c r="R103" s="75">
        <f>(H103*$H$14+I103*$I$14+J$27*$J$14+$E$27)*$C$27</f>
        <v>-0.18179790274213098</v>
      </c>
    </row>
    <row r="104" spans="2:18">
      <c r="B104" s="81"/>
      <c r="C104">
        <v>4</v>
      </c>
      <c r="D104">
        <v>256</v>
      </c>
      <c r="E104">
        <v>1.6281870000000001</v>
      </c>
      <c r="F104" s="78"/>
      <c r="G104" s="75">
        <f>D$19*(L104-R104)</f>
        <v>0</v>
      </c>
      <c r="H104" s="76">
        <f>(C104-H$16)/H$17-0.5</f>
        <v>-0.40322580645161288</v>
      </c>
      <c r="I104" s="75">
        <f>(D104-I$16)/I$17-0.5</f>
        <v>-0.27419354838709675</v>
      </c>
      <c r="J104" s="75">
        <f>(E104-J$16)/J$17-0.5</f>
        <v>-0.38555081916423573</v>
      </c>
      <c r="K104" s="76">
        <f>(H104*$H$13+I104*$I$13+J104*$J$13+$D$27)*$C$27</f>
        <v>-3.5845675231217032E-2</v>
      </c>
      <c r="L104" s="77">
        <f>(H104*$H$14+I104*$I$14+J104*$J$14+$E$27)*$C$27</f>
        <v>-9.0746520825072285E-2</v>
      </c>
      <c r="M104" s="76">
        <f>(H$27*$H$13+I104*$I$13+J104*$J$13+$D$27)*$C$27</f>
        <v>1.2541421542976531E-2</v>
      </c>
      <c r="N104" s="77">
        <f>(H$27*$H$14+I104*$I$14+J104*$J$14+$E$27)*$C$27</f>
        <v>-4.8842065803244628E-2</v>
      </c>
      <c r="O104" s="76">
        <f>(H104*$H$13+I$27*$I$13+J104*$J$13+$D$27)*$C$27</f>
        <v>-0.23139979866641286</v>
      </c>
      <c r="P104" s="77">
        <f>(H104*$H$14+I$27*$I$14+J104*$J$14+$E$27)*$C$27</f>
        <v>-3.4294907921846474E-2</v>
      </c>
      <c r="Q104" s="76">
        <f>(H104*$H$13+I104*$I$13+J$27*$J$13+$D$27)*$C$27</f>
        <v>-3.5845675231217046E-2</v>
      </c>
      <c r="R104" s="75">
        <f>(H104*$H$14+I104*$I$14+J$27*$J$14+$E$27)*$C$27</f>
        <v>-0.18986241887116329</v>
      </c>
    </row>
    <row r="105" spans="2:18">
      <c r="B105" s="81"/>
      <c r="C105">
        <v>4</v>
      </c>
      <c r="D105">
        <v>288</v>
      </c>
      <c r="E105">
        <v>1.664747</v>
      </c>
      <c r="F105" s="78"/>
      <c r="G105" s="75">
        <f>D$19*(L105-R105)</f>
        <v>0</v>
      </c>
      <c r="H105" s="76">
        <f>(C105-H$16)/H$17-0.5</f>
        <v>-0.40322580645161288</v>
      </c>
      <c r="I105" s="75">
        <f>(D105-I$16)/I$17-0.5</f>
        <v>-0.24193548387096775</v>
      </c>
      <c r="J105" s="75">
        <f>(E105-J$16)/J$17-0.5</f>
        <v>-0.38113315886636262</v>
      </c>
      <c r="K105" s="76">
        <f>(H105*$H$13+I105*$I$13+J105*$J$13+$D$27)*$C$27</f>
        <v>-7.9093718833319251E-3</v>
      </c>
      <c r="L105" s="77">
        <f>(H105*$H$14+I105*$I$14+J105*$J$14+$E$27)*$C$27</f>
        <v>-9.4985230910856477E-2</v>
      </c>
      <c r="M105" s="76">
        <f>(H$27*$H$13+I105*$I$13+J105*$J$13+$D$27)*$C$27</f>
        <v>4.0477724890861634E-2</v>
      </c>
      <c r="N105" s="77">
        <f>(H$27*$H$14+I105*$I$14+J105*$J$14+$E$27)*$C$27</f>
        <v>-5.3080775889028819E-2</v>
      </c>
      <c r="O105" s="76">
        <f>(H105*$H$13+I$27*$I$13+J105*$J$13+$D$27)*$C$27</f>
        <v>-0.23139979866641286</v>
      </c>
      <c r="P105" s="77">
        <f>(H105*$H$14+I$27*$I$14+J105*$J$14+$E$27)*$C$27</f>
        <v>-3.0469101878598415E-2</v>
      </c>
      <c r="Q105" s="76">
        <f>(H105*$H$13+I105*$I$13+J$27*$J$13+$D$27)*$C$27</f>
        <v>-7.909371883331939E-3</v>
      </c>
      <c r="R105" s="75">
        <f>(H105*$H$14+I105*$I$14+J$27*$J$14+$E$27)*$C$27</f>
        <v>-0.19792693500019554</v>
      </c>
    </row>
    <row r="106" spans="2:18">
      <c r="B106" s="81"/>
      <c r="C106">
        <v>4</v>
      </c>
      <c r="D106">
        <v>320</v>
      </c>
      <c r="E106">
        <v>1.6968430000000001</v>
      </c>
      <c r="F106" s="78"/>
      <c r="G106" s="75">
        <f>D$19*(L106-R106)</f>
        <v>0</v>
      </c>
      <c r="H106" s="76">
        <f>(C106-H$16)/H$17-0.5</f>
        <v>-0.40322580645161288</v>
      </c>
      <c r="I106" s="75">
        <f>(D106-I$16)/I$17-0.5</f>
        <v>-0.20967741935483869</v>
      </c>
      <c r="J106" s="75">
        <f>(E106-J$16)/J$17-0.5</f>
        <v>-0.37725489779085564</v>
      </c>
      <c r="K106" s="76">
        <f>(H106*$H$13+I106*$I$13+J106*$J$13+$D$27)*$C$27</f>
        <v>2.002693146455321E-2</v>
      </c>
      <c r="L106" s="77">
        <f>(H106*$H$14+I106*$I$14+J106*$J$14+$E$27)*$C$27</f>
        <v>-9.9691074425991344E-2</v>
      </c>
      <c r="M106" s="76">
        <f>(H$27*$H$13+I106*$I$13+J106*$J$13+$D$27)*$C$27</f>
        <v>6.8414028238746774E-2</v>
      </c>
      <c r="N106" s="77">
        <f>(H$27*$H$14+I106*$I$14+J106*$J$14+$E$27)*$C$27</f>
        <v>-5.7786619404163686E-2</v>
      </c>
      <c r="O106" s="76">
        <f>(H106*$H$13+I$27*$I$13+J106*$J$13+$D$27)*$C$27</f>
        <v>-0.23139979866641286</v>
      </c>
      <c r="P106" s="77">
        <f>(H106*$H$14+I$27*$I$14+J106*$J$14+$E$27)*$C$27</f>
        <v>-2.711042926470103E-2</v>
      </c>
      <c r="Q106" s="76">
        <f>(H106*$H$13+I106*$I$13+J$27*$J$13+$D$27)*$C$27</f>
        <v>2.0026931464553192E-2</v>
      </c>
      <c r="R106" s="75">
        <f>(H106*$H$14+I106*$I$14+J$27*$J$14+$E$27)*$C$27</f>
        <v>-0.20599145112922779</v>
      </c>
    </row>
    <row r="107" spans="2:18">
      <c r="B107" s="81"/>
      <c r="C107">
        <v>4</v>
      </c>
      <c r="D107">
        <v>352</v>
      </c>
      <c r="E107">
        <v>1.7269399999999999</v>
      </c>
      <c r="F107" s="78"/>
      <c r="G107" s="75">
        <f>D$19*(L107-R107)</f>
        <v>0</v>
      </c>
      <c r="H107" s="76">
        <f>(C107-H$16)/H$17-0.5</f>
        <v>-0.40322580645161288</v>
      </c>
      <c r="I107" s="75">
        <f>(D107-I$16)/I$17-0.5</f>
        <v>-0.17741935483870969</v>
      </c>
      <c r="J107" s="75">
        <f>(E107-J$16)/J$17-0.5</f>
        <v>-0.37361818220045401</v>
      </c>
      <c r="K107" s="76">
        <f>(H107*$H$13+I107*$I$13+J107*$J$13+$D$27)*$C$27</f>
        <v>4.7963234812438311E-2</v>
      </c>
      <c r="L107" s="77">
        <f>(H107*$H$14+I107*$I$14+J107*$J$14+$E$27)*$C$27</f>
        <v>-0.10460610246739688</v>
      </c>
      <c r="M107" s="76">
        <f>(H$27*$H$13+I107*$I$13+J107*$J$13+$D$27)*$C$27</f>
        <v>9.6350331586631879E-2</v>
      </c>
      <c r="N107" s="77">
        <f>(H$27*$H$14+I107*$I$14+J107*$J$14+$E$27)*$C$27</f>
        <v>-6.270164744556922E-2</v>
      </c>
      <c r="O107" s="76">
        <f>(H107*$H$13+I$27*$I$13+J107*$J$13+$D$27)*$C$27</f>
        <v>-0.23139979866641286</v>
      </c>
      <c r="P107" s="77">
        <f>(H107*$H$14+I$27*$I$14+J107*$J$14+$E$27)*$C$27</f>
        <v>-2.3960941177074313E-2</v>
      </c>
      <c r="Q107" s="76">
        <f>(H107*$H$13+I107*$I$13+J$27*$J$13+$D$27)*$C$27</f>
        <v>4.7963234812438298E-2</v>
      </c>
      <c r="R107" s="75">
        <f>(H107*$H$14+I107*$I$14+J$27*$J$14+$E$27)*$C$27</f>
        <v>-0.21405596725826004</v>
      </c>
    </row>
    <row r="108" spans="2:18">
      <c r="B108" s="81"/>
      <c r="C108">
        <v>4</v>
      </c>
      <c r="D108">
        <v>384</v>
      </c>
      <c r="E108">
        <v>1.7649189999999999</v>
      </c>
      <c r="F108" s="78"/>
      <c r="G108" s="75">
        <f>D$19*(L108-R108)</f>
        <v>0</v>
      </c>
      <c r="H108" s="76">
        <f>(C108-H$16)/H$17-0.5</f>
        <v>-0.40322580645161288</v>
      </c>
      <c r="I108" s="75">
        <f>(D108-I$16)/I$17-0.5</f>
        <v>-0.14516129032258063</v>
      </c>
      <c r="J108" s="75">
        <f>(E108-J$16)/J$17-0.5</f>
        <v>-0.36902905964977234</v>
      </c>
      <c r="K108" s="76">
        <f>(H108*$H$13+I108*$I$13+J108*$J$13+$D$27)*$C$27</f>
        <v>7.5899538160323451E-2</v>
      </c>
      <c r="L108" s="77">
        <f>(H108*$H$14+I108*$I$14+J108*$J$14+$E$27)*$C$27</f>
        <v>-0.10869632188645875</v>
      </c>
      <c r="M108" s="76">
        <f>(H$27*$H$13+I108*$I$13+J108*$J$13+$D$27)*$C$27</f>
        <v>0.12428663493451701</v>
      </c>
      <c r="N108" s="77">
        <f>(H$27*$H$14+I108*$I$14+J108*$J$14+$E$27)*$C$27</f>
        <v>-6.6791866864631066E-2</v>
      </c>
      <c r="O108" s="76">
        <f>(H108*$H$13+I$27*$I$13+J108*$J$13+$D$27)*$C$27</f>
        <v>-0.23139979866641286</v>
      </c>
      <c r="P108" s="77">
        <f>(H108*$H$14+I$27*$I$14+J108*$J$14+$E$27)*$C$27</f>
        <v>-1.9986644467103909E-2</v>
      </c>
      <c r="Q108" s="76">
        <f>(H108*$H$13+I108*$I$13+J$27*$J$13+$D$27)*$C$27</f>
        <v>7.5899538160323438E-2</v>
      </c>
      <c r="R108" s="75">
        <f>(H108*$H$14+I108*$I$14+J$27*$J$14+$E$27)*$C$27</f>
        <v>-0.22212048338729232</v>
      </c>
    </row>
    <row r="109" spans="2:18">
      <c r="B109" s="81"/>
      <c r="C109">
        <v>4</v>
      </c>
      <c r="D109">
        <v>416</v>
      </c>
      <c r="E109">
        <v>1.80966</v>
      </c>
      <c r="F109" s="78"/>
      <c r="G109" s="75">
        <f>D$19*(L109-R109)</f>
        <v>0</v>
      </c>
      <c r="H109" s="76">
        <f>(C109-H$16)/H$17-0.5</f>
        <v>-0.40322580645161288</v>
      </c>
      <c r="I109" s="75">
        <f>(D109-I$16)/I$17-0.5</f>
        <v>-0.11290322580645162</v>
      </c>
      <c r="J109" s="75">
        <f>(E109-J$16)/J$17-0.5</f>
        <v>-0.36362286327703874</v>
      </c>
      <c r="K109" s="76">
        <f>(H109*$H$13+I109*$I$13+J109*$J$13+$D$27)*$C$27</f>
        <v>0.10383584150820854</v>
      </c>
      <c r="L109" s="77">
        <f>(H109*$H$14+I109*$I$14+J109*$J$14+$E$27)*$C$27</f>
        <v>-0.11207893461885646</v>
      </c>
      <c r="M109" s="76">
        <f>(H$27*$H$13+I109*$I$13+J109*$J$13+$D$27)*$C$27</f>
        <v>0.15222293828240208</v>
      </c>
      <c r="N109" s="77">
        <f>(H$27*$H$14+I109*$I$14+J109*$J$14+$E$27)*$C$27</f>
        <v>-7.0174479597028799E-2</v>
      </c>
      <c r="O109" s="76">
        <f>(H109*$H$13+I$27*$I$13+J109*$J$13+$D$27)*$C$27</f>
        <v>-0.23139979866641286</v>
      </c>
      <c r="P109" s="77">
        <f>(H109*$H$14+I$27*$I$14+J109*$J$14+$E$27)*$C$27</f>
        <v>-1.5304741070469363E-2</v>
      </c>
      <c r="Q109" s="76">
        <f>(H109*$H$13+I109*$I$13+J$27*$J$13+$D$27)*$C$27</f>
        <v>0.10383584150820853</v>
      </c>
      <c r="R109" s="75">
        <f>(H109*$H$14+I109*$I$14+J$27*$J$14+$E$27)*$C$27</f>
        <v>-0.23018499951632457</v>
      </c>
    </row>
    <row r="110" spans="2:18">
      <c r="B110" s="81"/>
      <c r="C110">
        <v>4</v>
      </c>
      <c r="D110">
        <v>448</v>
      </c>
      <c r="E110">
        <v>1.850452</v>
      </c>
      <c r="F110" s="78"/>
      <c r="G110" s="75">
        <f>D$19*(L110-R110)</f>
        <v>0</v>
      </c>
      <c r="H110" s="76">
        <f>(C110-H$16)/H$17-0.5</f>
        <v>-0.40322580645161288</v>
      </c>
      <c r="I110" s="75">
        <f>(D110-I$16)/I$17-0.5</f>
        <v>-8.0645161290322565E-2</v>
      </c>
      <c r="J110" s="75">
        <f>(E110-J$16)/J$17-0.5</f>
        <v>-0.35869383704971824</v>
      </c>
      <c r="K110" s="76">
        <f>(H110*$H$13+I110*$I$13+J110*$J$13+$D$27)*$C$27</f>
        <v>0.13177214485609368</v>
      </c>
      <c r="L110" s="77">
        <f>(H110*$H$14+I110*$I$14+J110*$J$14+$E$27)*$C$27</f>
        <v>-0.11587478881910937</v>
      </c>
      <c r="M110" s="76">
        <f>(H$27*$H$13+I110*$I$13+J110*$J$13+$D$27)*$C$27</f>
        <v>0.18015924163028724</v>
      </c>
      <c r="N110" s="77">
        <f>(H$27*$H$14+I110*$I$14+J110*$J$14+$E$27)*$C$27</f>
        <v>-7.3970333797281712E-2</v>
      </c>
      <c r="O110" s="76">
        <f>(H110*$H$13+I$27*$I$13+J110*$J$13+$D$27)*$C$27</f>
        <v>-0.23139979866641286</v>
      </c>
      <c r="P110" s="77">
        <f>(H110*$H$14+I$27*$I$14+J110*$J$14+$E$27)*$C$27</f>
        <v>-1.1036079141690025E-2</v>
      </c>
      <c r="Q110" s="76">
        <f>(H110*$H$13+I110*$I$13+J$27*$J$13+$D$27)*$C$27</f>
        <v>0.13177214485609368</v>
      </c>
      <c r="R110" s="75">
        <f>(H110*$H$14+I110*$I$14+J$27*$J$14+$E$27)*$C$27</f>
        <v>-0.23824951564535682</v>
      </c>
    </row>
    <row r="111" spans="2:18">
      <c r="B111" s="81"/>
      <c r="C111">
        <v>4</v>
      </c>
      <c r="D111">
        <v>480</v>
      </c>
      <c r="E111">
        <v>1.90005</v>
      </c>
      <c r="F111" s="78"/>
      <c r="G111" s="75">
        <f>D$19*(L111-R111)</f>
        <v>0</v>
      </c>
      <c r="H111" s="76">
        <f>(C111-H$16)/H$17-0.5</f>
        <v>-0.40322580645161288</v>
      </c>
      <c r="I111" s="75">
        <f>(D111-I$16)/I$17-0.5</f>
        <v>-4.8387096774193561E-2</v>
      </c>
      <c r="J111" s="75">
        <f>(E111-J$16)/J$17-0.5</f>
        <v>-0.3527007540230796</v>
      </c>
      <c r="K111" s="76">
        <f>(H111*$H$13+I111*$I$13+J111*$J$13+$D$27)*$C$27</f>
        <v>0.15970844820397875</v>
      </c>
      <c r="L111" s="77">
        <f>(H111*$H$14+I111*$I$14+J111*$J$14+$E$27)*$C$27</f>
        <v>-0.11874914280008322</v>
      </c>
      <c r="M111" s="76">
        <f>(H$27*$H$13+I111*$I$13+J111*$J$13+$D$27)*$C$27</f>
        <v>0.20809554497817231</v>
      </c>
      <c r="N111" s="77">
        <f>(H$27*$H$14+I111*$I$14+J111*$J$14+$E$27)*$C$27</f>
        <v>-7.6844687778255566E-2</v>
      </c>
      <c r="O111" s="76">
        <f>(H111*$H$13+I$27*$I$13+J111*$J$13+$D$27)*$C$27</f>
        <v>-0.23139979866641286</v>
      </c>
      <c r="P111" s="77">
        <f>(H111*$H$14+I$27*$I$14+J111*$J$14+$E$27)*$C$27</f>
        <v>-5.845916993631628E-3</v>
      </c>
      <c r="Q111" s="76">
        <f>(H111*$H$13+I111*$I$13+J$27*$J$13+$D$27)*$C$27</f>
        <v>0.15970844820397875</v>
      </c>
      <c r="R111" s="75">
        <f>(H111*$H$14+I111*$I$14+J$27*$J$14+$E$27)*$C$27</f>
        <v>-0.24631403177438907</v>
      </c>
    </row>
    <row r="112" spans="2:18">
      <c r="B112" s="81"/>
      <c r="C112">
        <v>4</v>
      </c>
      <c r="D112">
        <v>512</v>
      </c>
      <c r="E112">
        <v>1.936885</v>
      </c>
      <c r="F112" s="78"/>
      <c r="G112" s="75">
        <f>D$19*(L112-R112)</f>
        <v>0</v>
      </c>
      <c r="H112" s="76">
        <f>(C112-H$16)/H$17-0.5</f>
        <v>-0.40322580645161288</v>
      </c>
      <c r="I112" s="75">
        <f>(D112-I$16)/I$17-0.5</f>
        <v>-1.6129032258064502E-2</v>
      </c>
      <c r="J112" s="75">
        <f>(E112-J$16)/J$17-0.5</f>
        <v>-0.34824986460644519</v>
      </c>
      <c r="K112" s="76">
        <f>(H112*$H$13+I112*$I$13+J112*$J$13+$D$27)*$C$27</f>
        <v>0.18764475155186389</v>
      </c>
      <c r="L112" s="77">
        <f>(H112*$H$14+I112*$I$14+J112*$J$14+$E$27)*$C$27</f>
        <v>-0.12295907562487479</v>
      </c>
      <c r="M112" s="76">
        <f>(H$27*$H$13+I112*$I$13+J112*$J$13+$D$27)*$C$27</f>
        <v>0.23603184832605745</v>
      </c>
      <c r="N112" s="77">
        <f>(H$27*$H$14+I112*$I$14+J112*$J$14+$E$27)*$C$27</f>
        <v>-8.1054620603047134E-2</v>
      </c>
      <c r="O112" s="76">
        <f>(H112*$H$13+I$27*$I$13+J112*$J$13+$D$27)*$C$27</f>
        <v>-0.23139979866641286</v>
      </c>
      <c r="P112" s="77">
        <f>(H112*$H$14+I$27*$I$14+J112*$J$14+$E$27)*$C$27</f>
        <v>-1.9913336893909173E-3</v>
      </c>
      <c r="Q112" s="76">
        <f>(H112*$H$13+I112*$I$13+J$27*$J$13+$D$27)*$C$27</f>
        <v>0.18764475155186389</v>
      </c>
      <c r="R112" s="75">
        <f>(H112*$H$14+I112*$I$14+J$27*$J$14+$E$27)*$C$27</f>
        <v>-0.25437854790342135</v>
      </c>
    </row>
    <row r="113" spans="2:18">
      <c r="B113" s="81"/>
      <c r="C113">
        <v>4</v>
      </c>
      <c r="D113">
        <v>544</v>
      </c>
      <c r="E113">
        <v>1.9911129999999999</v>
      </c>
      <c r="F113" s="78"/>
      <c r="G113" s="75">
        <f>D$19*(L113-R113)</f>
        <v>0</v>
      </c>
      <c r="H113" s="76">
        <f>(C113-H$16)/H$17-0.5</f>
        <v>-0.40322580645161288</v>
      </c>
      <c r="I113" s="75">
        <f>(D113-I$16)/I$17-0.5</f>
        <v>1.6129032258064502E-2</v>
      </c>
      <c r="J113" s="75">
        <f>(E113-J$16)/J$17-0.5</f>
        <v>-0.3416973240530245</v>
      </c>
      <c r="K113" s="76">
        <f>(H113*$H$13+I113*$I$13+J113*$J$13+$D$27)*$C$27</f>
        <v>0.21558105489974899</v>
      </c>
      <c r="L113" s="77">
        <f>(H113*$H$14+I113*$I$14+J113*$J$14+$E$27)*$C$27</f>
        <v>-0.12534892517531698</v>
      </c>
      <c r="M113" s="76">
        <f>(H$27*$H$13+I113*$I$13+J113*$J$13+$D$27)*$C$27</f>
        <v>0.26396815167394255</v>
      </c>
      <c r="N113" s="77">
        <f>(H$27*$H$14+I113*$I$14+J113*$J$14+$E$27)*$C$27</f>
        <v>-8.3444470153489325E-2</v>
      </c>
      <c r="O113" s="76">
        <f>(H113*$H$13+I$27*$I$13+J113*$J$13+$D$27)*$C$27</f>
        <v>-0.23139979866641286</v>
      </c>
      <c r="P113" s="77">
        <f>(H113*$H$14+I$27*$I$14+J113*$J$14+$E$27)*$C$27</f>
        <v>3.6833328891991424E-3</v>
      </c>
      <c r="Q113" s="76">
        <f>(H113*$H$13+I113*$I$13+J$27*$J$13+$D$27)*$C$27</f>
        <v>0.21558105489974899</v>
      </c>
      <c r="R113" s="75">
        <f>(H113*$H$14+I113*$I$14+J$27*$J$14+$E$27)*$C$27</f>
        <v>-0.2624430640324536</v>
      </c>
    </row>
    <row r="114" spans="2:18">
      <c r="B114" s="81"/>
      <c r="C114">
        <v>4</v>
      </c>
      <c r="D114">
        <v>576</v>
      </c>
      <c r="E114">
        <v>2.048149</v>
      </c>
      <c r="F114" s="78"/>
      <c r="G114" s="75">
        <f>D$19*(L114-R114)</f>
        <v>0</v>
      </c>
      <c r="H114" s="76">
        <f>(C114-H$16)/H$17-0.5</f>
        <v>-0.40322580645161288</v>
      </c>
      <c r="I114" s="75">
        <f>(D114-I$16)/I$17-0.5</f>
        <v>4.8387096774193505E-2</v>
      </c>
      <c r="J114" s="75">
        <f>(E114-J$16)/J$17-0.5</f>
        <v>-0.33480548398876059</v>
      </c>
      <c r="K114" s="76">
        <f>(H114*$H$13+I114*$I$13+J114*$J$13+$D$27)*$C$27</f>
        <v>0.2435173582476341</v>
      </c>
      <c r="L114" s="77">
        <f>(H114*$H$14+I114*$I$14+J114*$J$14+$E$27)*$C$27</f>
        <v>-0.12744493272987734</v>
      </c>
      <c r="M114" s="76">
        <f>(H$27*$H$13+I114*$I$13+J114*$J$13+$D$27)*$C$27</f>
        <v>0.29190445502182766</v>
      </c>
      <c r="N114" s="77">
        <f>(H$27*$H$14+I114*$I$14+J114*$J$14+$E$27)*$C$27</f>
        <v>-8.5540477708049678E-2</v>
      </c>
      <c r="O114" s="76">
        <f>(H114*$H$13+I$27*$I$13+J114*$J$13+$D$27)*$C$27</f>
        <v>-0.23139979866641283</v>
      </c>
      <c r="P114" s="77">
        <f>(H114*$H$14+I$27*$I$14+J114*$J$14+$E$27)*$C$27</f>
        <v>9.6518414636710403E-3</v>
      </c>
      <c r="Q114" s="76">
        <f>(H114*$H$13+I114*$I$13+J$27*$J$13+$D$27)*$C$27</f>
        <v>0.24351735824763407</v>
      </c>
      <c r="R114" s="75">
        <f>(H114*$H$14+I114*$I$14+J$27*$J$14+$E$27)*$C$27</f>
        <v>-0.27050758016148585</v>
      </c>
    </row>
    <row r="115" spans="2:18">
      <c r="B115" s="81"/>
      <c r="C115">
        <v>4</v>
      </c>
      <c r="D115">
        <v>608</v>
      </c>
      <c r="E115">
        <v>2.1000740000000002</v>
      </c>
      <c r="F115" s="78"/>
      <c r="G115" s="75">
        <f>D$19*(L115-R115)</f>
        <v>0</v>
      </c>
      <c r="H115" s="76">
        <f>(C115-H$16)/H$17-0.5</f>
        <v>-0.40322580645161288</v>
      </c>
      <c r="I115" s="75">
        <f>(D115-I$16)/I$17-0.5</f>
        <v>8.064516129032262E-2</v>
      </c>
      <c r="J115" s="75">
        <f>(E115-J$16)/J$17-0.5</f>
        <v>-0.32853122220082132</v>
      </c>
      <c r="K115" s="76">
        <f>(H115*$H$13+I115*$I$13+J115*$J$13+$D$27)*$C$27</f>
        <v>0.27145366159551926</v>
      </c>
      <c r="L115" s="77">
        <f>(H115*$H$14+I115*$I$14+J115*$J$14+$E$27)*$C$27</f>
        <v>-0.13007577876056023</v>
      </c>
      <c r="M115" s="76">
        <f>(H$27*$H$13+I115*$I$13+J115*$J$13+$D$27)*$C$27</f>
        <v>0.31984075836971282</v>
      </c>
      <c r="N115" s="77">
        <f>(H$27*$H$14+I115*$I$14+J115*$J$14+$E$27)*$C$27</f>
        <v>-8.8171323738732571E-2</v>
      </c>
      <c r="O115" s="76">
        <f>(H115*$H$13+I$27*$I$13+J115*$J$13+$D$27)*$C$27</f>
        <v>-0.23139979866641283</v>
      </c>
      <c r="P115" s="77">
        <f>(H115*$H$14+I$27*$I$14+J115*$J$14+$E$27)*$C$27</f>
        <v>1.5085511562020426E-2</v>
      </c>
      <c r="Q115" s="76">
        <f>(H115*$H$13+I115*$I$13+J$27*$J$13+$D$27)*$C$27</f>
        <v>0.27145366159551926</v>
      </c>
      <c r="R115" s="75">
        <f>(H115*$H$14+I115*$I$14+J$27*$J$14+$E$27)*$C$27</f>
        <v>-0.27857209629051816</v>
      </c>
    </row>
    <row r="116" spans="2:18">
      <c r="B116" s="81"/>
      <c r="C116">
        <v>4</v>
      </c>
      <c r="D116">
        <v>640</v>
      </c>
      <c r="E116">
        <v>2.15218</v>
      </c>
      <c r="F116" s="78"/>
      <c r="G116" s="75">
        <f>D$19*(L116-R116)</f>
        <v>0</v>
      </c>
      <c r="H116" s="76">
        <f>(C116-H$16)/H$17-0.5</f>
        <v>-0.40322580645161288</v>
      </c>
      <c r="I116" s="75">
        <f>(D116-I$16)/I$17-0.5</f>
        <v>0.11290322580645162</v>
      </c>
      <c r="J116" s="75">
        <f>(E116-J$16)/J$17-0.5</f>
        <v>-0.32223508961107916</v>
      </c>
      <c r="K116" s="76">
        <f>(H116*$H$13+I116*$I$13+J116*$J$13+$D$27)*$C$27</f>
        <v>0.29938996494340436</v>
      </c>
      <c r="L116" s="77">
        <f>(H116*$H$14+I116*$I$14+J116*$J$14+$E$27)*$C$27</f>
        <v>-0.13268768412128065</v>
      </c>
      <c r="M116" s="76">
        <f>(H$27*$H$13+I116*$I$13+J116*$J$13+$D$27)*$C$27</f>
        <v>0.34777706171759792</v>
      </c>
      <c r="N116" s="77">
        <f>(H$27*$H$14+I116*$I$14+J116*$J$14+$E$27)*$C$27</f>
        <v>-9.0783229099452994E-2</v>
      </c>
      <c r="O116" s="76">
        <f>(H116*$H$13+I$27*$I$13+J116*$J$13+$D$27)*$C$27</f>
        <v>-0.23139979866641283</v>
      </c>
      <c r="P116" s="77">
        <f>(H116*$H$14+I$27*$I$14+J116*$J$14+$E$27)*$C$27</f>
        <v>2.0538122330332254E-2</v>
      </c>
      <c r="Q116" s="76">
        <f>(H116*$H$13+I116*$I$13+J$27*$J$13+$D$27)*$C$27</f>
        <v>0.29938996494340436</v>
      </c>
      <c r="R116" s="75">
        <f>(H116*$H$14+I116*$I$14+J$27*$J$14+$E$27)*$C$27</f>
        <v>-0.28663661241955041</v>
      </c>
    </row>
    <row r="117" spans="2:18">
      <c r="B117" s="81"/>
      <c r="C117">
        <v>4</v>
      </c>
      <c r="D117">
        <v>672</v>
      </c>
      <c r="E117">
        <v>2.1963900000000001</v>
      </c>
      <c r="F117" s="78"/>
      <c r="G117" s="75">
        <f>D$19*(L117-R117)</f>
        <v>0</v>
      </c>
      <c r="H117" s="76">
        <f>(C117-H$16)/H$17-0.5</f>
        <v>-0.40322580645161288</v>
      </c>
      <c r="I117" s="75">
        <f>(D117-I$16)/I$17-0.5</f>
        <v>0.14516129032258063</v>
      </c>
      <c r="J117" s="75">
        <f>(E117-J$16)/J$17-0.5</f>
        <v>-0.3168930556458448</v>
      </c>
      <c r="K117" s="76">
        <f>(H117*$H$13+I117*$I$13+J117*$J$13+$D$27)*$C$27</f>
        <v>0.32732626829128947</v>
      </c>
      <c r="L117" s="77">
        <f>(H117*$H$14+I117*$I$14+J117*$J$14+$E$27)*$C$27</f>
        <v>-0.13612586312854061</v>
      </c>
      <c r="M117" s="76">
        <f>(H$27*$H$13+I117*$I$13+J117*$J$13+$D$27)*$C$27</f>
        <v>0.37571336506548297</v>
      </c>
      <c r="N117" s="77">
        <f>(H$27*$H$14+I117*$I$14+J117*$J$14+$E$27)*$C$27</f>
        <v>-9.4221408106712951E-2</v>
      </c>
      <c r="O117" s="76">
        <f>(H117*$H$13+I$27*$I$13+J117*$J$13+$D$27)*$C$27</f>
        <v>-0.23139979866641283</v>
      </c>
      <c r="P117" s="77">
        <f>(H117*$H$14+I$27*$I$14+J117*$J$14+$E$27)*$C$27</f>
        <v>2.5164459452104548E-2</v>
      </c>
      <c r="Q117" s="76">
        <f>(H117*$H$13+I117*$I$13+J$27*$J$13+$D$27)*$C$27</f>
        <v>0.32732626829128947</v>
      </c>
      <c r="R117" s="75">
        <f>(H117*$H$14+I117*$I$14+J$27*$J$14+$E$27)*$C$27</f>
        <v>-0.29470112854858266</v>
      </c>
    </row>
    <row r="118" spans="2:18">
      <c r="B118" s="81"/>
      <c r="C118">
        <v>4</v>
      </c>
      <c r="D118">
        <v>704</v>
      </c>
      <c r="E118">
        <v>2.2563430000000002</v>
      </c>
      <c r="F118" s="78"/>
      <c r="G118" s="75">
        <f>D$19*(L118-R118)</f>
        <v>0</v>
      </c>
      <c r="H118" s="76">
        <f>(C118-H$16)/H$17-0.5</f>
        <v>-0.40322580645161288</v>
      </c>
      <c r="I118" s="75">
        <f>(D118-I$16)/I$17-0.5</f>
        <v>0.17741935483870963</v>
      </c>
      <c r="J118" s="75">
        <f>(E118-J$16)/J$17-0.5</f>
        <v>-0.30964874525639219</v>
      </c>
      <c r="K118" s="76">
        <f>(H118*$H$13+I118*$I$13+J118*$J$13+$D$27)*$C$27</f>
        <v>0.35526257163917457</v>
      </c>
      <c r="L118" s="77">
        <f>(H118*$H$14+I118*$I$14+J118*$J$14+$E$27)*$C$27</f>
        <v>-0.13791662242740735</v>
      </c>
      <c r="M118" s="76">
        <f>(H$27*$H$13+I118*$I$13+J118*$J$13+$D$27)*$C$27</f>
        <v>0.40364966841336808</v>
      </c>
      <c r="N118" s="77">
        <f>(H$27*$H$14+I118*$I$14+J118*$J$14+$E$27)*$C$27</f>
        <v>-9.601216740557969E-2</v>
      </c>
      <c r="O118" s="76">
        <f>(H118*$H$13+I$27*$I$13+J118*$J$13+$D$27)*$C$27</f>
        <v>-0.23139979866641283</v>
      </c>
      <c r="P118" s="77">
        <f>(H118*$H$14+I$27*$I$14+J118*$J$14+$E$27)*$C$27</f>
        <v>3.1438216282270059E-2</v>
      </c>
      <c r="Q118" s="76">
        <f>(H118*$H$13+I118*$I$13+J$27*$J$13+$D$27)*$C$27</f>
        <v>0.35526257163917457</v>
      </c>
      <c r="R118" s="75">
        <f>(H118*$H$14+I118*$I$14+J$27*$J$14+$E$27)*$C$27</f>
        <v>-0.30276564467761491</v>
      </c>
    </row>
    <row r="119" spans="2:18">
      <c r="B119" s="81"/>
      <c r="C119">
        <v>4</v>
      </c>
      <c r="D119">
        <v>736</v>
      </c>
      <c r="E119">
        <v>2.31454</v>
      </c>
      <c r="F119" s="78"/>
      <c r="G119" s="75">
        <f>D$19*(L119-R119)</f>
        <v>0</v>
      </c>
      <c r="H119" s="76">
        <f>(C119-H$16)/H$17-0.5</f>
        <v>-0.40322580645161288</v>
      </c>
      <c r="I119" s="75">
        <f>(D119-I$16)/I$17-0.5</f>
        <v>0.20967741935483875</v>
      </c>
      <c r="J119" s="75">
        <f>(E119-J$16)/J$17-0.5</f>
        <v>-0.30261661789437588</v>
      </c>
      <c r="K119" s="76">
        <f>(H119*$H$13+I119*$I$13+J119*$J$13+$D$27)*$C$27</f>
        <v>0.38319887498705973</v>
      </c>
      <c r="L119" s="77">
        <f>(H119*$H$14+I119*$I$14+J119*$J$14+$E$27)*$C$27</f>
        <v>-0.13989113761828587</v>
      </c>
      <c r="M119" s="76">
        <f>(H$27*$H$13+I119*$I$13+J119*$J$13+$D$27)*$C$27</f>
        <v>0.4315859717612533</v>
      </c>
      <c r="N119" s="77">
        <f>(H$27*$H$14+I119*$I$14+J119*$J$14+$E$27)*$C$27</f>
        <v>-9.7986682596458208E-2</v>
      </c>
      <c r="O119" s="76">
        <f>(H119*$H$13+I$27*$I$13+J119*$J$13+$D$27)*$C$27</f>
        <v>-0.23139979866641283</v>
      </c>
      <c r="P119" s="77">
        <f>(H119*$H$14+I$27*$I$14+J119*$J$14+$E$27)*$C$27</f>
        <v>3.7528217220423821E-2</v>
      </c>
      <c r="Q119" s="76">
        <f>(H119*$H$13+I119*$I$13+J$27*$J$13+$D$27)*$C$27</f>
        <v>0.38319887498705973</v>
      </c>
      <c r="R119" s="75">
        <f>(H119*$H$14+I119*$I$14+J$27*$J$14+$E$27)*$C$27</f>
        <v>-0.31083016080664716</v>
      </c>
    </row>
    <row r="120" spans="2:18">
      <c r="B120" s="81"/>
      <c r="C120">
        <v>4</v>
      </c>
      <c r="D120">
        <v>768</v>
      </c>
      <c r="E120">
        <v>2.3871410000000002</v>
      </c>
      <c r="F120" s="78"/>
      <c r="G120" s="75">
        <f>D$19*(L120-R120)</f>
        <v>0</v>
      </c>
      <c r="H120" s="76">
        <f>(C120-H$16)/H$17-0.5</f>
        <v>-0.40322580645161288</v>
      </c>
      <c r="I120" s="75">
        <f>(D120-I$16)/I$17-0.5</f>
        <v>0.24193548387096775</v>
      </c>
      <c r="J120" s="75">
        <f>(E120-J$16)/J$17-0.5</f>
        <v>-0.29384400970821933</v>
      </c>
      <c r="K120" s="76">
        <f>(H120*$H$13+I120*$I$13+J120*$J$13+$D$27)*$C$27</f>
        <v>0.41113517833494478</v>
      </c>
      <c r="L120" s="77">
        <f>(H120*$H$14+I120*$I$14+J120*$J$14+$E$27)*$C$27</f>
        <v>-0.14035835220065923</v>
      </c>
      <c r="M120" s="76">
        <f>(H$27*$H$13+I120*$I$13+J120*$J$13+$D$27)*$C$27</f>
        <v>0.4595222751091384</v>
      </c>
      <c r="N120" s="77">
        <f>(H$27*$H$14+I120*$I$14+J120*$J$14+$E$27)*$C$27</f>
        <v>-9.8453897178831573E-2</v>
      </c>
      <c r="O120" s="76">
        <f>(H120*$H$13+I$27*$I$13+J120*$J$13+$D$27)*$C$27</f>
        <v>-0.23139979866641283</v>
      </c>
      <c r="P120" s="77">
        <f>(H120*$H$14+I$27*$I$14+J120*$J$14+$E$27)*$C$27</f>
        <v>4.5125518767082706E-2</v>
      </c>
      <c r="Q120" s="76">
        <f>(H120*$H$13+I120*$I$13+J$27*$J$13+$D$27)*$C$27</f>
        <v>0.41113517833494478</v>
      </c>
      <c r="R120" s="75">
        <f>(H120*$H$14+I120*$I$14+J$27*$J$14+$E$27)*$C$27</f>
        <v>-0.31889467693567941</v>
      </c>
    </row>
    <row r="121" spans="2:18">
      <c r="B121" s="81"/>
      <c r="C121">
        <v>4</v>
      </c>
      <c r="D121">
        <v>800</v>
      </c>
      <c r="E121">
        <v>2.4541339999999998</v>
      </c>
      <c r="F121" s="78"/>
      <c r="G121" s="75">
        <f>D$19*(L121-R121)</f>
        <v>0</v>
      </c>
      <c r="H121" s="76">
        <f>(C121-H$16)/H$17-0.5</f>
        <v>-0.40322580645161288</v>
      </c>
      <c r="I121" s="75">
        <f>(D121-I$16)/I$17-0.5</f>
        <v>0.27419354838709675</v>
      </c>
      <c r="J121" s="75">
        <f>(E121-J$16)/J$17-0.5</f>
        <v>-0.28574903387847617</v>
      </c>
      <c r="K121" s="76">
        <f>(H121*$H$13+I121*$I$13+J121*$J$13+$D$27)*$C$27</f>
        <v>0.43907148168282989</v>
      </c>
      <c r="L121" s="77">
        <f>(H121*$H$14+I121*$I$14+J121*$J$14+$E$27)*$C$27</f>
        <v>-0.14141241361811291</v>
      </c>
      <c r="M121" s="76">
        <f>(H$27*$H$13+I121*$I$13+J121*$J$13+$D$27)*$C$27</f>
        <v>0.48745857845702351</v>
      </c>
      <c r="N121" s="77">
        <f>(H$27*$H$14+I121*$I$14+J121*$J$14+$E$27)*$C$27</f>
        <v>-9.9507958596285223E-2</v>
      </c>
      <c r="O121" s="76">
        <f>(H121*$H$13+I$27*$I$13+J121*$J$13+$D$27)*$C$27</f>
        <v>-0.23139979866641283</v>
      </c>
      <c r="P121" s="77">
        <f>(H121*$H$14+I$27*$I$14+J121*$J$14+$E$27)*$C$27</f>
        <v>5.2135973478661307E-2</v>
      </c>
      <c r="Q121" s="76">
        <f>(H121*$H$13+I121*$I$13+J$27*$J$13+$D$27)*$C$27</f>
        <v>0.43907148168282989</v>
      </c>
      <c r="R121" s="75">
        <f>(H121*$H$14+I121*$I$14+J$27*$J$14+$E$27)*$C$27</f>
        <v>-0.32695919306471166</v>
      </c>
    </row>
    <row r="122" spans="2:18">
      <c r="B122" s="81"/>
      <c r="C122">
        <v>4</v>
      </c>
      <c r="D122">
        <v>832</v>
      </c>
      <c r="E122">
        <v>2.5146639999999998</v>
      </c>
      <c r="F122" s="78"/>
      <c r="G122" s="75">
        <f>D$19*(L122-R122)</f>
        <v>0</v>
      </c>
      <c r="H122" s="76">
        <f>(C122-H$16)/H$17-0.5</f>
        <v>-0.40322580645161288</v>
      </c>
      <c r="I122" s="75">
        <f>(D122-I$16)/I$17-0.5</f>
        <v>0.30645161290322576</v>
      </c>
      <c r="J122" s="75">
        <f>(E122-J$16)/J$17-0.5</f>
        <v>-0.27843500275620436</v>
      </c>
      <c r="K122" s="76">
        <f>(H122*$H$13+I122*$I$13+J122*$J$13+$D$27)*$C$27</f>
        <v>0.46700778503071499</v>
      </c>
      <c r="L122" s="77">
        <f>(H122*$H$14+I122*$I$14+J122*$J$14+$E$27)*$C$27</f>
        <v>-0.14314279299118776</v>
      </c>
      <c r="M122" s="76">
        <f>(H$27*$H$13+I122*$I$13+J122*$J$13+$D$27)*$C$27</f>
        <v>0.51539488180490856</v>
      </c>
      <c r="N122" s="77">
        <f>(H$27*$H$14+I122*$I$14+J122*$J$14+$E$27)*$C$27</f>
        <v>-0.10123833796936008</v>
      </c>
      <c r="O122" s="76">
        <f>(H122*$H$13+I$27*$I$13+J122*$J$13+$D$27)*$C$27</f>
        <v>-0.23139979866641283</v>
      </c>
      <c r="P122" s="77">
        <f>(H122*$H$14+I$27*$I$14+J122*$J$14+$E$27)*$C$27</f>
        <v>5.8470110234618705E-2</v>
      </c>
      <c r="Q122" s="76">
        <f>(H122*$H$13+I122*$I$13+J$27*$J$13+$D$27)*$C$27</f>
        <v>0.46700778503071499</v>
      </c>
      <c r="R122" s="75">
        <f>(H122*$H$14+I122*$I$14+J$27*$J$14+$E$27)*$C$27</f>
        <v>-0.33502370919374391</v>
      </c>
    </row>
    <row r="123" spans="2:18">
      <c r="B123" s="81"/>
      <c r="C123">
        <v>4</v>
      </c>
      <c r="D123">
        <v>864</v>
      </c>
      <c r="E123">
        <v>2.586341</v>
      </c>
      <c r="F123" s="78"/>
      <c r="G123" s="75">
        <f>D$19*(L123-R123)</f>
        <v>0</v>
      </c>
      <c r="H123" s="76">
        <f>(C123-H$16)/H$17-0.5</f>
        <v>-0.40322580645161288</v>
      </c>
      <c r="I123" s="75">
        <f>(D123-I$16)/I$17-0.5</f>
        <v>0.33870967741935487</v>
      </c>
      <c r="J123" s="75">
        <f>(E123-J$16)/J$17-0.5</f>
        <v>-0.26977404440908598</v>
      </c>
      <c r="K123" s="76">
        <f>(H123*$H$13+I123*$I$13+J123*$J$13+$D$27)*$C$27</f>
        <v>0.49494408837860021</v>
      </c>
      <c r="L123" s="77">
        <f>(H123*$H$14+I123*$I$14+J123*$J$14+$E$27)*$C$27</f>
        <v>-0.14370669917049661</v>
      </c>
      <c r="M123" s="76">
        <f>(H$27*$H$13+I123*$I$13+J123*$J$13+$D$27)*$C$27</f>
        <v>0.54333118515279377</v>
      </c>
      <c r="N123" s="77">
        <f>(H$27*$H$14+I123*$I$14+J123*$J$14+$E$27)*$C$27</f>
        <v>-0.10180224414866898</v>
      </c>
      <c r="O123" s="76">
        <f>(H123*$H$13+I$27*$I$13+J123*$J$13+$D$27)*$C$27</f>
        <v>-0.23139979866641283</v>
      </c>
      <c r="P123" s="77">
        <f>(H123*$H$14+I$27*$I$14+J123*$J$14+$E$27)*$C$27</f>
        <v>6.5970720184342108E-2</v>
      </c>
      <c r="Q123" s="76">
        <f>(H123*$H$13+I123*$I$13+J$27*$J$13+$D$27)*$C$27</f>
        <v>0.49494408837860021</v>
      </c>
      <c r="R123" s="75">
        <f>(H123*$H$14+I123*$I$14+J$27*$J$14+$E$27)*$C$27</f>
        <v>-0.34308822532277622</v>
      </c>
    </row>
    <row r="124" spans="2:18">
      <c r="B124" s="81"/>
      <c r="C124">
        <v>4</v>
      </c>
      <c r="D124">
        <v>896</v>
      </c>
      <c r="E124">
        <v>2.660066</v>
      </c>
      <c r="F124" s="78"/>
      <c r="G124" s="75">
        <f>D$19*(L124-R124)</f>
        <v>0</v>
      </c>
      <c r="H124" s="76">
        <f>(C124-H$16)/H$17-0.5</f>
        <v>-0.40322580645161288</v>
      </c>
      <c r="I124" s="75">
        <f>(D124-I$16)/I$17-0.5</f>
        <v>0.37096774193548387</v>
      </c>
      <c r="J124" s="75">
        <f>(E124-J$16)/J$17-0.5</f>
        <v>-0.26086561975206485</v>
      </c>
      <c r="K124" s="76">
        <f>(H124*$H$13+I124*$I$13+J124*$J$13+$D$27)*$C$27</f>
        <v>0.52288039172648526</v>
      </c>
      <c r="L124" s="77">
        <f>(H124*$H$14+I124*$I$14+J124*$J$14+$E$27)*$C$27</f>
        <v>-0.14405629323884889</v>
      </c>
      <c r="M124" s="76">
        <f>(H$27*$H$13+I124*$I$13+J124*$J$13+$D$27)*$C$27</f>
        <v>0.57126748850067888</v>
      </c>
      <c r="N124" s="77">
        <f>(H$27*$H$14+I124*$I$14+J124*$J$14+$E$27)*$C$27</f>
        <v>-0.10215183821702124</v>
      </c>
      <c r="O124" s="76">
        <f>(H124*$H$13+I$27*$I$13+J124*$J$13+$D$27)*$C$27</f>
        <v>-0.23139979866641283</v>
      </c>
      <c r="P124" s="77">
        <f>(H124*$H$14+I$27*$I$14+J124*$J$14+$E$27)*$C$27</f>
        <v>7.3685642245022082E-2</v>
      </c>
      <c r="Q124" s="76">
        <f>(H124*$H$13+I124*$I$13+J$27*$J$13+$D$27)*$C$27</f>
        <v>0.52288039172648515</v>
      </c>
      <c r="R124" s="75">
        <f>(H124*$H$14+I124*$I$14+J$27*$J$14+$E$27)*$C$27</f>
        <v>-0.35115274145180847</v>
      </c>
    </row>
    <row r="125" spans="2:18">
      <c r="B125" s="81"/>
      <c r="C125">
        <v>4</v>
      </c>
      <c r="D125">
        <v>928</v>
      </c>
      <c r="E125">
        <v>2.7320579999999999</v>
      </c>
      <c r="F125" s="78"/>
      <c r="G125" s="75">
        <f>D$19*(L125-R125)</f>
        <v>0</v>
      </c>
      <c r="H125" s="76">
        <f>(C125-H$16)/H$17-0.5</f>
        <v>-0.40322580645161288</v>
      </c>
      <c r="I125" s="75">
        <f>(D125-I$16)/I$17-0.5</f>
        <v>0.40322580645161288</v>
      </c>
      <c r="J125" s="75">
        <f>(E125-J$16)/J$17-0.5</f>
        <v>-0.25216659895981985</v>
      </c>
      <c r="K125" s="76">
        <f>(H125*$H$13+I125*$I$13+J125*$J$13+$D$27)*$C$27</f>
        <v>0.55081669507437048</v>
      </c>
      <c r="L125" s="77">
        <f>(H125*$H$14+I125*$I$14+J125*$J$14+$E$27)*$C$27</f>
        <v>-0.14458723637374798</v>
      </c>
      <c r="M125" s="76">
        <f>(H$27*$H$13+I125*$I$13+J125*$J$13+$D$27)*$C$27</f>
        <v>0.59920379184856398</v>
      </c>
      <c r="N125" s="77">
        <f>(H$27*$H$14+I125*$I$14+J125*$J$14+$E$27)*$C$27</f>
        <v>-0.10268278135192033</v>
      </c>
      <c r="O125" s="76">
        <f>(H125*$H$13+I$27*$I$13+J125*$J$13+$D$27)*$C$27</f>
        <v>-0.23139979866641283</v>
      </c>
      <c r="P125" s="77">
        <f>(H125*$H$14+I$27*$I$14+J125*$J$14+$E$27)*$C$27</f>
        <v>8.1219215239155262E-2</v>
      </c>
      <c r="Q125" s="76">
        <f>(H125*$H$13+I125*$I$13+J$27*$J$13+$D$27)*$C$27</f>
        <v>0.55081669507437037</v>
      </c>
      <c r="R125" s="75">
        <f>(H125*$H$14+I125*$I$14+J$27*$J$14+$E$27)*$C$27</f>
        <v>-0.35921725758084072</v>
      </c>
    </row>
    <row r="126" spans="2:18">
      <c r="B126" s="81"/>
      <c r="C126">
        <v>4</v>
      </c>
      <c r="D126">
        <v>960</v>
      </c>
      <c r="E126">
        <v>2.8055159999999999</v>
      </c>
      <c r="F126" s="78"/>
      <c r="G126" s="75">
        <f>D$19*(L126-R126)</f>
        <v>0</v>
      </c>
      <c r="H126" s="76">
        <f>(C126-H$16)/H$17-0.5</f>
        <v>-0.40322580645161288</v>
      </c>
      <c r="I126" s="75">
        <f>(D126-I$16)/I$17-0.5</f>
        <v>0.43548387096774188</v>
      </c>
      <c r="J126" s="75">
        <f>(E126-J$16)/J$17-0.5</f>
        <v>-0.24329043675628703</v>
      </c>
      <c r="K126" s="76">
        <f>(H126*$H$13+I126*$I$13+J126*$J$13+$D$27)*$C$27</f>
        <v>0.57875299842225547</v>
      </c>
      <c r="L126" s="77">
        <f>(H126*$H$14+I126*$I$14+J126*$J$14+$E$27)*$C$27</f>
        <v>-0.14496477054640955</v>
      </c>
      <c r="M126" s="76">
        <f>(H$27*$H$13+I126*$I$13+J126*$J$13+$D$27)*$C$27</f>
        <v>0.62714009519644909</v>
      </c>
      <c r="N126" s="77">
        <f>(H$27*$H$14+I126*$I$14+J126*$J$14+$E$27)*$C$27</f>
        <v>-0.10306031552458189</v>
      </c>
      <c r="O126" s="76">
        <f>(H126*$H$13+I$27*$I$13+J126*$J$13+$D$27)*$C$27</f>
        <v>-0.23139979866641283</v>
      </c>
      <c r="P126" s="77">
        <f>(H126*$H$14+I$27*$I$14+J126*$J$14+$E$27)*$C$27</f>
        <v>8.8906197195525949E-2</v>
      </c>
      <c r="Q126" s="76">
        <f>(H126*$H$13+I126*$I$13+J$27*$J$13+$D$27)*$C$27</f>
        <v>0.57875299842225536</v>
      </c>
      <c r="R126" s="75">
        <f>(H126*$H$14+I126*$I$14+J$27*$J$14+$E$27)*$C$27</f>
        <v>-0.36728177370987297</v>
      </c>
    </row>
    <row r="127" spans="2:18">
      <c r="B127" s="81"/>
      <c r="C127">
        <v>4</v>
      </c>
      <c r="D127">
        <v>992</v>
      </c>
      <c r="E127">
        <v>2.87609</v>
      </c>
      <c r="F127" s="78"/>
      <c r="G127" s="75">
        <f>D$19*(L127-R127)</f>
        <v>0</v>
      </c>
      <c r="H127" s="76">
        <f>(C127-H$16)/H$17-0.5</f>
        <v>-0.40322580645161288</v>
      </c>
      <c r="I127" s="75">
        <f>(D127-I$16)/I$17-0.5</f>
        <v>0.467741935483871</v>
      </c>
      <c r="J127" s="75">
        <f>(E127-J$16)/J$17-0.5</f>
        <v>-0.2347627573836914</v>
      </c>
      <c r="K127" s="76">
        <f>(H127*$H$13+I127*$I$13+J127*$J$13+$D$27)*$C$27</f>
        <v>0.60668930177014069</v>
      </c>
      <c r="L127" s="77">
        <f>(H127*$H$14+I127*$I$14+J127*$J$14+$E$27)*$C$27</f>
        <v>-0.14564409970344547</v>
      </c>
      <c r="M127" s="76">
        <f>(H$27*$H$13+I127*$I$13+J127*$J$13+$D$27)*$C$27</f>
        <v>0.65507639854433419</v>
      </c>
      <c r="N127" s="77">
        <f>(H$27*$H$14+I127*$I$14+J127*$J$14+$E$27)*$C$27</f>
        <v>-0.10373964468161781</v>
      </c>
      <c r="O127" s="76">
        <f>(H127*$H$13+I$27*$I$13+J127*$J$13+$D$27)*$C$27</f>
        <v>-0.23139979866641283</v>
      </c>
      <c r="P127" s="77">
        <f>(H127*$H$14+I$27*$I$14+J127*$J$14+$E$27)*$C$27</f>
        <v>9.6291384167522309E-2</v>
      </c>
      <c r="Q127" s="76">
        <f>(H127*$H$13+I127*$I$13+J$27*$J$13+$D$27)*$C$27</f>
        <v>0.60668930177014058</v>
      </c>
      <c r="R127" s="75">
        <f>(H127*$H$14+I127*$I$14+J$27*$J$14+$E$27)*$C$27</f>
        <v>-0.37534628983890528</v>
      </c>
    </row>
    <row r="128" spans="2:18">
      <c r="B128" s="81"/>
      <c r="C128">
        <v>4</v>
      </c>
      <c r="D128">
        <v>1024</v>
      </c>
      <c r="E128">
        <v>2.9491679999999998</v>
      </c>
      <c r="F128" s="78"/>
      <c r="G128" s="75">
        <f>D$19*(L128-R128)</f>
        <v>0</v>
      </c>
      <c r="H128" s="76">
        <f>(C128-H$16)/H$17-0.5</f>
        <v>-0.40322580645161288</v>
      </c>
      <c r="I128" s="75">
        <f>(D128-I$16)/I$17-0.5</f>
        <v>0.5</v>
      </c>
      <c r="J128" s="75">
        <f>(E128-J$16)/J$17-0.5</f>
        <v>-0.22593251178062884</v>
      </c>
      <c r="K128" s="76">
        <f>(H128*$H$13+I128*$I$13+J128*$J$13+$D$27)*$C$27</f>
        <v>0.63462560511802579</v>
      </c>
      <c r="L128" s="77">
        <f>(H128*$H$14+I128*$I$14+J128*$J$14+$E$27)*$C$27</f>
        <v>-0.14606139881856969</v>
      </c>
      <c r="M128" s="76">
        <f>(H$27*$H$13+I128*$I$13+J128*$J$13+$D$27)*$C$27</f>
        <v>0.68301270189221941</v>
      </c>
      <c r="N128" s="77">
        <f>(H$27*$H$14+I128*$I$14+J128*$J$14+$E$27)*$C$27</f>
        <v>-0.10415694379674204</v>
      </c>
      <c r="O128" s="76">
        <f>(H128*$H$13+I$27*$I$13+J128*$J$13+$D$27)*$C$27</f>
        <v>-0.23139979866641283</v>
      </c>
      <c r="P128" s="77">
        <f>(H128*$H$14+I$27*$I$14+J128*$J$14+$E$27)*$C$27</f>
        <v>0.10393860118143033</v>
      </c>
      <c r="Q128" s="76">
        <f>(H128*$H$13+I128*$I$13+J$27*$J$13+$D$27)*$C$27</f>
        <v>0.63462560511802568</v>
      </c>
      <c r="R128" s="75">
        <f>(H128*$H$14+I128*$I$14+J$27*$J$14+$E$27)*$C$27</f>
        <v>-0.38341080596793753</v>
      </c>
    </row>
    <row r="129" spans="2:18">
      <c r="B129" s="81"/>
      <c r="C129">
        <v>8</v>
      </c>
      <c r="D129">
        <v>32</v>
      </c>
      <c r="E129">
        <v>0.69698499999999997</v>
      </c>
      <c r="F129" s="78"/>
      <c r="G129" s="75">
        <f>D$19*(L129-R129)</f>
        <v>0</v>
      </c>
      <c r="H129" s="76">
        <f>(C129-H$16)/H$17-0.5</f>
        <v>-0.27419354838709675</v>
      </c>
      <c r="I129" s="75">
        <f>(D129-I$16)/I$17-0.5</f>
        <v>-0.5</v>
      </c>
      <c r="J129" s="75">
        <f>(E129-J$16)/J$17-0.5</f>
        <v>-0.49807089861445447</v>
      </c>
      <c r="K129" s="76">
        <f>(H129*$H$13+I129*$I$13+J129*$J$13+$D$27)*$C$27</f>
        <v>-0.29591592769867098</v>
      </c>
      <c r="L129" s="77">
        <f>(H129*$H$14+I129*$I$14+J129*$J$14+$E$27)*$C$27</f>
        <v>-0.18761276185734946</v>
      </c>
      <c r="M129" s="76">
        <f>(H$27*$H$13+I129*$I$13+J129*$J$13+$D$27)*$C$27</f>
        <v>-0.1830127018922193</v>
      </c>
      <c r="N129" s="77">
        <f>(H$27*$H$14+I129*$I$14+J129*$J$14+$E$27)*$C$27</f>
        <v>-8.9835700139751562E-2</v>
      </c>
      <c r="O129" s="76">
        <f>(H129*$H$13+I$27*$I$13+J129*$J$13+$D$27)*$C$27</f>
        <v>-0.29591592769867098</v>
      </c>
      <c r="P129" s="77">
        <f>(H129*$H$14+I$27*$I$14+J129*$J$14+$E$27)*$C$27</f>
        <v>-0.18761276185734946</v>
      </c>
      <c r="Q129" s="76">
        <f>(H129*$H$13+I129*$I$13+J$27*$J$13+$D$27)*$C$27</f>
        <v>-0.29591592769867098</v>
      </c>
      <c r="R129" s="75">
        <f>(H129*$H$14+I129*$I$14+J$27*$J$14+$E$27)*$C$27</f>
        <v>-0.18928341266370766</v>
      </c>
    </row>
    <row r="130" spans="2:18">
      <c r="B130" s="81"/>
      <c r="C130">
        <v>8</v>
      </c>
      <c r="D130">
        <v>64</v>
      </c>
      <c r="E130">
        <v>0.91991500000000004</v>
      </c>
      <c r="F130" s="78"/>
      <c r="G130" s="75">
        <f>D$19*(L130-R130)</f>
        <v>0</v>
      </c>
      <c r="H130" s="76">
        <f>(C130-H$16)/H$17-0.5</f>
        <v>-0.27419354838709675</v>
      </c>
      <c r="I130" s="75">
        <f>(D130-I$16)/I$17-0.5</f>
        <v>-0.467741935483871</v>
      </c>
      <c r="J130" s="75">
        <f>(E130-J$16)/J$17-0.5</f>
        <v>-0.47113356244911414</v>
      </c>
      <c r="K130" s="76">
        <f>(H130*$H$13+I130*$I$13+J130*$J$13+$D$27)*$C$27</f>
        <v>-0.26797962435078587</v>
      </c>
      <c r="L130" s="77">
        <f>(H130*$H$14+I130*$I$14+J130*$J$14+$E$27)*$C$27</f>
        <v>-0.1723488605569157</v>
      </c>
      <c r="M130" s="76">
        <f>(H$27*$H$13+I130*$I$13+J130*$J$13+$D$27)*$C$27</f>
        <v>-0.15507639854433419</v>
      </c>
      <c r="N130" s="77">
        <f>(H$27*$H$14+I130*$I$14+J130*$J$14+$E$27)*$C$27</f>
        <v>-7.4571798839317804E-2</v>
      </c>
      <c r="O130" s="76">
        <f>(H130*$H$13+I$27*$I$13+J130*$J$13+$D$27)*$C$27</f>
        <v>-0.29591592769867098</v>
      </c>
      <c r="P130" s="77">
        <f>(H130*$H$14+I$27*$I$14+J130*$J$14+$E$27)*$C$27</f>
        <v>-0.16428434442788345</v>
      </c>
      <c r="Q130" s="76">
        <f>(H130*$H$13+I130*$I$13+J$27*$J$13+$D$27)*$C$27</f>
        <v>-0.26797962435078587</v>
      </c>
      <c r="R130" s="75">
        <f>(H130*$H$14+I130*$I$14+J$27*$J$14+$E$27)*$C$27</f>
        <v>-0.19734792879273991</v>
      </c>
    </row>
    <row r="131" spans="2:18">
      <c r="B131" s="81"/>
      <c r="C131">
        <v>8</v>
      </c>
      <c r="D131">
        <v>96</v>
      </c>
      <c r="E131">
        <v>1.269137</v>
      </c>
      <c r="F131" s="78"/>
      <c r="G131" s="75">
        <f>D$19*(L131-R131)</f>
        <v>0</v>
      </c>
      <c r="H131" s="76">
        <f>(C131-H$16)/H$17-0.5</f>
        <v>-0.27419354838709675</v>
      </c>
      <c r="I131" s="75">
        <f>(D131-I$16)/I$17-0.5</f>
        <v>-0.43548387096774194</v>
      </c>
      <c r="J131" s="75">
        <f>(E131-J$16)/J$17-0.5</f>
        <v>-0.42893596495065056</v>
      </c>
      <c r="K131" s="76">
        <f>(H131*$H$13+I131*$I$13+J131*$J$13+$D$27)*$C$27</f>
        <v>-0.24004332100290074</v>
      </c>
      <c r="L131" s="77">
        <f>(H131*$H$14+I131*$I$14+J131*$J$14+$E$27)*$C$27</f>
        <v>-0.14386918527360781</v>
      </c>
      <c r="M131" s="76">
        <f>(H$27*$H$13+I131*$I$13+J131*$J$13+$D$27)*$C$27</f>
        <v>-0.12714009519644909</v>
      </c>
      <c r="N131" s="77">
        <f>(H$27*$H$14+I131*$I$14+J131*$J$14+$E$27)*$C$27</f>
        <v>-4.6092123556009945E-2</v>
      </c>
      <c r="O131" s="76">
        <f>(H131*$H$13+I$27*$I$13+J131*$J$13+$D$27)*$C$27</f>
        <v>-0.29591592769867098</v>
      </c>
      <c r="P131" s="77">
        <f>(H131*$H$14+I$27*$I$14+J131*$J$14+$E$27)*$C$27</f>
        <v>-0.12774015301554328</v>
      </c>
      <c r="Q131" s="76">
        <f>(H131*$H$13+I131*$I$13+J$27*$J$13+$D$27)*$C$27</f>
        <v>-0.24004332100290074</v>
      </c>
      <c r="R131" s="75">
        <f>(H131*$H$14+I131*$I$14+J$27*$J$14+$E$27)*$C$27</f>
        <v>-0.20541244492177219</v>
      </c>
    </row>
    <row r="132" spans="2:18">
      <c r="B132" s="81"/>
      <c r="C132">
        <v>8</v>
      </c>
      <c r="D132">
        <v>128</v>
      </c>
      <c r="E132">
        <v>1.6286130000000001</v>
      </c>
      <c r="F132" s="78"/>
      <c r="G132" s="75">
        <f>D$19*(L132-R132)</f>
        <v>0</v>
      </c>
      <c r="H132" s="76">
        <f>(C132-H$16)/H$17-0.5</f>
        <v>-0.27419354838709675</v>
      </c>
      <c r="I132" s="75">
        <f>(D132-I$16)/I$17-0.5</f>
        <v>-0.40322580645161288</v>
      </c>
      <c r="J132" s="75">
        <f>(E132-J$16)/J$17-0.5</f>
        <v>-0.38549934423844534</v>
      </c>
      <c r="K132" s="76">
        <f>(H132*$H$13+I132*$I$13+J132*$J$13+$D$27)*$C$27</f>
        <v>-0.21210701765501558</v>
      </c>
      <c r="L132" s="77">
        <f>(H132*$H$14+I132*$I$14+J132*$J$14+$E$27)*$C$27</f>
        <v>-0.11431648441132103</v>
      </c>
      <c r="M132" s="76">
        <f>(H$27*$H$13+I132*$I$13+J132*$J$13+$D$27)*$C$27</f>
        <v>-9.9203791848563913E-2</v>
      </c>
      <c r="N132" s="77">
        <f>(H$27*$H$14+I132*$I$14+J132*$J$14+$E$27)*$C$27</f>
        <v>-1.653942269372316E-2</v>
      </c>
      <c r="O132" s="76">
        <f>(H132*$H$13+I$27*$I$13+J132*$J$13+$D$27)*$C$27</f>
        <v>-0.29591592769867098</v>
      </c>
      <c r="P132" s="77">
        <f>(H132*$H$14+I$27*$I$14+J132*$J$14+$E$27)*$C$27</f>
        <v>-9.0122936024224248E-2</v>
      </c>
      <c r="Q132" s="76">
        <f>(H132*$H$13+I132*$I$13+J$27*$J$13+$D$27)*$C$27</f>
        <v>-0.21210701765501558</v>
      </c>
      <c r="R132" s="75">
        <f>(H132*$H$14+I132*$I$14+J$27*$J$14+$E$27)*$C$27</f>
        <v>-0.21347696105080444</v>
      </c>
    </row>
    <row r="133" spans="2:18">
      <c r="B133" s="81"/>
      <c r="C133">
        <v>8</v>
      </c>
      <c r="D133">
        <v>160</v>
      </c>
      <c r="E133">
        <v>1.697619</v>
      </c>
      <c r="F133" s="78"/>
      <c r="G133" s="75">
        <f>D$19*(L133-R133)</f>
        <v>0</v>
      </c>
      <c r="H133" s="76">
        <f>(C133-H$16)/H$17-0.5</f>
        <v>-0.27419354838709675</v>
      </c>
      <c r="I133" s="75">
        <f>(D133-I$16)/I$17-0.5</f>
        <v>-0.37096774193548387</v>
      </c>
      <c r="J133" s="75">
        <f>(E133-J$16)/J$17-0.5</f>
        <v>-0.37716113125936912</v>
      </c>
      <c r="K133" s="76">
        <f>(H133*$H$13+I133*$I$13+J133*$J$13+$D$27)*$C$27</f>
        <v>-0.18417071430713047</v>
      </c>
      <c r="L133" s="77">
        <f>(H133*$H$14+I133*$I$14+J133*$J$14+$E$27)*$C$27</f>
        <v>-0.11515989627830814</v>
      </c>
      <c r="M133" s="76">
        <f>(H$27*$H$13+I133*$I$13+J133*$J$13+$D$27)*$C$27</f>
        <v>-7.1267488500678808E-2</v>
      </c>
      <c r="N133" s="77">
        <f>(H$27*$H$14+I133*$I$14+J133*$J$14+$E$27)*$C$27</f>
        <v>-1.738283456071027E-2</v>
      </c>
      <c r="O133" s="76">
        <f>(H133*$H$13+I$27*$I$13+J133*$J$13+$D$27)*$C$27</f>
        <v>-0.29591592769867098</v>
      </c>
      <c r="P133" s="77">
        <f>(H133*$H$14+I$27*$I$14+J133*$J$14+$E$27)*$C$27</f>
        <v>-8.2901831762179107E-2</v>
      </c>
      <c r="Q133" s="76">
        <f>(H133*$H$13+I133*$I$13+J$27*$J$13+$D$27)*$C$27</f>
        <v>-0.18417071430713047</v>
      </c>
      <c r="R133" s="75">
        <f>(H133*$H$14+I133*$I$14+J$27*$J$14+$E$27)*$C$27</f>
        <v>-0.22154147717983669</v>
      </c>
    </row>
    <row r="134" spans="2:18">
      <c r="B134" s="81"/>
      <c r="C134">
        <v>8</v>
      </c>
      <c r="D134">
        <v>192</v>
      </c>
      <c r="E134">
        <v>1.7662009999999999</v>
      </c>
      <c r="F134" s="78"/>
      <c r="G134" s="75">
        <f>D$19*(L134-R134)</f>
        <v>0</v>
      </c>
      <c r="H134" s="76">
        <f>(C134-H$16)/H$17-0.5</f>
        <v>-0.27419354838709675</v>
      </c>
      <c r="I134" s="75">
        <f>(D134-I$16)/I$17-0.5</f>
        <v>-0.33870967741935487</v>
      </c>
      <c r="J134" s="75">
        <f>(E134-J$16)/J$17-0.5</f>
        <v>-0.36887415153976488</v>
      </c>
      <c r="K134" s="76">
        <f>(H134*$H$13+I134*$I$13+J134*$J$13+$D$27)*$C$27</f>
        <v>-0.15623441095924542</v>
      </c>
      <c r="L134" s="77">
        <f>(H134*$H$14+I134*$I$14+J134*$J$14+$E$27)*$C$27</f>
        <v>-0.11604767744951672</v>
      </c>
      <c r="M134" s="76">
        <f>(H$27*$H$13+I134*$I$13+J134*$J$13+$D$27)*$C$27</f>
        <v>-4.3331185152793765E-2</v>
      </c>
      <c r="N134" s="77">
        <f>(H$27*$H$14+I134*$I$14+J134*$J$14+$E$27)*$C$27</f>
        <v>-1.8270615731918849E-2</v>
      </c>
      <c r="O134" s="76">
        <f>(H134*$H$13+I$27*$I$13+J134*$J$13+$D$27)*$C$27</f>
        <v>-0.29591592769867098</v>
      </c>
      <c r="P134" s="77">
        <f>(H134*$H$14+I$27*$I$14+J134*$J$14+$E$27)*$C$27</f>
        <v>-7.5725096804355435E-2</v>
      </c>
      <c r="Q134" s="76">
        <f>(H134*$H$13+I134*$I$13+J$27*$J$13+$D$27)*$C$27</f>
        <v>-0.15623441095924542</v>
      </c>
      <c r="R134" s="75">
        <f>(H134*$H$14+I134*$I$14+J$27*$J$14+$E$27)*$C$27</f>
        <v>-0.22960599330886894</v>
      </c>
    </row>
    <row r="135" spans="2:18">
      <c r="B135" s="81"/>
      <c r="C135">
        <v>8</v>
      </c>
      <c r="D135">
        <v>224</v>
      </c>
      <c r="E135">
        <v>1.850967</v>
      </c>
      <c r="F135" s="78"/>
      <c r="G135" s="75">
        <f>D$19*(L135-R135)</f>
        <v>0</v>
      </c>
      <c r="H135" s="76">
        <f>(C135-H$16)/H$17-0.5</f>
        <v>-0.27419354838709675</v>
      </c>
      <c r="I135" s="75">
        <f>(D135-I$16)/I$17-0.5</f>
        <v>-0.30645161290322581</v>
      </c>
      <c r="J135" s="75">
        <f>(E135-J$16)/J$17-0.5</f>
        <v>-0.35863160797276517</v>
      </c>
      <c r="K135" s="76">
        <f>(H135*$H$13+I135*$I$13+J135*$J$13+$D$27)*$C$27</f>
        <v>-0.12829810761136026</v>
      </c>
      <c r="L135" s="77">
        <f>(H135*$H$14+I135*$I$14+J135*$J$14+$E$27)*$C$27</f>
        <v>-0.11524189065015836</v>
      </c>
      <c r="M135" s="76">
        <f>(H$27*$H$13+I135*$I$13+J135*$J$13+$D$27)*$C$27</f>
        <v>-1.5394881804908599E-2</v>
      </c>
      <c r="N135" s="77">
        <f>(H$27*$H$14+I135*$I$14+J135*$J$14+$E$27)*$C$27</f>
        <v>-1.7464828932560517E-2</v>
      </c>
      <c r="O135" s="76">
        <f>(H135*$H$13+I$27*$I$13+J135*$J$13+$D$27)*$C$27</f>
        <v>-0.29591592769867098</v>
      </c>
      <c r="P135" s="77">
        <f>(H135*$H$14+I$27*$I$14+J135*$J$14+$E$27)*$C$27</f>
        <v>-6.6854793875964796E-2</v>
      </c>
      <c r="Q135" s="76">
        <f>(H135*$H$13+I135*$I$13+J$27*$J$13+$D$27)*$C$27</f>
        <v>-0.12829810761136026</v>
      </c>
      <c r="R135" s="75">
        <f>(H135*$H$14+I135*$I$14+J$27*$J$14+$E$27)*$C$27</f>
        <v>-0.23767050943790122</v>
      </c>
    </row>
    <row r="136" spans="2:18">
      <c r="B136" s="81"/>
      <c r="C136">
        <v>8</v>
      </c>
      <c r="D136">
        <v>256</v>
      </c>
      <c r="E136">
        <v>1.93781</v>
      </c>
      <c r="F136" s="78"/>
      <c r="G136" s="75">
        <f>D$19*(L136-R136)</f>
        <v>0</v>
      </c>
      <c r="H136" s="76">
        <f>(C136-H$16)/H$17-0.5</f>
        <v>-0.27419354838709675</v>
      </c>
      <c r="I136" s="75">
        <f>(D136-I$16)/I$17-0.5</f>
        <v>-0.27419354838709675</v>
      </c>
      <c r="J136" s="75">
        <f>(E136-J$16)/J$17-0.5</f>
        <v>-0.34813809393424788</v>
      </c>
      <c r="K136" s="76">
        <f>(H136*$H$13+I136*$I$13+J136*$J$13+$D$27)*$C$27</f>
        <v>-0.10036180426347512</v>
      </c>
      <c r="L136" s="77">
        <f>(H136*$H$14+I136*$I$14+J136*$J$14+$E$27)*$C$27</f>
        <v>-0.11421875704686602</v>
      </c>
      <c r="M136" s="76">
        <f>(H$27*$H$13+I136*$I$13+J136*$J$13+$D$27)*$C$27</f>
        <v>1.2541421542976534E-2</v>
      </c>
      <c r="N136" s="77">
        <f>(H$27*$H$14+I136*$I$14+J136*$J$14+$E$27)*$C$27</f>
        <v>-1.6441695329268147E-2</v>
      </c>
      <c r="O136" s="76">
        <f>(H136*$H$13+I$27*$I$13+J136*$J$13+$D$27)*$C$27</f>
        <v>-0.29591592769867098</v>
      </c>
      <c r="P136" s="77">
        <f>(H136*$H$14+I$27*$I$14+J136*$J$14+$E$27)*$C$27</f>
        <v>-5.7767144143640176E-2</v>
      </c>
      <c r="Q136" s="76">
        <f>(H136*$H$13+I136*$I$13+J$27*$J$13+$D$27)*$C$27</f>
        <v>-0.10036180426347513</v>
      </c>
      <c r="R136" s="75">
        <f>(H136*$H$14+I136*$I$14+J$27*$J$14+$E$27)*$C$27</f>
        <v>-0.2457350255669335</v>
      </c>
    </row>
    <row r="137" spans="2:18">
      <c r="B137" s="81"/>
      <c r="C137">
        <v>8</v>
      </c>
      <c r="D137">
        <v>288</v>
      </c>
      <c r="E137">
        <v>2.04711</v>
      </c>
      <c r="F137" s="78"/>
      <c r="G137" s="75">
        <f>D$19*(L137-R137)</f>
        <v>0</v>
      </c>
      <c r="H137" s="76">
        <f>(C137-H$16)/H$17-0.5</f>
        <v>-0.27419354838709675</v>
      </c>
      <c r="I137" s="75">
        <f>(D137-I$16)/I$17-0.5</f>
        <v>-0.24193548387096775</v>
      </c>
      <c r="J137" s="75">
        <f>(E137-J$16)/J$17-0.5</f>
        <v>-0.33493102964109894</v>
      </c>
      <c r="K137" s="76">
        <f>(H137*$H$13+I137*$I$13+J137*$J$13+$D$27)*$C$27</f>
        <v>-7.242550091559001E-2</v>
      </c>
      <c r="L137" s="77">
        <f>(H137*$H$14+I137*$I$14+J137*$J$14+$E$27)*$C$27</f>
        <v>-0.11084561998861692</v>
      </c>
      <c r="M137" s="76">
        <f>(H$27*$H$13+I137*$I$13+J137*$J$13+$D$27)*$C$27</f>
        <v>4.0477724890861641E-2</v>
      </c>
      <c r="N137" s="77">
        <f>(H$27*$H$14+I137*$I$14+J137*$J$14+$E$27)*$C$27</f>
        <v>-1.3068558271019048E-2</v>
      </c>
      <c r="O137" s="76">
        <f>(H137*$H$13+I$27*$I$13+J137*$J$13+$D$27)*$C$27</f>
        <v>-0.29591592769867098</v>
      </c>
      <c r="P137" s="77">
        <f>(H137*$H$14+I$27*$I$14+J137*$J$14+$E$27)*$C$27</f>
        <v>-4.6329490956358826E-2</v>
      </c>
      <c r="Q137" s="76">
        <f>(H137*$H$13+I137*$I$13+J$27*$J$13+$D$27)*$C$27</f>
        <v>-7.2425500915590024E-2</v>
      </c>
      <c r="R137" s="75">
        <f>(H137*$H$14+I137*$I$14+J$27*$J$14+$E$27)*$C$27</f>
        <v>-0.25379954169596575</v>
      </c>
    </row>
    <row r="138" spans="2:18">
      <c r="B138" s="81"/>
      <c r="C138">
        <v>8</v>
      </c>
      <c r="D138">
        <v>320</v>
      </c>
      <c r="E138">
        <v>2.1489549999999999</v>
      </c>
      <c r="F138" s="78"/>
      <c r="G138" s="75">
        <f>D$19*(L138-R138)</f>
        <v>0</v>
      </c>
      <c r="H138" s="76">
        <f>(C138-H$16)/H$17-0.5</f>
        <v>-0.27419354838709675</v>
      </c>
      <c r="I138" s="75">
        <f>(D138-I$16)/I$17-0.5</f>
        <v>-0.20967741935483869</v>
      </c>
      <c r="J138" s="75">
        <f>(E138-J$16)/J$17-0.5</f>
        <v>-0.32262477654928046</v>
      </c>
      <c r="K138" s="76">
        <f>(H138*$H$13+I138*$I$13+J138*$J$13+$D$27)*$C$27</f>
        <v>-4.4489197567704877E-2</v>
      </c>
      <c r="L138" s="77">
        <f>(H138*$H$14+I138*$I$14+J138*$J$14+$E$27)*$C$27</f>
        <v>-0.10825260831473354</v>
      </c>
      <c r="M138" s="76">
        <f>(H$27*$H$13+I138*$I$13+J138*$J$13+$D$27)*$C$27</f>
        <v>6.8414028238746774E-2</v>
      </c>
      <c r="N138" s="77">
        <f>(H$27*$H$14+I138*$I$14+J138*$J$14+$E$27)*$C$27</f>
        <v>-1.0475546597135676E-2</v>
      </c>
      <c r="O138" s="76">
        <f>(H138*$H$13+I$27*$I$13+J138*$J$13+$D$27)*$C$27</f>
        <v>-0.29591592769867098</v>
      </c>
      <c r="P138" s="77">
        <f>(H138*$H$14+I$27*$I$14+J138*$J$14+$E$27)*$C$27</f>
        <v>-3.5671963153443204E-2</v>
      </c>
      <c r="Q138" s="76">
        <f>(H138*$H$13+I138*$I$13+J$27*$J$13+$D$27)*$C$27</f>
        <v>-4.4489197567704898E-2</v>
      </c>
      <c r="R138" s="75">
        <f>(H138*$H$14+I138*$I$14+J$27*$J$14+$E$27)*$C$27</f>
        <v>-0.261864057824998</v>
      </c>
    </row>
    <row r="139" spans="2:18">
      <c r="B139" s="81"/>
      <c r="C139">
        <v>8</v>
      </c>
      <c r="D139">
        <v>352</v>
      </c>
      <c r="E139">
        <v>2.2570800000000002</v>
      </c>
      <c r="F139" s="78"/>
      <c r="G139" s="75">
        <f>D$19*(L139-R139)</f>
        <v>0</v>
      </c>
      <c r="H139" s="76">
        <f>(C139-H$16)/H$17-0.5</f>
        <v>-0.27419354838709675</v>
      </c>
      <c r="I139" s="75">
        <f>(D139-I$16)/I$17-0.5</f>
        <v>-0.17741935483870969</v>
      </c>
      <c r="J139" s="75">
        <f>(E139-J$16)/J$17-0.5</f>
        <v>-0.30955969121811178</v>
      </c>
      <c r="K139" s="76">
        <f>(H139*$H$13+I139*$I$13+J139*$J$13+$D$27)*$C$27</f>
        <v>-1.6552894219819769E-2</v>
      </c>
      <c r="L139" s="77">
        <f>(H139*$H$14+I139*$I$14+J139*$J$14+$E$27)*$C$27</f>
        <v>-0.10500242864436232</v>
      </c>
      <c r="M139" s="76">
        <f>(H$27*$H$13+I139*$I$13+J139*$J$13+$D$27)*$C$27</f>
        <v>9.6350331586631879E-2</v>
      </c>
      <c r="N139" s="77">
        <f>(H$27*$H$14+I139*$I$14+J139*$J$14+$E$27)*$C$27</f>
        <v>-7.2253669267644538E-3</v>
      </c>
      <c r="O139" s="76">
        <f>(H139*$H$13+I$27*$I$13+J139*$J$13+$D$27)*$C$27</f>
        <v>-0.29591592769867098</v>
      </c>
      <c r="P139" s="77">
        <f>(H139*$H$14+I$27*$I$14+J139*$J$14+$E$27)*$C$27</f>
        <v>-2.435726735403973E-2</v>
      </c>
      <c r="Q139" s="76">
        <f>(H139*$H$13+I139*$I$13+J$27*$J$13+$D$27)*$C$27</f>
        <v>-1.6552894219819793E-2</v>
      </c>
      <c r="R139" s="75">
        <f>(H139*$H$14+I139*$I$14+J$27*$J$14+$E$27)*$C$27</f>
        <v>-0.26992857395403025</v>
      </c>
    </row>
    <row r="140" spans="2:18">
      <c r="B140" s="81"/>
      <c r="C140">
        <v>8</v>
      </c>
      <c r="D140">
        <v>384</v>
      </c>
      <c r="E140">
        <v>2.3890310000000001</v>
      </c>
      <c r="F140" s="78"/>
      <c r="G140" s="75">
        <f>D$19*(L140-R140)</f>
        <v>0</v>
      </c>
      <c r="H140" s="76">
        <f>(C140-H$16)/H$17-0.5</f>
        <v>-0.27419354838709675</v>
      </c>
      <c r="I140" s="75">
        <f>(D140-I$16)/I$17-0.5</f>
        <v>-0.14516129032258063</v>
      </c>
      <c r="J140" s="75">
        <f>(E140-J$16)/J$17-0.5</f>
        <v>-0.29361563503745947</v>
      </c>
      <c r="K140" s="76">
        <f>(H140*$H$13+I140*$I$13+J140*$J$13+$D$27)*$C$27</f>
        <v>1.1383409128065366E-2</v>
      </c>
      <c r="L140" s="77">
        <f>(H140*$H$14+I140*$I$14+J140*$J$14+$E$27)*$C$27</f>
        <v>-9.92589870815834E-2</v>
      </c>
      <c r="M140" s="76">
        <f>(H$27*$H$13+I140*$I$13+J140*$J$13+$D$27)*$C$27</f>
        <v>0.12428663493451701</v>
      </c>
      <c r="N140" s="77">
        <f>(H$27*$H$14+I140*$I$14+J140*$J$14+$E$27)*$C$27</f>
        <v>-1.4819253639855035E-3</v>
      </c>
      <c r="O140" s="76">
        <f>(H140*$H$13+I$27*$I$13+J140*$J$13+$D$27)*$C$27</f>
        <v>-0.29591592769867098</v>
      </c>
      <c r="P140" s="77">
        <f>(H140*$H$14+I$27*$I$14+J140*$J$14+$E$27)*$C$27</f>
        <v>-1.0549309662228529E-2</v>
      </c>
      <c r="Q140" s="76">
        <f>(H140*$H$13+I140*$I$13+J$27*$J$13+$D$27)*$C$27</f>
        <v>1.1383409128065342E-2</v>
      </c>
      <c r="R140" s="75">
        <f>(H140*$H$14+I140*$I$14+J$27*$J$14+$E$27)*$C$27</f>
        <v>-0.2779930900830625</v>
      </c>
    </row>
    <row r="141" spans="2:18">
      <c r="B141" s="81"/>
      <c r="C141">
        <v>8</v>
      </c>
      <c r="D141">
        <v>416</v>
      </c>
      <c r="E141">
        <v>2.5158239999999998</v>
      </c>
      <c r="F141" s="78"/>
      <c r="G141" s="75">
        <f>D$19*(L141-R141)</f>
        <v>0</v>
      </c>
      <c r="H141" s="76">
        <f>(C141-H$16)/H$17-0.5</f>
        <v>-0.27419354838709675</v>
      </c>
      <c r="I141" s="75">
        <f>(D141-I$16)/I$17-0.5</f>
        <v>-0.11290322580645162</v>
      </c>
      <c r="J141" s="75">
        <f>(E141-J$16)/J$17-0.5</f>
        <v>-0.278294836291611</v>
      </c>
      <c r="K141" s="76">
        <f>(H141*$H$13+I141*$I$13+J141*$J$13+$D$27)*$C$27</f>
        <v>3.9319712475950459E-2</v>
      </c>
      <c r="L141" s="77">
        <f>(H141*$H$14+I141*$I$14+J141*$J$14+$E$27)*$C$27</f>
        <v>-9.4055302290442122E-2</v>
      </c>
      <c r="M141" s="76">
        <f>(H$27*$H$13+I141*$I$13+J141*$J$13+$D$27)*$C$27</f>
        <v>0.1522229382824021</v>
      </c>
      <c r="N141" s="77">
        <f>(H$27*$H$14+I141*$I$14+J141*$J$14+$E$27)*$C$27</f>
        <v>3.7217594271557464E-3</v>
      </c>
      <c r="O141" s="76">
        <f>(H141*$H$13+I$27*$I$13+J141*$J$13+$D$27)*$C$27</f>
        <v>-0.29591592769867098</v>
      </c>
      <c r="P141" s="77">
        <f>(H141*$H$14+I$27*$I$14+J141*$J$14+$E$27)*$C$27</f>
        <v>2.7188912579449998E-3</v>
      </c>
      <c r="Q141" s="76">
        <f>(H141*$H$13+I141*$I$13+J$27*$J$13+$D$27)*$C$27</f>
        <v>3.9319712475950432E-2</v>
      </c>
      <c r="R141" s="75">
        <f>(H141*$H$14+I141*$I$14+J$27*$J$14+$E$27)*$C$27</f>
        <v>-0.28605760621209475</v>
      </c>
    </row>
    <row r="142" spans="2:18">
      <c r="B142" s="81"/>
      <c r="C142">
        <v>8</v>
      </c>
      <c r="D142">
        <v>448</v>
      </c>
      <c r="E142">
        <v>2.6595770000000001</v>
      </c>
      <c r="F142" s="78"/>
      <c r="G142" s="75">
        <f>D$19*(L142-R142)</f>
        <v>0</v>
      </c>
      <c r="H142" s="76">
        <f>(C142-H$16)/H$17-0.5</f>
        <v>-0.27419354838709675</v>
      </c>
      <c r="I142" s="75">
        <f>(D142-I$16)/I$17-0.5</f>
        <v>-8.0645161290322565E-2</v>
      </c>
      <c r="J142" s="75">
        <f>(E142-J$16)/J$17-0.5</f>
        <v>-0.26092470716688049</v>
      </c>
      <c r="K142" s="76">
        <f>(H142*$H$13+I142*$I$13+J142*$J$13+$D$27)*$C$27</f>
        <v>6.7256015823835599E-2</v>
      </c>
      <c r="L142" s="77">
        <f>(H142*$H$14+I142*$I$14+J142*$J$14+$E$27)*$C$27</f>
        <v>-8.7076845330441771E-2</v>
      </c>
      <c r="M142" s="76">
        <f>(H$27*$H$13+I142*$I$13+J142*$J$13+$D$27)*$C$27</f>
        <v>0.18015924163028726</v>
      </c>
      <c r="N142" s="77">
        <f>(H$27*$H$14+I142*$I$14+J142*$J$14+$E$27)*$C$27</f>
        <v>1.0700216387156097E-2</v>
      </c>
      <c r="O142" s="76">
        <f>(H142*$H$13+I$27*$I$13+J142*$J$13+$D$27)*$C$27</f>
        <v>-0.29591592769867098</v>
      </c>
      <c r="P142" s="77">
        <f>(H142*$H$14+I$27*$I$14+J142*$J$14+$E$27)*$C$27</f>
        <v>1.7761864346977602E-2</v>
      </c>
      <c r="Q142" s="76">
        <f>(H142*$H$13+I142*$I$13+J$27*$J$13+$D$27)*$C$27</f>
        <v>6.7256015823835572E-2</v>
      </c>
      <c r="R142" s="75">
        <f>(H142*$H$14+I142*$I$14+J$27*$J$14+$E$27)*$C$27</f>
        <v>-0.294122122341127</v>
      </c>
    </row>
    <row r="143" spans="2:18">
      <c r="B143" s="81"/>
      <c r="C143">
        <v>8</v>
      </c>
      <c r="D143">
        <v>480</v>
      </c>
      <c r="E143">
        <v>2.8047949999999999</v>
      </c>
      <c r="F143" s="78"/>
      <c r="G143" s="75">
        <f>D$19*(L143-R143)</f>
        <v>0</v>
      </c>
      <c r="H143" s="76">
        <f>(C143-H$16)/H$17-0.5</f>
        <v>-0.27419354838709675</v>
      </c>
      <c r="I143" s="75">
        <f>(D143-I$16)/I$17-0.5</f>
        <v>-4.8387096774193561E-2</v>
      </c>
      <c r="J143" s="75">
        <f>(E143-J$16)/J$17-0.5</f>
        <v>-0.24337755746402129</v>
      </c>
      <c r="K143" s="76">
        <f>(H143*$H$13+I143*$I$13+J143*$J$13+$D$27)*$C$27</f>
        <v>9.5192319171720691E-2</v>
      </c>
      <c r="L143" s="77">
        <f>(H143*$H$14+I143*$I$14+J143*$J$14+$E$27)*$C$27</f>
        <v>-7.9945084052789384E-2</v>
      </c>
      <c r="M143" s="76">
        <f>(H$27*$H$13+I143*$I$13+J143*$J$13+$D$27)*$C$27</f>
        <v>0.20809554497817234</v>
      </c>
      <c r="N143" s="77">
        <f>(H$27*$H$14+I143*$I$14+J143*$J$14+$E$27)*$C$27</f>
        <v>1.7831977664808485E-2</v>
      </c>
      <c r="O143" s="76">
        <f>(H143*$H$13+I$27*$I$13+J143*$J$13+$D$27)*$C$27</f>
        <v>-0.29591592769867098</v>
      </c>
      <c r="P143" s="77">
        <f>(H143*$H$14+I$27*$I$14+J143*$J$14+$E$27)*$C$27</f>
        <v>3.295814175366224E-2</v>
      </c>
      <c r="Q143" s="76">
        <f>(H143*$H$13+I143*$I$13+J$27*$J$13+$D$27)*$C$27</f>
        <v>9.5192319171720663E-2</v>
      </c>
      <c r="R143" s="75">
        <f>(H143*$H$14+I143*$I$14+J$27*$J$14+$E$27)*$C$27</f>
        <v>-0.30218663847015925</v>
      </c>
    </row>
    <row r="144" spans="2:18">
      <c r="B144" s="81"/>
      <c r="C144">
        <v>8</v>
      </c>
      <c r="D144">
        <v>512</v>
      </c>
      <c r="E144">
        <v>2.9482080000000002</v>
      </c>
      <c r="F144" s="78"/>
      <c r="G144" s="75">
        <f>D$19*(L144-R144)</f>
        <v>0</v>
      </c>
      <c r="H144" s="76">
        <f>(C144-H$16)/H$17-0.5</f>
        <v>-0.27419354838709675</v>
      </c>
      <c r="I144" s="75">
        <f>(D144-I$16)/I$17-0.5</f>
        <v>-1.6129032258064502E-2</v>
      </c>
      <c r="J144" s="75">
        <f>(E144-J$16)/J$17-0.5</f>
        <v>-0.22604851161339573</v>
      </c>
      <c r="K144" s="76">
        <f>(H144*$H$13+I144*$I$13+J144*$J$13+$D$27)*$C$27</f>
        <v>0.12312862251960582</v>
      </c>
      <c r="L144" s="77">
        <f>(H144*$H$14+I144*$I$14+J144*$J$14+$E$27)*$C$27</f>
        <v>-7.3002206251834623E-2</v>
      </c>
      <c r="M144" s="76">
        <f>(H$27*$H$13+I144*$I$13+J144*$J$13+$D$27)*$C$27</f>
        <v>0.23603184832605748</v>
      </c>
      <c r="N144" s="77">
        <f>(H$27*$H$14+I144*$I$14+J144*$J$14+$E$27)*$C$27</f>
        <v>2.4774855465763246E-2</v>
      </c>
      <c r="O144" s="76">
        <f>(H144*$H$13+I$27*$I$13+J144*$J$13+$D$27)*$C$27</f>
        <v>-0.29591592769867092</v>
      </c>
      <c r="P144" s="77">
        <f>(H144*$H$14+I$27*$I$14+J144*$J$14+$E$27)*$C$27</f>
        <v>4.796553568364928E-2</v>
      </c>
      <c r="Q144" s="76">
        <f>(H144*$H$13+I144*$I$13+J$27*$J$13+$D$27)*$C$27</f>
        <v>0.1231286225196058</v>
      </c>
      <c r="R144" s="75">
        <f>(H144*$H$14+I144*$I$14+J$27*$J$14+$E$27)*$C$27</f>
        <v>-0.31025115459919156</v>
      </c>
    </row>
    <row r="145" spans="2:18">
      <c r="B145" s="81"/>
      <c r="C145">
        <v>8</v>
      </c>
      <c r="D145">
        <v>544</v>
      </c>
      <c r="E145">
        <v>3.1073970000000002</v>
      </c>
      <c r="F145" s="78"/>
      <c r="G145" s="75">
        <f>D$19*(L145-R145)</f>
        <v>0</v>
      </c>
      <c r="H145" s="76">
        <f>(C145-H$16)/H$17-0.5</f>
        <v>-0.27419354838709675</v>
      </c>
      <c r="I145" s="75">
        <f>(D145-I$16)/I$17-0.5</f>
        <v>1.6129032258064502E-2</v>
      </c>
      <c r="J145" s="75">
        <f>(E145-J$16)/J$17-0.5</f>
        <v>-0.20681320184430063</v>
      </c>
      <c r="K145" s="76">
        <f>(H145*$H$13+I145*$I$13+J145*$J$13+$D$27)*$C$27</f>
        <v>0.15106492586749093</v>
      </c>
      <c r="L145" s="77">
        <f>(H145*$H$14+I145*$I$14+J145*$J$14+$E$27)*$C$27</f>
        <v>-6.4408455471167525E-2</v>
      </c>
      <c r="M145" s="76">
        <f>(H$27*$H$13+I145*$I$13+J145*$J$13+$D$27)*$C$27</f>
        <v>0.26396815167394261</v>
      </c>
      <c r="N145" s="77">
        <f>(H$27*$H$14+I145*$I$14+J145*$J$14+$E$27)*$C$27</f>
        <v>3.3368606246430343E-2</v>
      </c>
      <c r="O145" s="76">
        <f>(H145*$H$13+I$27*$I$13+J145*$J$13+$D$27)*$C$27</f>
        <v>-0.29591592769867092</v>
      </c>
      <c r="P145" s="77">
        <f>(H145*$H$14+I$27*$I$14+J145*$J$14+$E$27)*$C$27</f>
        <v>6.4623802593348628E-2</v>
      </c>
      <c r="Q145" s="76">
        <f>(H145*$H$13+I145*$I$13+J$27*$J$13+$D$27)*$C$27</f>
        <v>0.1510649258674909</v>
      </c>
      <c r="R145" s="75">
        <f>(H145*$H$14+I145*$I$14+J$27*$J$14+$E$27)*$C$27</f>
        <v>-0.31831567072822381</v>
      </c>
    </row>
    <row r="146" spans="2:18">
      <c r="B146" s="81"/>
      <c r="C146">
        <v>8</v>
      </c>
      <c r="D146">
        <v>576</v>
      </c>
      <c r="E146">
        <v>3.2970190000000001</v>
      </c>
      <c r="F146" s="78"/>
      <c r="G146" s="75">
        <f>D$19*(L146-R146)</f>
        <v>0</v>
      </c>
      <c r="H146" s="76">
        <f>(C146-H$16)/H$17-0.5</f>
        <v>-0.27419354838709675</v>
      </c>
      <c r="I146" s="75">
        <f>(D146-I$16)/I$17-0.5</f>
        <v>4.8387096774193505E-2</v>
      </c>
      <c r="J146" s="75">
        <f>(E146-J$16)/J$17-0.5</f>
        <v>-0.18390057654333541</v>
      </c>
      <c r="K146" s="76">
        <f>(H146*$H$13+I146*$I$13+J146*$J$13+$D$27)*$C$27</f>
        <v>0.17900122921537601</v>
      </c>
      <c r="L146" s="77">
        <f>(H146*$H$14+I146*$I$14+J146*$J$14+$E$27)*$C$27</f>
        <v>-5.263005602216983E-2</v>
      </c>
      <c r="M146" s="76">
        <f>(H$27*$H$13+I146*$I$13+J146*$J$13+$D$27)*$C$27</f>
        <v>0.29190445502182771</v>
      </c>
      <c r="N146" s="77">
        <f>(H$27*$H$14+I146*$I$14+J146*$J$14+$E$27)*$C$27</f>
        <v>4.5147005695428039E-2</v>
      </c>
      <c r="O146" s="76">
        <f>(H146*$H$13+I$27*$I$13+J146*$J$13+$D$27)*$C$27</f>
        <v>-0.29591592769867092</v>
      </c>
      <c r="P146" s="77">
        <f>(H146*$H$14+I$27*$I$14+J146*$J$14+$E$27)*$C$27</f>
        <v>8.4466718171378574E-2</v>
      </c>
      <c r="Q146" s="76">
        <f>(H146*$H$13+I146*$I$13+J$27*$J$13+$D$27)*$C$27</f>
        <v>0.17900122921537598</v>
      </c>
      <c r="R146" s="75">
        <f>(H146*$H$14+I146*$I$14+J$27*$J$14+$E$27)*$C$27</f>
        <v>-0.32638018685725606</v>
      </c>
    </row>
    <row r="147" spans="2:18">
      <c r="B147" s="81"/>
      <c r="C147">
        <v>8</v>
      </c>
      <c r="D147">
        <v>608</v>
      </c>
      <c r="E147">
        <v>3.442469</v>
      </c>
      <c r="F147" s="78"/>
      <c r="G147" s="75">
        <f>D$19*(L147-R147)</f>
        <v>0</v>
      </c>
      <c r="H147" s="76">
        <f>(C147-H$16)/H$17-0.5</f>
        <v>-0.27419354838709675</v>
      </c>
      <c r="I147" s="75">
        <f>(D147-I$16)/I$17-0.5</f>
        <v>8.064516129032262E-2</v>
      </c>
      <c r="J147" s="75">
        <f>(E147-J$16)/J$17-0.5</f>
        <v>-0.16632539354755765</v>
      </c>
      <c r="K147" s="76">
        <f>(H147*$H$13+I147*$I$13+J147*$J$13+$D$27)*$C$27</f>
        <v>0.2069375325632612</v>
      </c>
      <c r="L147" s="77">
        <f>(H147*$H$14+I147*$I$14+J147*$J$14+$E$27)*$C$27</f>
        <v>-4.5474017200698269E-2</v>
      </c>
      <c r="M147" s="76">
        <f>(H$27*$H$13+I147*$I$13+J147*$J$13+$D$27)*$C$27</f>
        <v>0.31984075836971287</v>
      </c>
      <c r="N147" s="77">
        <f>(H$27*$H$14+I147*$I$14+J147*$J$14+$E$27)*$C$27</f>
        <v>5.2303044516899599E-2</v>
      </c>
      <c r="O147" s="76">
        <f>(H147*$H$13+I$27*$I$13+J147*$J$13+$D$27)*$C$27</f>
        <v>-0.29591592769867092</v>
      </c>
      <c r="P147" s="77">
        <f>(H147*$H$14+I$27*$I$14+J147*$J$14+$E$27)*$C$27</f>
        <v>9.9687273121882414E-2</v>
      </c>
      <c r="Q147" s="76">
        <f>(H147*$H$13+I147*$I$13+J$27*$J$13+$D$27)*$C$27</f>
        <v>0.20693753256326117</v>
      </c>
      <c r="R147" s="75">
        <f>(H147*$H$14+I147*$I$14+J$27*$J$14+$E$27)*$C$27</f>
        <v>-0.33444470298628837</v>
      </c>
    </row>
    <row r="148" spans="2:18">
      <c r="B148" s="81"/>
      <c r="C148">
        <v>8</v>
      </c>
      <c r="D148">
        <v>640</v>
      </c>
      <c r="E148">
        <v>3.6422439999999998</v>
      </c>
      <c r="F148" s="78"/>
      <c r="G148" s="75">
        <f>D$19*(L148-R148)</f>
        <v>0</v>
      </c>
      <c r="H148" s="76">
        <f>(C148-H$16)/H$17-0.5</f>
        <v>-0.27419354838709675</v>
      </c>
      <c r="I148" s="75">
        <f>(D148-I$16)/I$17-0.5</f>
        <v>0.11290322580645162</v>
      </c>
      <c r="J148" s="75">
        <f>(E148-J$16)/J$17-0.5</f>
        <v>-0.14218594918192329</v>
      </c>
      <c r="K148" s="76">
        <f>(H148*$H$13+I148*$I$13+J148*$J$13+$D$27)*$C$27</f>
        <v>0.23487383591114627</v>
      </c>
      <c r="L148" s="77">
        <f>(H148*$H$14+I148*$I$14+J148*$J$14+$E$27)*$C$27</f>
        <v>-3.2633161275850031E-2</v>
      </c>
      <c r="M148" s="76">
        <f>(H$27*$H$13+I148*$I$13+J148*$J$13+$D$27)*$C$27</f>
        <v>0.34777706171759798</v>
      </c>
      <c r="N148" s="77">
        <f>(H$27*$H$14+I148*$I$14+J148*$J$14+$E$27)*$C$27</f>
        <v>6.5143900441747837E-2</v>
      </c>
      <c r="O148" s="76">
        <f>(H148*$H$13+I$27*$I$13+J148*$J$13+$D$27)*$C$27</f>
        <v>-0.29591592769867092</v>
      </c>
      <c r="P148" s="77">
        <f>(H148*$H$14+I$27*$I$14+J148*$J$14+$E$27)*$C$27</f>
        <v>0.1205926451757629</v>
      </c>
      <c r="Q148" s="76">
        <f>(H148*$H$13+I148*$I$13+J$27*$J$13+$D$27)*$C$27</f>
        <v>0.23487383591114624</v>
      </c>
      <c r="R148" s="75">
        <f>(H148*$H$14+I148*$I$14+J$27*$J$14+$E$27)*$C$27</f>
        <v>-0.34250921911532062</v>
      </c>
    </row>
    <row r="149" spans="2:18">
      <c r="B149" s="81"/>
      <c r="C149">
        <v>8</v>
      </c>
      <c r="D149">
        <v>672</v>
      </c>
      <c r="E149">
        <v>3.8679770000000002</v>
      </c>
      <c r="F149" s="78"/>
      <c r="G149" s="75">
        <f>D$19*(L149-R149)</f>
        <v>0</v>
      </c>
      <c r="H149" s="76">
        <f>(C149-H$16)/H$17-0.5</f>
        <v>-0.27419354838709675</v>
      </c>
      <c r="I149" s="75">
        <f>(D149-I$16)/I$17-0.5</f>
        <v>0.14516129032258063</v>
      </c>
      <c r="J149" s="75">
        <f>(E149-J$16)/J$17-0.5</f>
        <v>-0.1149099176715353</v>
      </c>
      <c r="K149" s="76">
        <f>(H149*$H$13+I149*$I$13+J149*$J$13+$D$27)*$C$27</f>
        <v>0.26281013925903141</v>
      </c>
      <c r="L149" s="77">
        <f>(H149*$H$14+I149*$I$14+J149*$J$14+$E$27)*$C$27</f>
        <v>-1.7075941202461448E-2</v>
      </c>
      <c r="M149" s="76">
        <f>(H$27*$H$13+I149*$I$13+J149*$J$13+$D$27)*$C$27</f>
        <v>0.37571336506548303</v>
      </c>
      <c r="N149" s="77">
        <f>(H$27*$H$14+I149*$I$14+J149*$J$14+$E$27)*$C$27</f>
        <v>8.0701120515136421E-2</v>
      </c>
      <c r="O149" s="76">
        <f>(H149*$H$13+I$27*$I$13+J149*$J$13+$D$27)*$C$27</f>
        <v>-0.29591592769867092</v>
      </c>
      <c r="P149" s="77">
        <f>(H149*$H$14+I$27*$I$14+J149*$J$14+$E$27)*$C$27</f>
        <v>0.14421438137818374</v>
      </c>
      <c r="Q149" s="76">
        <f>(H149*$H$13+I149*$I$13+J$27*$J$13+$D$27)*$C$27</f>
        <v>0.26281013925903135</v>
      </c>
      <c r="R149" s="75">
        <f>(H149*$H$14+I149*$I$14+J$27*$J$14+$E$27)*$C$27</f>
        <v>-0.35057373524435287</v>
      </c>
    </row>
    <row r="150" spans="2:18">
      <c r="B150" s="81"/>
      <c r="C150">
        <v>8</v>
      </c>
      <c r="D150">
        <v>704</v>
      </c>
      <c r="E150">
        <v>4.0473119999999998</v>
      </c>
      <c r="F150" s="78"/>
      <c r="G150" s="75">
        <f>D$19*(L150-R150)</f>
        <v>0</v>
      </c>
      <c r="H150" s="76">
        <f>(C150-H$16)/H$17-0.5</f>
        <v>-0.27419354838709675</v>
      </c>
      <c r="I150" s="75">
        <f>(D150-I$16)/I$17-0.5</f>
        <v>0.17741935483870963</v>
      </c>
      <c r="J150" s="75">
        <f>(E150-J$16)/J$17-0.5</f>
        <v>-9.3240303078563125E-2</v>
      </c>
      <c r="K150" s="76">
        <f>(H150*$H$13+I150*$I$13+J150*$J$13+$D$27)*$C$27</f>
        <v>0.29074644260691651</v>
      </c>
      <c r="L150" s="77">
        <f>(H150*$H$14+I150*$I$14+J150*$J$14+$E$27)*$C$27</f>
        <v>-6.3740206037618125E-3</v>
      </c>
      <c r="M150" s="76">
        <f>(H$27*$H$13+I150*$I$13+J150*$J$13+$D$27)*$C$27</f>
        <v>0.40364966841336813</v>
      </c>
      <c r="N150" s="77">
        <f>(H$27*$H$14+I150*$I$14+J150*$J$14+$E$27)*$C$27</f>
        <v>9.1403041113836056E-2</v>
      </c>
      <c r="O150" s="76">
        <f>(H150*$H$13+I$27*$I$13+J150*$J$13+$D$27)*$C$27</f>
        <v>-0.29591592769867092</v>
      </c>
      <c r="P150" s="77">
        <f>(H150*$H$14+I$27*$I$14+J150*$J$14+$E$27)*$C$27</f>
        <v>0.16298081810591564</v>
      </c>
      <c r="Q150" s="76">
        <f>(H150*$H$13+I150*$I$13+J$27*$J$13+$D$27)*$C$27</f>
        <v>0.29074644260691646</v>
      </c>
      <c r="R150" s="75">
        <f>(H150*$H$14+I150*$I$14+J$27*$J$14+$E$27)*$C$27</f>
        <v>-0.35863825137338512</v>
      </c>
    </row>
    <row r="151" spans="2:18">
      <c r="B151" s="81"/>
      <c r="C151">
        <v>8</v>
      </c>
      <c r="D151">
        <v>736</v>
      </c>
      <c r="E151">
        <v>4.277018</v>
      </c>
      <c r="F151" s="78"/>
      <c r="G151" s="75">
        <f>D$19*(L151-R151)</f>
        <v>0</v>
      </c>
      <c r="H151" s="76">
        <f>(C151-H$16)/H$17-0.5</f>
        <v>-0.27419354838709675</v>
      </c>
      <c r="I151" s="75">
        <f>(D151-I$16)/I$17-0.5</f>
        <v>0.20967741935483875</v>
      </c>
      <c r="J151" s="75">
        <f>(E151-J$16)/J$17-0.5</f>
        <v>-6.5484201426942945E-2</v>
      </c>
      <c r="K151" s="76">
        <f>(H151*$H$13+I151*$I$13+J151*$J$13+$D$27)*$C$27</f>
        <v>0.31868274595480173</v>
      </c>
      <c r="L151" s="77">
        <f>(H151*$H$14+I151*$I$14+J151*$J$14+$E$27)*$C$27</f>
        <v>9.5989524075321894E-3</v>
      </c>
      <c r="M151" s="76">
        <f>(H$27*$H$13+I151*$I$13+J151*$J$13+$D$27)*$C$27</f>
        <v>0.43158597176125335</v>
      </c>
      <c r="N151" s="77">
        <f>(H$27*$H$14+I151*$I$14+J151*$J$14+$E$27)*$C$27</f>
        <v>0.10737601412513006</v>
      </c>
      <c r="O151" s="76">
        <f>(H151*$H$13+I$27*$I$13+J151*$J$13+$D$27)*$C$27</f>
        <v>-0.29591592769867092</v>
      </c>
      <c r="P151" s="77">
        <f>(H151*$H$14+I$27*$I$14+J151*$J$14+$E$27)*$C$27</f>
        <v>0.18701830724624191</v>
      </c>
      <c r="Q151" s="76">
        <f>(H151*$H$13+I151*$I$13+J$27*$J$13+$D$27)*$C$27</f>
        <v>0.31868274595480167</v>
      </c>
      <c r="R151" s="75">
        <f>(H151*$H$14+I151*$I$14+J$27*$J$14+$E$27)*$C$27</f>
        <v>-0.36670276750241737</v>
      </c>
    </row>
    <row r="152" spans="2:18">
      <c r="B152" s="81"/>
      <c r="C152">
        <v>8</v>
      </c>
      <c r="D152">
        <v>768</v>
      </c>
      <c r="E152">
        <v>4.4639059999999997</v>
      </c>
      <c r="F152" s="78"/>
      <c r="G152" s="75">
        <f>D$19*(L152-R152)</f>
        <v>0</v>
      </c>
      <c r="H152" s="76">
        <f>(C152-H$16)/H$17-0.5</f>
        <v>-0.27419354838709675</v>
      </c>
      <c r="I152" s="75">
        <f>(D152-I$16)/I$17-0.5</f>
        <v>0.24193548387096775</v>
      </c>
      <c r="J152" s="75">
        <f>(E152-J$16)/J$17-0.5</f>
        <v>-4.2901933983045204E-2</v>
      </c>
      <c r="K152" s="76">
        <f>(H152*$H$13+I152*$I$13+J152*$J$13+$D$27)*$C$27</f>
        <v>0.34661904930268678</v>
      </c>
      <c r="L152" s="77">
        <f>(H152*$H$14+I152*$I$14+J152*$J$14+$E$27)*$C$27</f>
        <v>2.1091253559969665E-2</v>
      </c>
      <c r="M152" s="76">
        <f>(H$27*$H$13+I152*$I$13+J152*$J$13+$D$27)*$C$27</f>
        <v>0.45952227510913846</v>
      </c>
      <c r="N152" s="77">
        <f>(H$27*$H$14+I152*$I$14+J152*$J$14+$E$27)*$C$27</f>
        <v>0.11886831527756755</v>
      </c>
      <c r="O152" s="76">
        <f>(H152*$H$13+I$27*$I$13+J152*$J$13+$D$27)*$C$27</f>
        <v>-0.29591592769867092</v>
      </c>
      <c r="P152" s="77">
        <f>(H152*$H$14+I$27*$I$14+J152*$J$14+$E$27)*$C$27</f>
        <v>0.20657512452771165</v>
      </c>
      <c r="Q152" s="76">
        <f>(H152*$H$13+I152*$I$13+J$27*$J$13+$D$27)*$C$27</f>
        <v>0.34661904930268672</v>
      </c>
      <c r="R152" s="75">
        <f>(H152*$H$14+I152*$I$14+J$27*$J$14+$E$27)*$C$27</f>
        <v>-0.37476728363144962</v>
      </c>
    </row>
    <row r="153" spans="2:18">
      <c r="B153" s="81"/>
      <c r="C153">
        <v>8</v>
      </c>
      <c r="D153">
        <v>800</v>
      </c>
      <c r="E153">
        <v>4.7045880000000002</v>
      </c>
      <c r="F153" s="78"/>
      <c r="G153" s="75">
        <f>D$19*(L153-R153)</f>
        <v>0</v>
      </c>
      <c r="H153" s="76">
        <f>(C153-H$16)/H$17-0.5</f>
        <v>-0.27419354838709675</v>
      </c>
      <c r="I153" s="75">
        <f>(D153-I$16)/I$17-0.5</f>
        <v>0.27419354838709675</v>
      </c>
      <c r="J153" s="75">
        <f>(E153-J$16)/J$17-0.5</f>
        <v>-1.3819567576790093E-2</v>
      </c>
      <c r="K153" s="76">
        <f>(H153*$H$13+I153*$I$13+J153*$J$13+$D$27)*$C$27</f>
        <v>0.37455535265057188</v>
      </c>
      <c r="L153" s="77">
        <f>(H153*$H$14+I153*$I$14+J153*$J$14+$E$27)*$C$27</f>
        <v>3.8212805540921491E-2</v>
      </c>
      <c r="M153" s="76">
        <f>(H$27*$H$13+I153*$I$13+J153*$J$13+$D$27)*$C$27</f>
        <v>0.48745857845702356</v>
      </c>
      <c r="N153" s="77">
        <f>(H$27*$H$14+I153*$I$14+J153*$J$14+$E$27)*$C$27</f>
        <v>0.13598986725851936</v>
      </c>
      <c r="O153" s="76">
        <f>(H153*$H$13+I$27*$I$13+J153*$J$13+$D$27)*$C$27</f>
        <v>-0.29591592769867092</v>
      </c>
      <c r="P153" s="77">
        <f>(H153*$H$14+I$27*$I$14+J153*$J$14+$E$27)*$C$27</f>
        <v>0.23176119263769573</v>
      </c>
      <c r="Q153" s="76">
        <f>(H153*$H$13+I153*$I$13+J$27*$J$13+$D$27)*$C$27</f>
        <v>0.37455535265057183</v>
      </c>
      <c r="R153" s="75">
        <f>(H153*$H$14+I153*$I$14+J$27*$J$14+$E$27)*$C$27</f>
        <v>-0.38283179976048187</v>
      </c>
    </row>
    <row r="154" spans="2:18">
      <c r="B154" s="81"/>
      <c r="C154">
        <v>8</v>
      </c>
      <c r="D154">
        <v>832</v>
      </c>
      <c r="E154">
        <v>4.9214149999999997</v>
      </c>
      <c r="F154" s="78"/>
      <c r="G154" s="75">
        <f>D$19*(L154-R154)</f>
        <v>0</v>
      </c>
      <c r="H154" s="76">
        <f>(C154-H$16)/H$17-0.5</f>
        <v>-0.27419354838709675</v>
      </c>
      <c r="I154" s="75">
        <f>(D154-I$16)/I$17-0.5</f>
        <v>0.30645161290322576</v>
      </c>
      <c r="J154" s="75">
        <f>(E154-J$16)/J$17-0.5</f>
        <v>1.2380323818366401E-2</v>
      </c>
      <c r="K154" s="76">
        <f>(H154*$H$13+I154*$I$13+J154*$J$13+$D$27)*$C$27</f>
        <v>0.40249165599845693</v>
      </c>
      <c r="L154" s="77">
        <f>(H154*$H$14+I154*$I$14+J154*$J$14+$E$27)*$C$27</f>
        <v>5.2838060936488081E-2</v>
      </c>
      <c r="M154" s="76">
        <f>(H$27*$H$13+I154*$I$13+J154*$J$13+$D$27)*$C$27</f>
        <v>0.51539488180490856</v>
      </c>
      <c r="N154" s="77">
        <f>(H$27*$H$14+I154*$I$14+J154*$J$14+$E$27)*$C$27</f>
        <v>0.15061512265408597</v>
      </c>
      <c r="O154" s="76">
        <f>(H154*$H$13+I$27*$I$13+J154*$J$13+$D$27)*$C$27</f>
        <v>-0.29591592769867092</v>
      </c>
      <c r="P154" s="77">
        <f>(H154*$H$14+I$27*$I$14+J154*$J$14+$E$27)*$C$27</f>
        <v>0.25445096416229457</v>
      </c>
      <c r="Q154" s="76">
        <f>(H154*$H$13+I154*$I$13+J$27*$J$13+$D$27)*$C$27</f>
        <v>0.40249165599845688</v>
      </c>
      <c r="R154" s="75">
        <f>(H154*$H$14+I154*$I$14+J$27*$J$14+$E$27)*$C$27</f>
        <v>-0.39089631588951412</v>
      </c>
    </row>
    <row r="155" spans="2:18">
      <c r="B155" s="81"/>
      <c r="C155">
        <v>8</v>
      </c>
      <c r="D155">
        <v>864</v>
      </c>
      <c r="E155">
        <v>5.1295080000000004</v>
      </c>
      <c r="F155" s="78"/>
      <c r="G155" s="75">
        <f>D$19*(L155-R155)</f>
        <v>0</v>
      </c>
      <c r="H155" s="76">
        <f>(C155-H$16)/H$17-0.5</f>
        <v>-0.27419354838709675</v>
      </c>
      <c r="I155" s="75">
        <f>(D155-I$16)/I$17-0.5</f>
        <v>0.33870967741935487</v>
      </c>
      <c r="J155" s="75">
        <f>(E155-J$16)/J$17-0.5</f>
        <v>3.7524858401662531E-2</v>
      </c>
      <c r="K155" s="76">
        <f>(H155*$H$13+I155*$I$13+J155*$J$13+$D$27)*$C$27</f>
        <v>0.43042795934634215</v>
      </c>
      <c r="L155" s="77">
        <f>(H155*$H$14+I155*$I$14+J155*$J$14+$E$27)*$C$27</f>
        <v>6.6549350522926626E-2</v>
      </c>
      <c r="M155" s="76">
        <f>(H$27*$H$13+I155*$I$13+J155*$J$13+$D$27)*$C$27</f>
        <v>0.54333118515279377</v>
      </c>
      <c r="N155" s="77">
        <f>(H$27*$H$14+I155*$I$14+J155*$J$14+$E$27)*$C$27</f>
        <v>0.16432641224052447</v>
      </c>
      <c r="O155" s="76">
        <f>(H155*$H$13+I$27*$I$13+J155*$J$13+$D$27)*$C$27</f>
        <v>-0.29591592769867092</v>
      </c>
      <c r="P155" s="77">
        <f>(H155*$H$14+I$27*$I$14+J155*$J$14+$E$27)*$C$27</f>
        <v>0.2762267698777654</v>
      </c>
      <c r="Q155" s="76">
        <f>(H155*$H$13+I155*$I$13+J$27*$J$13+$D$27)*$C$27</f>
        <v>0.43042795934634209</v>
      </c>
      <c r="R155" s="75">
        <f>(H155*$H$14+I155*$I$14+J$27*$J$14+$E$27)*$C$27</f>
        <v>-0.39896083201854643</v>
      </c>
    </row>
    <row r="156" spans="2:18">
      <c r="B156" s="81"/>
      <c r="C156">
        <v>8</v>
      </c>
      <c r="D156">
        <v>896</v>
      </c>
      <c r="E156">
        <v>5.4130529999999997</v>
      </c>
      <c r="F156" s="78"/>
      <c r="G156" s="75">
        <f>D$19*(L156-R156)</f>
        <v>0</v>
      </c>
      <c r="H156" s="76">
        <f>(C156-H$16)/H$17-0.5</f>
        <v>-0.27419354838709675</v>
      </c>
      <c r="I156" s="75">
        <f>(D156-I$16)/I$17-0.5</f>
        <v>0.37096774193548387</v>
      </c>
      <c r="J156" s="75">
        <f>(E156-J$16)/J$17-0.5</f>
        <v>7.1786496507800779E-2</v>
      </c>
      <c r="K156" s="76">
        <f>(H156*$H$13+I156*$I$13+J156*$J$13+$D$27)*$C$27</f>
        <v>0.45836426269422725</v>
      </c>
      <c r="L156" s="77">
        <f>(H156*$H$14+I156*$I$14+J156*$J$14+$E$27)*$C$27</f>
        <v>8.8156283369079047E-2</v>
      </c>
      <c r="M156" s="76">
        <f>(H$27*$H$13+I156*$I$13+J156*$J$13+$D$27)*$C$27</f>
        <v>0.57126748850067888</v>
      </c>
      <c r="N156" s="77">
        <f>(H$27*$H$14+I156*$I$14+J156*$J$14+$E$27)*$C$27</f>
        <v>0.18593334508667692</v>
      </c>
      <c r="O156" s="76">
        <f>(H156*$H$13+I$27*$I$13+J156*$J$13+$D$27)*$C$27</f>
        <v>-0.29591592769867092</v>
      </c>
      <c r="P156" s="77">
        <f>(H156*$H$14+I$27*$I$14+J156*$J$14+$E$27)*$C$27</f>
        <v>0.30589821885295004</v>
      </c>
      <c r="Q156" s="76">
        <f>(H156*$H$13+I156*$I$13+J$27*$J$13+$D$27)*$C$27</f>
        <v>0.4583642626942272</v>
      </c>
      <c r="R156" s="75">
        <f>(H156*$H$14+I156*$I$14+J$27*$J$14+$E$27)*$C$27</f>
        <v>-0.40702534814757868</v>
      </c>
    </row>
    <row r="157" spans="2:18">
      <c r="B157" s="81"/>
      <c r="C157">
        <v>8</v>
      </c>
      <c r="D157">
        <v>928</v>
      </c>
      <c r="E157">
        <v>5.6677619999999997</v>
      </c>
      <c r="F157" s="78"/>
      <c r="G157" s="75">
        <f>D$19*(L157-R157)</f>
        <v>0</v>
      </c>
      <c r="H157" s="76">
        <f>(C157-H$16)/H$17-0.5</f>
        <v>-0.27419354838709675</v>
      </c>
      <c r="I157" s="75">
        <f>(D157-I$16)/I$17-0.5</f>
        <v>0.40322580645161288</v>
      </c>
      <c r="J157" s="75">
        <f>(E157-J$16)/J$17-0.5</f>
        <v>0.10256378963720325</v>
      </c>
      <c r="K157" s="76">
        <f>(H157*$H$13+I157*$I$13+J157*$J$13+$D$27)*$C$27</f>
        <v>0.48630056604211236</v>
      </c>
      <c r="L157" s="77">
        <f>(H157*$H$14+I157*$I$14+J157*$J$14+$E$27)*$C$27</f>
        <v>0.1067456849498296</v>
      </c>
      <c r="M157" s="76">
        <f>(H$27*$H$13+I157*$I$13+J157*$J$13+$D$27)*$C$27</f>
        <v>0.59920379184856398</v>
      </c>
      <c r="N157" s="77">
        <f>(H$27*$H$14+I157*$I$14+J157*$J$14+$E$27)*$C$27</f>
        <v>0.20452274666742748</v>
      </c>
      <c r="O157" s="76">
        <f>(H157*$H$13+I$27*$I$13+J157*$J$13+$D$27)*$C$27</f>
        <v>-0.29591592769867092</v>
      </c>
      <c r="P157" s="77">
        <f>(H157*$H$14+I$27*$I$14+J157*$J$14+$E$27)*$C$27</f>
        <v>0.33255213656273286</v>
      </c>
      <c r="Q157" s="76">
        <f>(H157*$H$13+I157*$I$13+J$27*$J$13+$D$27)*$C$27</f>
        <v>0.4863005660421123</v>
      </c>
      <c r="R157" s="75">
        <f>(H157*$H$14+I157*$I$14+J$27*$J$14+$E$27)*$C$27</f>
        <v>-0.41508986427661093</v>
      </c>
    </row>
    <row r="158" spans="2:18">
      <c r="B158" s="81"/>
      <c r="C158">
        <v>8</v>
      </c>
      <c r="D158">
        <v>960</v>
      </c>
      <c r="E158">
        <v>5.8949369999999996</v>
      </c>
      <c r="F158" s="78"/>
      <c r="G158" s="75">
        <f>D$19*(L158-R158)</f>
        <v>0</v>
      </c>
      <c r="H158" s="76">
        <f>(C158-H$16)/H$17-0.5</f>
        <v>-0.27419354838709675</v>
      </c>
      <c r="I158" s="75">
        <f>(D158-I$16)/I$17-0.5</f>
        <v>0.43548387096774188</v>
      </c>
      <c r="J158" s="75">
        <f>(E158-J$16)/J$17-0.5</f>
        <v>0.1300140625630597</v>
      </c>
      <c r="K158" s="76">
        <f>(H158*$H$13+I158*$I$13+J158*$J$13+$D$27)*$C$27</f>
        <v>0.51423686938999746</v>
      </c>
      <c r="L158" s="77">
        <f>(H158*$H$14+I158*$I$14+J158*$J$14+$E$27)*$C$27</f>
        <v>0.12245380251540522</v>
      </c>
      <c r="M158" s="76">
        <f>(H$27*$H$13+I158*$I$13+J158*$J$13+$D$27)*$C$27</f>
        <v>0.62714009519644909</v>
      </c>
      <c r="N158" s="77">
        <f>(H$27*$H$14+I158*$I$14+J158*$J$14+$E$27)*$C$27</f>
        <v>0.22023086423300309</v>
      </c>
      <c r="O158" s="76">
        <f>(H158*$H$13+I$27*$I$13+J158*$J$13+$D$27)*$C$27</f>
        <v>-0.29591592769867092</v>
      </c>
      <c r="P158" s="77">
        <f>(H158*$H$14+I$27*$I$14+J158*$J$14+$E$27)*$C$27</f>
        <v>0.35632477025734077</v>
      </c>
      <c r="Q158" s="76">
        <f>(H158*$H$13+I158*$I$13+J$27*$J$13+$D$27)*$C$27</f>
        <v>0.51423686938999735</v>
      </c>
      <c r="R158" s="75">
        <f>(H158*$H$14+I158*$I$14+J$27*$J$14+$E$27)*$C$27</f>
        <v>-0.42315438040564318</v>
      </c>
    </row>
    <row r="159" spans="2:18">
      <c r="B159" s="81"/>
      <c r="C159">
        <v>8</v>
      </c>
      <c r="D159">
        <v>992</v>
      </c>
      <c r="E159">
        <v>6.1704540000000003</v>
      </c>
      <c r="F159" s="78"/>
      <c r="G159" s="75">
        <f>D$19*(L159-R159)</f>
        <v>0</v>
      </c>
      <c r="H159" s="76">
        <f>(C159-H$16)/H$17-0.5</f>
        <v>-0.27419354838709675</v>
      </c>
      <c r="I159" s="75">
        <f>(D159-I$16)/I$17-0.5</f>
        <v>0.467741935483871</v>
      </c>
      <c r="J159" s="75">
        <f>(E159-J$16)/J$17-0.5</f>
        <v>0.16330565206768499</v>
      </c>
      <c r="K159" s="76">
        <f>(H159*$H$13+I159*$I$13+J159*$J$13+$D$27)*$C$27</f>
        <v>0.54217317273788257</v>
      </c>
      <c r="L159" s="77">
        <f>(H159*$H$14+I159*$I$14+J159*$J$14+$E$27)*$C$27</f>
        <v>0.14322064862974185</v>
      </c>
      <c r="M159" s="76">
        <f>(H$27*$H$13+I159*$I$13+J159*$J$13+$D$27)*$C$27</f>
        <v>0.65507639854433419</v>
      </c>
      <c r="N159" s="77">
        <f>(H$27*$H$14+I159*$I$14+J159*$J$14+$E$27)*$C$27</f>
        <v>0.24099771034733972</v>
      </c>
      <c r="O159" s="76">
        <f>(H159*$H$13+I$27*$I$13+J159*$J$13+$D$27)*$C$27</f>
        <v>-0.29591592769867092</v>
      </c>
      <c r="P159" s="77">
        <f>(H159*$H$14+I$27*$I$14+J159*$J$14+$E$27)*$C$27</f>
        <v>0.38515613250070968</v>
      </c>
      <c r="Q159" s="76">
        <f>(H159*$H$13+I159*$I$13+J$27*$J$13+$D$27)*$C$27</f>
        <v>0.54217317273788246</v>
      </c>
      <c r="R159" s="75">
        <f>(H159*$H$14+I159*$I$14+J$27*$J$14+$E$27)*$C$27</f>
        <v>-0.43121889653467549</v>
      </c>
    </row>
    <row r="160" spans="2:18">
      <c r="B160" s="81"/>
      <c r="C160">
        <v>8</v>
      </c>
      <c r="D160">
        <v>1024</v>
      </c>
      <c r="E160">
        <v>6.4550749999999999</v>
      </c>
      <c r="F160" s="78"/>
      <c r="G160" s="75">
        <f>D$19*(L160-R160)</f>
        <v>0</v>
      </c>
      <c r="H160" s="76">
        <f>(C160-H$16)/H$17-0.5</f>
        <v>-0.27419354838709675</v>
      </c>
      <c r="I160" s="75">
        <f>(D160-I$16)/I$17-0.5</f>
        <v>0.5</v>
      </c>
      <c r="J160" s="75">
        <f>(E160-J$16)/J$17-0.5</f>
        <v>0.19769730665304952</v>
      </c>
      <c r="K160" s="76">
        <f>(H160*$H$13+I160*$I$13+J160*$J$13+$D$27)*$C$27</f>
        <v>0.57010947608576767</v>
      </c>
      <c r="L160" s="77">
        <f>(H160*$H$14+I160*$I$14+J160*$J$14+$E$27)*$C$27</f>
        <v>0.16494017904981487</v>
      </c>
      <c r="M160" s="76">
        <f>(H$27*$H$13+I160*$I$13+J160*$J$13+$D$27)*$C$27</f>
        <v>0.68301270189221941</v>
      </c>
      <c r="N160" s="77">
        <f>(H$27*$H$14+I160*$I$14+J160*$J$14+$E$27)*$C$27</f>
        <v>0.26271724076741276</v>
      </c>
      <c r="O160" s="76">
        <f>(H160*$H$13+I$27*$I$13+J160*$J$13+$D$27)*$C$27</f>
        <v>-0.29591592769867092</v>
      </c>
      <c r="P160" s="77">
        <f>(H160*$H$14+I$27*$I$14+J160*$J$14+$E$27)*$C$27</f>
        <v>0.41494017904981495</v>
      </c>
      <c r="Q160" s="76">
        <f>(H160*$H$13+I160*$I$13+J$27*$J$13+$D$27)*$C$27</f>
        <v>0.57010947608576756</v>
      </c>
      <c r="R160" s="75">
        <f>(H160*$H$14+I160*$I$14+J$27*$J$14+$E$27)*$C$27</f>
        <v>-0.43928341266370774</v>
      </c>
    </row>
    <row r="161" spans="2:18">
      <c r="B161" s="81"/>
      <c r="C161">
        <v>16</v>
      </c>
      <c r="D161">
        <v>32</v>
      </c>
      <c r="E161">
        <v>0.91934000000000005</v>
      </c>
      <c r="F161" s="78"/>
      <c r="G161" s="75">
        <f>D$19*(L161-R161)</f>
        <v>0</v>
      </c>
      <c r="H161" s="76">
        <f>(C161-H$16)/H$17-0.5</f>
        <v>-1.6129032258064502E-2</v>
      </c>
      <c r="I161" s="75">
        <f>(D161-I$16)/I$17-0.5</f>
        <v>-0.5</v>
      </c>
      <c r="J161" s="75">
        <f>(E161-J$16)/J$17-0.5</f>
        <v>-0.47120304151561515</v>
      </c>
      <c r="K161" s="76">
        <f>(H161*$H$13+I161*$I$13+J161*$J$13+$D$27)*$C$27</f>
        <v>-0.4249481857631871</v>
      </c>
      <c r="L161" s="77">
        <f>(H161*$H$14+I161*$I$14+J161*$J$14+$E$27)*$C$27</f>
        <v>-0.27608972845604496</v>
      </c>
      <c r="M161" s="76">
        <f>(H$27*$H$13+I161*$I$13+J161*$J$13+$D$27)*$C$27</f>
        <v>-0.1830127018922193</v>
      </c>
      <c r="N161" s="77">
        <f>(H$27*$H$14+I161*$I$14+J161*$J$14+$E$27)*$C$27</f>
        <v>-6.6567453346906669E-2</v>
      </c>
      <c r="O161" s="76">
        <f>(H161*$H$13+I$27*$I$13+J161*$J$13+$D$27)*$C$27</f>
        <v>-0.4249481857631871</v>
      </c>
      <c r="P161" s="77">
        <f>(H161*$H$14+I$27*$I$14+J161*$J$14+$E$27)*$C$27</f>
        <v>-0.27608972845604496</v>
      </c>
      <c r="Q161" s="76">
        <f>(H161*$H$13+I161*$I$13+J$27*$J$13+$D$27)*$C$27</f>
        <v>-0.4249481857631871</v>
      </c>
      <c r="R161" s="75">
        <f>(H161*$H$14+I161*$I$14+J$27*$J$14+$E$27)*$C$27</f>
        <v>-0.30102862605524805</v>
      </c>
    </row>
    <row r="162" spans="2:18">
      <c r="B162" s="81"/>
      <c r="C162">
        <v>16</v>
      </c>
      <c r="D162">
        <v>64</v>
      </c>
      <c r="E162">
        <v>1.628212</v>
      </c>
      <c r="F162" s="78"/>
      <c r="G162" s="75">
        <f>D$19*(L162-R162)</f>
        <v>0</v>
      </c>
      <c r="H162" s="76">
        <f>(C162-H$16)/H$17-0.5</f>
        <v>-1.6129032258064502E-2</v>
      </c>
      <c r="I162" s="75">
        <f>(D162-I$16)/I$17-0.5</f>
        <v>-0.467741935483871</v>
      </c>
      <c r="J162" s="75">
        <f>(E162-J$16)/J$17-0.5</f>
        <v>-0.38554779833525737</v>
      </c>
      <c r="K162" s="76">
        <f>(H162*$H$13+I162*$I$13+J162*$J$13+$D$27)*$C$27</f>
        <v>-0.397011882415302</v>
      </c>
      <c r="L162" s="77">
        <f>(H162*$H$14+I162*$I$14+J162*$J$14+$E$27)*$C$27</f>
        <v>-0.20997462802355354</v>
      </c>
      <c r="M162" s="76">
        <f>(H$27*$H$13+I162*$I$13+J162*$J$13+$D$27)*$C$27</f>
        <v>-0.15507639854433419</v>
      </c>
      <c r="N162" s="77">
        <f>(H$27*$H$14+I162*$I$14+J162*$J$14+$E$27)*$C$27</f>
        <v>-4.5235291441525494E-4</v>
      </c>
      <c r="O162" s="76">
        <f>(H162*$H$13+I$27*$I$13+J162*$J$13+$D$27)*$C$27</f>
        <v>-0.4249481857631871</v>
      </c>
      <c r="P162" s="77">
        <f>(H162*$H$14+I$27*$I$14+J162*$J$14+$E$27)*$C$27</f>
        <v>-0.20191011189452129</v>
      </c>
      <c r="Q162" s="76">
        <f>(H162*$H$13+I162*$I$13+J$27*$J$13+$D$27)*$C$27</f>
        <v>-0.397011882415302</v>
      </c>
      <c r="R162" s="75">
        <f>(H162*$H$14+I162*$I$14+J$27*$J$14+$E$27)*$C$27</f>
        <v>-0.3090931421842803</v>
      </c>
    </row>
    <row r="163" spans="2:18">
      <c r="B163" s="81"/>
      <c r="C163">
        <v>16</v>
      </c>
      <c r="D163">
        <v>96</v>
      </c>
      <c r="E163">
        <v>1.765679</v>
      </c>
      <c r="F163" s="78"/>
      <c r="G163" s="75">
        <f>D$19*(L163-R163)</f>
        <v>0</v>
      </c>
      <c r="H163" s="76">
        <f>(C163-H$16)/H$17-0.5</f>
        <v>-1.6129032258064502E-2</v>
      </c>
      <c r="I163" s="75">
        <f>(D163-I$16)/I$17-0.5</f>
        <v>-0.43548387096774194</v>
      </c>
      <c r="J163" s="75">
        <f>(E163-J$16)/J$17-0.5</f>
        <v>-0.36893722644883187</v>
      </c>
      <c r="K163" s="76">
        <f>(H163*$H$13+I163*$I$13+J163*$J$13+$D$27)*$C$27</f>
        <v>-0.36907557906741689</v>
      </c>
      <c r="L163" s="77">
        <f>(H163*$H$14+I163*$I$14+J163*$J$14+$E$27)*$C$27</f>
        <v>-0.20365396692755375</v>
      </c>
      <c r="M163" s="76">
        <f>(H$27*$H$13+I163*$I$13+J163*$J$13+$D$27)*$C$27</f>
        <v>-0.12714009519644909</v>
      </c>
      <c r="N163" s="77">
        <f>(H$27*$H$14+I163*$I$14+J163*$J$14+$E$27)*$C$27</f>
        <v>5.8683081815845139E-3</v>
      </c>
      <c r="O163" s="76">
        <f>(H163*$H$13+I$27*$I$13+J163*$J$13+$D$27)*$C$27</f>
        <v>-0.4249481857631871</v>
      </c>
      <c r="P163" s="77">
        <f>(H163*$H$14+I$27*$I$14+J163*$J$14+$E$27)*$C$27</f>
        <v>-0.18752493466948922</v>
      </c>
      <c r="Q163" s="76">
        <f>(H163*$H$13+I163*$I$13+J$27*$J$13+$D$27)*$C$27</f>
        <v>-0.36907557906741689</v>
      </c>
      <c r="R163" s="75">
        <f>(H163*$H$14+I163*$I$14+J$27*$J$14+$E$27)*$C$27</f>
        <v>-0.31715765831331255</v>
      </c>
    </row>
    <row r="164" spans="2:18">
      <c r="B164" s="81"/>
      <c r="C164">
        <v>16</v>
      </c>
      <c r="D164">
        <v>128</v>
      </c>
      <c r="E164">
        <v>1.9379169999999999</v>
      </c>
      <c r="F164" s="78"/>
      <c r="G164" s="75">
        <f>D$19*(L164-R164)</f>
        <v>0</v>
      </c>
      <c r="H164" s="76">
        <f>(C164-H$16)/H$17-0.5</f>
        <v>-1.6129032258064502E-2</v>
      </c>
      <c r="I164" s="75">
        <f>(D164-I$16)/I$17-0.5</f>
        <v>-0.40322580645161288</v>
      </c>
      <c r="J164" s="75">
        <f>(E164-J$16)/J$17-0.5</f>
        <v>-0.3481251647862208</v>
      </c>
      <c r="K164" s="76">
        <f>(H164*$H$13+I164*$I$13+J164*$J$13+$D$27)*$C$27</f>
        <v>-0.34113927571953173</v>
      </c>
      <c r="L164" s="77">
        <f>(H164*$H$14+I164*$I$14+J164*$J$14+$E$27)*$C$27</f>
        <v>-0.19369470895163662</v>
      </c>
      <c r="M164" s="76">
        <f>(H$27*$H$13+I164*$I$13+J164*$J$13+$D$27)*$C$27</f>
        <v>-9.9203791848563913E-2</v>
      </c>
      <c r="N164" s="77">
        <f>(H$27*$H$14+I164*$I$14+J164*$J$14+$E$27)*$C$27</f>
        <v>1.5827566157501638E-2</v>
      </c>
      <c r="O164" s="76">
        <f>(H164*$H$13+I$27*$I$13+J164*$J$13+$D$27)*$C$27</f>
        <v>-0.4249481857631871</v>
      </c>
      <c r="P164" s="77">
        <f>(H164*$H$14+I$27*$I$14+J164*$J$14+$E$27)*$C$27</f>
        <v>-0.16950116056453984</v>
      </c>
      <c r="Q164" s="76">
        <f>(H164*$H$13+I164*$I$13+J$27*$J$13+$D$27)*$C$27</f>
        <v>-0.34113927571953173</v>
      </c>
      <c r="R164" s="75">
        <f>(H164*$H$14+I164*$I$14+J$27*$J$14+$E$27)*$C$27</f>
        <v>-0.3252221744423448</v>
      </c>
    </row>
    <row r="165" spans="2:18">
      <c r="B165" s="81"/>
      <c r="C165">
        <v>16</v>
      </c>
      <c r="D165">
        <v>160</v>
      </c>
      <c r="E165">
        <v>2.1482779999999999</v>
      </c>
      <c r="F165" s="78"/>
      <c r="G165" s="75">
        <f>D$19*(L165-R165)</f>
        <v>0</v>
      </c>
      <c r="H165" s="76">
        <f>(C165-H$16)/H$17-0.5</f>
        <v>-1.6129032258064502E-2</v>
      </c>
      <c r="I165" s="75">
        <f>(D165-I$16)/I$17-0.5</f>
        <v>-0.37096774193548387</v>
      </c>
      <c r="J165" s="75">
        <f>(E165-J$16)/J$17-0.5</f>
        <v>-0.32270658059801294</v>
      </c>
      <c r="K165" s="76">
        <f>(H165*$H$13+I165*$I$13+J165*$J$13+$D$27)*$C$27</f>
        <v>-0.31320297237164663</v>
      </c>
      <c r="L165" s="77">
        <f>(H165*$H$14+I165*$I$14+J165*$J$14+$E$27)*$C$27</f>
        <v>-0.1797460854454474</v>
      </c>
      <c r="M165" s="76">
        <f>(H$27*$H$13+I165*$I$13+J165*$J$13+$D$27)*$C$27</f>
        <v>-7.1267488500678808E-2</v>
      </c>
      <c r="N165" s="77">
        <f>(H$27*$H$14+I165*$I$14+J165*$J$14+$E$27)*$C$27</f>
        <v>2.9776189663690888E-2</v>
      </c>
      <c r="O165" s="76">
        <f>(H165*$H$13+I$27*$I$13+J165*$J$13+$D$27)*$C$27</f>
        <v>-0.4249481857631871</v>
      </c>
      <c r="P165" s="77">
        <f>(H165*$H$14+I$27*$I$14+J165*$J$14+$E$27)*$C$27</f>
        <v>-0.14748802092931834</v>
      </c>
      <c r="Q165" s="76">
        <f>(H165*$H$13+I165*$I$13+J$27*$J$13+$D$27)*$C$27</f>
        <v>-0.31320297237164663</v>
      </c>
      <c r="R165" s="75">
        <f>(H165*$H$14+I165*$I$14+J$27*$J$14+$E$27)*$C$27</f>
        <v>-0.33328669057137711</v>
      </c>
    </row>
    <row r="166" spans="2:18">
      <c r="B166" s="81"/>
      <c r="C166">
        <v>16</v>
      </c>
      <c r="D166">
        <v>192</v>
      </c>
      <c r="E166">
        <v>2.3888280000000002</v>
      </c>
      <c r="F166" s="78"/>
      <c r="G166" s="75">
        <f>D$19*(L166-R166)</f>
        <v>0</v>
      </c>
      <c r="H166" s="76">
        <f>(C166-H$16)/H$17-0.5</f>
        <v>-1.6129032258064502E-2</v>
      </c>
      <c r="I166" s="75">
        <f>(D166-I$16)/I$17-0.5</f>
        <v>-0.33870967741935487</v>
      </c>
      <c r="J166" s="75">
        <f>(E166-J$16)/J$17-0.5</f>
        <v>-0.29364016416876326</v>
      </c>
      <c r="K166" s="76">
        <f>(H166*$H$13+I166*$I$13+J166*$J$13+$D$27)*$C$27</f>
        <v>-0.28526666902376158</v>
      </c>
      <c r="L166" s="77">
        <f>(H166*$H$14+I166*$I$14+J166*$J$14+$E$27)*$C$27</f>
        <v>-0.16263834654977211</v>
      </c>
      <c r="M166" s="76">
        <f>(H$27*$H$13+I166*$I$13+J166*$J$13+$D$27)*$C$27</f>
        <v>-4.3331185152793751E-2</v>
      </c>
      <c r="N166" s="77">
        <f>(H$27*$H$14+I166*$I$14+J166*$J$14+$E$27)*$C$27</f>
        <v>4.6883928559366184E-2</v>
      </c>
      <c r="O166" s="76">
        <f>(H166*$H$13+I$27*$I$13+J166*$J$13+$D$27)*$C$27</f>
        <v>-0.4249481857631871</v>
      </c>
      <c r="P166" s="77">
        <f>(H166*$H$14+I$27*$I$14+J166*$J$14+$E$27)*$C$27</f>
        <v>-0.1223157659046108</v>
      </c>
      <c r="Q166" s="76">
        <f>(H166*$H$13+I166*$I$13+J$27*$J$13+$D$27)*$C$27</f>
        <v>-0.28526666902376158</v>
      </c>
      <c r="R166" s="75">
        <f>(H166*$H$14+I166*$I$14+J$27*$J$14+$E$27)*$C$27</f>
        <v>-0.34135120670040936</v>
      </c>
    </row>
    <row r="167" spans="2:18">
      <c r="B167" s="81"/>
      <c r="C167">
        <v>16</v>
      </c>
      <c r="D167">
        <v>224</v>
      </c>
      <c r="E167">
        <v>2.6611379999999998</v>
      </c>
      <c r="F167" s="78"/>
      <c r="G167" s="75">
        <f>D$19*(L167-R167)</f>
        <v>0</v>
      </c>
      <c r="H167" s="76">
        <f>(C167-H$16)/H$17-0.5</f>
        <v>-1.6129032258064502E-2</v>
      </c>
      <c r="I167" s="75">
        <f>(D167-I$16)/I$17-0.5</f>
        <v>-0.30645161290322581</v>
      </c>
      <c r="J167" s="75">
        <f>(E167-J$16)/J$17-0.5</f>
        <v>-0.2607360866054752</v>
      </c>
      <c r="K167" s="76">
        <f>(H167*$H$13+I167*$I$13+J167*$J$13+$D$27)*$C$27</f>
        <v>-0.25733036567587642</v>
      </c>
      <c r="L167" s="77">
        <f>(H167*$H$14+I167*$I$14+J167*$J$14+$E$27)*$C$27</f>
        <v>-0.14220709562090331</v>
      </c>
      <c r="M167" s="76">
        <f>(H$27*$H$13+I167*$I$13+J167*$J$13+$D$27)*$C$27</f>
        <v>-1.5394881804908587E-2</v>
      </c>
      <c r="N167" s="77">
        <f>(H$27*$H$14+I167*$I$14+J167*$J$14+$E$27)*$C$27</f>
        <v>6.7315179488234927E-2</v>
      </c>
      <c r="O167" s="76">
        <f>(H167*$H$13+I$27*$I$13+J167*$J$13+$D$27)*$C$27</f>
        <v>-0.4249481857631871</v>
      </c>
      <c r="P167" s="77">
        <f>(H167*$H$14+I$27*$I$14+J167*$J$14+$E$27)*$C$27</f>
        <v>-9.3819998846709746E-2</v>
      </c>
      <c r="Q167" s="76">
        <f>(H167*$H$13+I167*$I$13+J$27*$J$13+$D$27)*$C$27</f>
        <v>-0.25733036567587642</v>
      </c>
      <c r="R167" s="75">
        <f>(H167*$H$14+I167*$I$14+J$27*$J$14+$E$27)*$C$27</f>
        <v>-0.34941572282944161</v>
      </c>
    </row>
    <row r="168" spans="2:18">
      <c r="B168" s="81"/>
      <c r="C168">
        <v>16</v>
      </c>
      <c r="D168">
        <v>256</v>
      </c>
      <c r="E168">
        <v>2.9505430000000001</v>
      </c>
      <c r="F168" s="78"/>
      <c r="G168" s="75">
        <f>D$19*(L168-R168)</f>
        <v>0</v>
      </c>
      <c r="H168" s="76">
        <f>(C168-H$16)/H$17-0.5</f>
        <v>-1.6129032258064502E-2</v>
      </c>
      <c r="I168" s="75">
        <f>(D168-I$16)/I$17-0.5</f>
        <v>-0.27419354838709675</v>
      </c>
      <c r="J168" s="75">
        <f>(E168-J$16)/J$17-0.5</f>
        <v>-0.22576636618682205</v>
      </c>
      <c r="K168" s="76">
        <f>(H168*$H$13+I168*$I$13+J168*$J$13+$D$27)*$C$27</f>
        <v>-0.22939406232799125</v>
      </c>
      <c r="L168" s="77">
        <f>(H168*$H$14+I168*$I$14+J168*$J$14+$E$27)*$C$27</f>
        <v>-0.11998694550414254</v>
      </c>
      <c r="M168" s="76">
        <f>(H$27*$H$13+I168*$I$13+J168*$J$13+$D$27)*$C$27</f>
        <v>1.254142154297655E-2</v>
      </c>
      <c r="N168" s="77">
        <f>(H$27*$H$14+I168*$I$14+J168*$J$14+$E$27)*$C$27</f>
        <v>8.9535329604995717E-2</v>
      </c>
      <c r="O168" s="76">
        <f>(H168*$H$13+I$27*$I$13+J168*$J$13+$D$27)*$C$27</f>
        <v>-0.42494818576318705</v>
      </c>
      <c r="P168" s="77">
        <f>(H168*$H$14+I$27*$I$14+J168*$J$14+$E$27)*$C$27</f>
        <v>-6.3535332600916705E-2</v>
      </c>
      <c r="Q168" s="76">
        <f>(H168*$H$13+I168*$I$13+J$27*$J$13+$D$27)*$C$27</f>
        <v>-0.22939406232799128</v>
      </c>
      <c r="R168" s="75">
        <f>(H168*$H$14+I168*$I$14+J$27*$J$14+$E$27)*$C$27</f>
        <v>-0.35748023895847392</v>
      </c>
    </row>
    <row r="169" spans="2:18">
      <c r="B169" s="81"/>
      <c r="C169">
        <v>16</v>
      </c>
      <c r="D169">
        <v>288</v>
      </c>
      <c r="E169">
        <v>3.2949410000000001</v>
      </c>
      <c r="F169" s="78"/>
      <c r="G169" s="75">
        <f>D$19*(L169-R169)</f>
        <v>0</v>
      </c>
      <c r="H169" s="76">
        <f>(C169-H$16)/H$17-0.5</f>
        <v>-1.6129032258064502E-2</v>
      </c>
      <c r="I169" s="75">
        <f>(D169-I$16)/I$17-0.5</f>
        <v>-0.24193548387096775</v>
      </c>
      <c r="J169" s="75">
        <f>(E169-J$16)/J$17-0.5</f>
        <v>-0.18415166784801212</v>
      </c>
      <c r="K169" s="76">
        <f>(H169*$H$13+I169*$I$13+J169*$J$13+$D$27)*$C$27</f>
        <v>-0.20145775898010615</v>
      </c>
      <c r="L169" s="77">
        <f>(H169*$H$14+I169*$I$14+J169*$J$14+$E$27)*$C$27</f>
        <v>-9.2012075700939333E-2</v>
      </c>
      <c r="M169" s="76">
        <f>(H$27*$H$13+I169*$I$13+J169*$J$13+$D$27)*$C$27</f>
        <v>4.0477724890861662E-2</v>
      </c>
      <c r="N169" s="77">
        <f>(H$27*$H$14+I169*$I$14+J169*$J$14+$E$27)*$C$27</f>
        <v>0.11751019940819893</v>
      </c>
      <c r="O169" s="76">
        <f>(H169*$H$13+I$27*$I$13+J169*$J$13+$D$27)*$C$27</f>
        <v>-0.42494818576318705</v>
      </c>
      <c r="P169" s="77">
        <f>(H169*$H$14+I$27*$I$14+J169*$J$14+$E$27)*$C$27</f>
        <v>-2.7495946668681243E-2</v>
      </c>
      <c r="Q169" s="76">
        <f>(H169*$H$13+I169*$I$13+J$27*$J$13+$D$27)*$C$27</f>
        <v>-0.20145775898010618</v>
      </c>
      <c r="R169" s="75">
        <f>(H169*$H$14+I169*$I$14+J$27*$J$14+$E$27)*$C$27</f>
        <v>-0.36554475508750617</v>
      </c>
    </row>
    <row r="170" spans="2:18">
      <c r="B170" s="81"/>
      <c r="C170">
        <v>16</v>
      </c>
      <c r="D170">
        <v>320</v>
      </c>
      <c r="E170">
        <v>3.6407509999999998</v>
      </c>
      <c r="F170" s="78"/>
      <c r="G170" s="75">
        <f>D$19*(L170-R170)</f>
        <v>0</v>
      </c>
      <c r="H170" s="76">
        <f>(C170-H$16)/H$17-0.5</f>
        <v>-1.6129032258064502E-2</v>
      </c>
      <c r="I170" s="75">
        <f>(D170-I$16)/I$17-0.5</f>
        <v>-0.20967741935483869</v>
      </c>
      <c r="J170" s="75">
        <f>(E170-J$16)/J$17-0.5</f>
        <v>-0.14236635308850765</v>
      </c>
      <c r="K170" s="76">
        <f>(H170*$H$13+I170*$I$13+J170*$J$13+$D$27)*$C$27</f>
        <v>-0.17352145563222102</v>
      </c>
      <c r="L170" s="77">
        <f>(H170*$H$14+I170*$I$14+J170*$J$14+$E$27)*$C$27</f>
        <v>-6.3889447743111838E-2</v>
      </c>
      <c r="M170" s="76">
        <f>(H$27*$H$13+I170*$I$13+J170*$J$13+$D$27)*$C$27</f>
        <v>6.8414028238746802E-2</v>
      </c>
      <c r="N170" s="77">
        <f>(H$27*$H$14+I170*$I$14+J170*$J$14+$E$27)*$C$27</f>
        <v>0.14563282736602642</v>
      </c>
      <c r="O170" s="76">
        <f>(H170*$H$13+I$27*$I$13+J170*$J$13+$D$27)*$C$27</f>
        <v>-0.42494818576318705</v>
      </c>
      <c r="P170" s="77">
        <f>(H170*$H$14+I$27*$I$14+J170*$J$14+$E$27)*$C$27</f>
        <v>8.6911974181785034E-3</v>
      </c>
      <c r="Q170" s="76">
        <f>(H170*$H$13+I170*$I$13+J$27*$J$13+$D$27)*$C$27</f>
        <v>-0.17352145563222104</v>
      </c>
      <c r="R170" s="75">
        <f>(H170*$H$14+I170*$I$14+J$27*$J$14+$E$27)*$C$27</f>
        <v>-0.37360927121653842</v>
      </c>
    </row>
    <row r="171" spans="2:18">
      <c r="B171" s="81"/>
      <c r="C171">
        <v>16</v>
      </c>
      <c r="D171">
        <v>352</v>
      </c>
      <c r="E171">
        <v>4.0474909999999999</v>
      </c>
      <c r="F171" s="78"/>
      <c r="G171" s="75">
        <f>D$19*(L171-R171)</f>
        <v>0</v>
      </c>
      <c r="H171" s="76">
        <f>(C171-H$16)/H$17-0.5</f>
        <v>-1.6129032258064502E-2</v>
      </c>
      <c r="I171" s="75">
        <f>(D171-I$16)/I$17-0.5</f>
        <v>-0.17741935483870969</v>
      </c>
      <c r="J171" s="75">
        <f>(E171-J$16)/J$17-0.5</f>
        <v>-9.3218673943078423E-2</v>
      </c>
      <c r="K171" s="76">
        <f>(H171*$H$13+I171*$I$13+J171*$J$13+$D$27)*$C$27</f>
        <v>-0.14558515228433588</v>
      </c>
      <c r="L171" s="77">
        <f>(H171*$H$14+I171*$I$14+J171*$J$14+$E$27)*$C$27</f>
        <v>-2.9390825195155734E-2</v>
      </c>
      <c r="M171" s="76">
        <f>(H$27*$H$13+I171*$I$13+J171*$J$13+$D$27)*$C$27</f>
        <v>9.6350331586631907E-2</v>
      </c>
      <c r="N171" s="77">
        <f>(H$27*$H$14+I171*$I$14+J171*$J$14+$E$27)*$C$27</f>
        <v>0.18013144991398256</v>
      </c>
      <c r="O171" s="76">
        <f>(H171*$H$13+I$27*$I$13+J171*$J$13+$D$27)*$C$27</f>
        <v>-0.42494818576318705</v>
      </c>
      <c r="P171" s="77">
        <f>(H171*$H$14+I$27*$I$14+J171*$J$14+$E$27)*$C$27</f>
        <v>5.1254336095166872E-2</v>
      </c>
      <c r="Q171" s="76">
        <f>(H171*$H$13+I171*$I$13+J$27*$J$13+$D$27)*$C$27</f>
        <v>-0.14558515228433594</v>
      </c>
      <c r="R171" s="75">
        <f>(H171*$H$14+I171*$I$14+J$27*$J$14+$E$27)*$C$27</f>
        <v>-0.38167378734557067</v>
      </c>
    </row>
    <row r="172" spans="2:18">
      <c r="B172" s="81"/>
      <c r="C172">
        <v>16</v>
      </c>
      <c r="D172">
        <v>384</v>
      </c>
      <c r="E172">
        <v>4.4690099999999999</v>
      </c>
      <c r="F172" s="78"/>
      <c r="G172" s="75">
        <f>D$19*(L172-R172)</f>
        <v>0</v>
      </c>
      <c r="H172" s="76">
        <f>(C172-H$16)/H$17-0.5</f>
        <v>-1.6129032258064502E-2</v>
      </c>
      <c r="I172" s="75">
        <f>(D172-I$16)/I$17-0.5</f>
        <v>-0.14516129032258063</v>
      </c>
      <c r="J172" s="75">
        <f>(E172-J$16)/J$17-0.5</f>
        <v>-4.2285201538834472E-2</v>
      </c>
      <c r="K172" s="76">
        <f>(H172*$H$13+I172*$I$13+J172*$J$13+$D$27)*$C$27</f>
        <v>-0.11764884893645075</v>
      </c>
      <c r="L172" s="77">
        <f>(H172*$H$14+I172*$I$14+J172*$J$14+$E$27)*$C$27</f>
        <v>6.6543396808409414E-3</v>
      </c>
      <c r="M172" s="76">
        <f>(H$27*$H$13+I172*$I$13+J172*$J$13+$D$27)*$C$27</f>
        <v>0.12428663493451705</v>
      </c>
      <c r="N172" s="77">
        <f>(H$27*$H$14+I172*$I$14+J172*$J$14+$E$27)*$C$27</f>
        <v>0.21617661478997924</v>
      </c>
      <c r="O172" s="76">
        <f>(H172*$H$13+I$27*$I$13+J172*$J$13+$D$27)*$C$27</f>
        <v>-0.42494818576318705</v>
      </c>
      <c r="P172" s="77">
        <f>(H172*$H$14+I$27*$I$14+J172*$J$14+$E$27)*$C$27</f>
        <v>9.5364017100195819E-2</v>
      </c>
      <c r="Q172" s="76">
        <f>(H172*$H$13+I172*$I$13+J$27*$J$13+$D$27)*$C$27</f>
        <v>-0.11764884893645081</v>
      </c>
      <c r="R172" s="75">
        <f>(H172*$H$14+I172*$I$14+J$27*$J$14+$E$27)*$C$27</f>
        <v>-0.38973830347460292</v>
      </c>
    </row>
    <row r="173" spans="2:18">
      <c r="B173" s="81"/>
      <c r="C173">
        <v>16</v>
      </c>
      <c r="D173">
        <v>416</v>
      </c>
      <c r="E173">
        <v>4.9220350000000002</v>
      </c>
      <c r="F173" s="78"/>
      <c r="G173" s="75">
        <f>D$19*(L173-R173)</f>
        <v>0</v>
      </c>
      <c r="H173" s="76">
        <f>(C173-H$16)/H$17-0.5</f>
        <v>-1.6129032258064502E-2</v>
      </c>
      <c r="I173" s="75">
        <f>(D173-I$16)/I$17-0.5</f>
        <v>-0.11290322580645162</v>
      </c>
      <c r="J173" s="75">
        <f>(E173-J$16)/J$17-0.5</f>
        <v>1.2455240377028498E-2</v>
      </c>
      <c r="K173" s="76">
        <f>(H173*$H$13+I173*$I$13+J173*$J$13+$D$27)*$C$27</f>
        <v>-8.9712545588565659E-2</v>
      </c>
      <c r="L173" s="77">
        <f>(H173*$H$14+I173*$I$14+J173*$J$14+$E$27)*$C$27</f>
        <v>4.599643686533253E-2</v>
      </c>
      <c r="M173" s="76">
        <f>(H$27*$H$13+I173*$I$13+J173*$J$13+$D$27)*$C$27</f>
        <v>0.15222293828240213</v>
      </c>
      <c r="N173" s="77">
        <f>(H$27*$H$14+I173*$I$14+J173*$J$14+$E$27)*$C$27</f>
        <v>0.25551871197447079</v>
      </c>
      <c r="O173" s="76">
        <f>(H173*$H$13+I$27*$I$13+J173*$J$13+$D$27)*$C$27</f>
        <v>-0.42494818576318705</v>
      </c>
      <c r="P173" s="77">
        <f>(H173*$H$14+I$27*$I$14+J173*$J$14+$E$27)*$C$27</f>
        <v>0.14277063041371965</v>
      </c>
      <c r="Q173" s="76">
        <f>(H173*$H$13+I173*$I$13+J$27*$J$13+$D$27)*$C$27</f>
        <v>-8.9712545588565715E-2</v>
      </c>
      <c r="R173" s="75">
        <f>(H173*$H$14+I173*$I$14+J$27*$J$14+$E$27)*$C$27</f>
        <v>-0.39780281960363517</v>
      </c>
    </row>
    <row r="174" spans="2:18">
      <c r="B174" s="81"/>
      <c r="C174">
        <v>16</v>
      </c>
      <c r="D174">
        <v>448</v>
      </c>
      <c r="E174">
        <v>5.4139629999999999</v>
      </c>
      <c r="F174" s="78"/>
      <c r="G174" s="75">
        <f>D$19*(L174-R174)</f>
        <v>0</v>
      </c>
      <c r="H174" s="76">
        <f>(C174-H$16)/H$17-0.5</f>
        <v>-1.6129032258064502E-2</v>
      </c>
      <c r="I174" s="75">
        <f>(D174-I$16)/I$17-0.5</f>
        <v>-8.0645161290322565E-2</v>
      </c>
      <c r="J174" s="75">
        <f>(E174-J$16)/J$17-0.5</f>
        <v>7.1896454682611077E-2</v>
      </c>
      <c r="K174" s="76">
        <f>(H174*$H$13+I174*$I$13+J174*$J$13+$D$27)*$C$27</f>
        <v>-6.1776242240680519E-2</v>
      </c>
      <c r="L174" s="77">
        <f>(H174*$H$14+I174*$I$14+J174*$J$14+$E$27)*$C$27</f>
        <v>8.9409522356729776E-2</v>
      </c>
      <c r="M174" s="76">
        <f>(H$27*$H$13+I174*$I$13+J174*$J$13+$D$27)*$C$27</f>
        <v>0.18015924163028729</v>
      </c>
      <c r="N174" s="77">
        <f>(H$27*$H$14+I174*$I$14+J174*$J$14+$E$27)*$C$27</f>
        <v>0.29893179746586807</v>
      </c>
      <c r="O174" s="76">
        <f>(H174*$H$13+I$27*$I$13+J174*$J$13+$D$27)*$C$27</f>
        <v>-0.42494818576318705</v>
      </c>
      <c r="P174" s="77">
        <f>(H174*$H$14+I$27*$I$14+J174*$J$14+$E$27)*$C$27</f>
        <v>0.19424823203414915</v>
      </c>
      <c r="Q174" s="76">
        <f>(H174*$H$13+I174*$I$13+J$27*$J$13+$D$27)*$C$27</f>
        <v>-6.1776242240680589E-2</v>
      </c>
      <c r="R174" s="75">
        <f>(H174*$H$14+I174*$I$14+J$27*$J$14+$E$27)*$C$27</f>
        <v>-0.40586733573266742</v>
      </c>
    </row>
    <row r="175" spans="2:18">
      <c r="B175" s="81"/>
      <c r="C175">
        <v>16</v>
      </c>
      <c r="D175">
        <v>480</v>
      </c>
      <c r="E175">
        <v>5.8949319999999998</v>
      </c>
      <c r="F175" s="78"/>
      <c r="G175" s="75">
        <f>D$19*(L175-R175)</f>
        <v>0</v>
      </c>
      <c r="H175" s="76">
        <f>(C175-H$16)/H$17-0.5</f>
        <v>-1.6129032258064502E-2</v>
      </c>
      <c r="I175" s="75">
        <f>(D175-I$16)/I$17-0.5</f>
        <v>-4.8387096774193561E-2</v>
      </c>
      <c r="J175" s="75">
        <f>(E175-J$16)/J$17-0.5</f>
        <v>0.13001345839726408</v>
      </c>
      <c r="K175" s="76">
        <f>(H175*$H$13+I175*$I$13+J175*$J$13+$D$27)*$C$27</f>
        <v>-3.3839938892795421E-2</v>
      </c>
      <c r="L175" s="77">
        <f>(H175*$H$14+I175*$I$14+J175*$J$14+$E$27)*$C$27</f>
        <v>0.1316758078364216</v>
      </c>
      <c r="M175" s="76">
        <f>(H$27*$H$13+I175*$I$13+J175*$J$13+$D$27)*$C$27</f>
        <v>0.2080955449781724</v>
      </c>
      <c r="N175" s="77">
        <f>(H$27*$H$14+I175*$I$14+J175*$J$14+$E$27)*$C$27</f>
        <v>0.34119808294555987</v>
      </c>
      <c r="O175" s="76">
        <f>(H175*$H$13+I$27*$I$13+J175*$J$13+$D$27)*$C$27</f>
        <v>-0.42494818576318705</v>
      </c>
      <c r="P175" s="77">
        <f>(H175*$H$14+I$27*$I$14+J175*$J$14+$E$27)*$C$27</f>
        <v>0.24457903364287326</v>
      </c>
      <c r="Q175" s="76">
        <f>(H175*$H$13+I175*$I$13+J$27*$J$13+$D$27)*$C$27</f>
        <v>-3.3839938892795497E-2</v>
      </c>
      <c r="R175" s="75">
        <f>(H175*$H$14+I175*$I$14+J$27*$J$14+$E$27)*$C$27</f>
        <v>-0.41393185186169967</v>
      </c>
    </row>
    <row r="176" spans="2:18">
      <c r="B176" s="81"/>
      <c r="C176">
        <v>16</v>
      </c>
      <c r="D176">
        <v>512</v>
      </c>
      <c r="E176">
        <v>6.4549649999999996</v>
      </c>
      <c r="F176" s="78"/>
      <c r="G176" s="75">
        <f>D$19*(L176-R176)</f>
        <v>0</v>
      </c>
      <c r="H176" s="76">
        <f>(C176-H$16)/H$17-0.5</f>
        <v>-1.6129032258064502E-2</v>
      </c>
      <c r="I176" s="75">
        <f>(D176-I$16)/I$17-0.5</f>
        <v>-1.6129032258064502E-2</v>
      </c>
      <c r="J176" s="75">
        <f>(E176-J$16)/J$17-0.5</f>
        <v>0.197684015005545</v>
      </c>
      <c r="K176" s="76">
        <f>(H176*$H$13+I176*$I$13+J176*$J$13+$D$27)*$C$27</f>
        <v>-5.9036355449102688E-3</v>
      </c>
      <c r="L176" s="77">
        <f>(H176*$H$14+I176*$I$14+J176*$J$14+$E$27)*$C$27</f>
        <v>0.18221571281839355</v>
      </c>
      <c r="M176" s="76">
        <f>(H$27*$H$13+I176*$I$13+J176*$J$13+$D$27)*$C$27</f>
        <v>0.23603184832605753</v>
      </c>
      <c r="N176" s="77">
        <f>(H$27*$H$14+I176*$I$14+J176*$J$14+$E$27)*$C$27</f>
        <v>0.39173798792753178</v>
      </c>
      <c r="O176" s="76">
        <f>(H176*$H$13+I$27*$I$13+J176*$J$13+$D$27)*$C$27</f>
        <v>-0.42494818576318705</v>
      </c>
      <c r="P176" s="77">
        <f>(H176*$H$14+I$27*$I$14+J176*$J$14+$E$27)*$C$27</f>
        <v>0.30318345475387742</v>
      </c>
      <c r="Q176" s="76">
        <f>(H176*$H$13+I176*$I$13+J$27*$J$13+$D$27)*$C$27</f>
        <v>-5.9036355449103546E-3</v>
      </c>
      <c r="R176" s="75">
        <f>(H176*$H$14+I176*$I$14+J$27*$J$14+$E$27)*$C$27</f>
        <v>-0.42199636799073198</v>
      </c>
    </row>
    <row r="177" spans="2:18">
      <c r="B177" s="81"/>
      <c r="C177">
        <v>16</v>
      </c>
      <c r="D177">
        <v>544</v>
      </c>
      <c r="E177">
        <v>7.0405980000000001</v>
      </c>
      <c r="F177" s="78"/>
      <c r="G177" s="75">
        <f>D$19*(L177-R177)</f>
        <v>0</v>
      </c>
      <c r="H177" s="76">
        <f>(C177-H$16)/H$17-0.5</f>
        <v>-1.6129032258064502E-2</v>
      </c>
      <c r="I177" s="75">
        <f>(D177-I$16)/I$17-0.5</f>
        <v>1.6129032258064502E-2</v>
      </c>
      <c r="J177" s="75">
        <f>(E177-J$16)/J$17-0.5</f>
        <v>0.26844790048761014</v>
      </c>
      <c r="K177" s="76">
        <f>(H177*$H$13+I177*$I$13+J177*$J$13+$D$27)*$C$27</f>
        <v>2.2032667802974828E-2</v>
      </c>
      <c r="L177" s="77">
        <f>(H177*$H$14+I177*$I$14+J177*$J$14+$E$27)*$C$27</f>
        <v>0.23543451918732253</v>
      </c>
      <c r="M177" s="76">
        <f>(H$27*$H$13+I177*$I$13+J177*$J$13+$D$27)*$C$27</f>
        <v>0.26396815167394266</v>
      </c>
      <c r="N177" s="77">
        <f>(H$27*$H$14+I177*$I$14+J177*$J$14+$E$27)*$C$27</f>
        <v>0.44495679429646079</v>
      </c>
      <c r="O177" s="76">
        <f>(H177*$H$13+I$27*$I$13+J177*$J$13+$D$27)*$C$27</f>
        <v>-0.42494818576318699</v>
      </c>
      <c r="P177" s="77">
        <f>(H177*$H$14+I$27*$I$14+J177*$J$14+$E$27)*$C$27</f>
        <v>0.36446677725183868</v>
      </c>
      <c r="Q177" s="76">
        <f>(H177*$H$13+I177*$I$13+J$27*$J$13+$D$27)*$C$27</f>
        <v>2.2032667802974734E-2</v>
      </c>
      <c r="R177" s="75">
        <f>(H177*$H$14+I177*$I$14+J$27*$J$14+$E$27)*$C$27</f>
        <v>-0.43006088411976423</v>
      </c>
    </row>
    <row r="178" spans="2:18">
      <c r="B178" s="81"/>
      <c r="C178">
        <v>16</v>
      </c>
      <c r="D178">
        <v>576</v>
      </c>
      <c r="E178">
        <v>7.6569479999999999</v>
      </c>
      <c r="F178" s="78"/>
      <c r="G178" s="75">
        <f>D$19*(L178-R178)</f>
        <v>0</v>
      </c>
      <c r="H178" s="76">
        <f>(C178-H$16)/H$17-0.5</f>
        <v>-1.6129032258064502E-2</v>
      </c>
      <c r="I178" s="75">
        <f>(D178-I$16)/I$17-0.5</f>
        <v>4.8387096774193505E-2</v>
      </c>
      <c r="J178" s="75">
        <f>(E178-J$16)/J$17-0.5</f>
        <v>0.34292341811873883</v>
      </c>
      <c r="K178" s="76">
        <f>(H178*$H$13+I178*$I$13+J178*$J$13+$D$27)*$C$27</f>
        <v>4.996897115085993E-2</v>
      </c>
      <c r="L178" s="77">
        <f>(H178*$H$14+I178*$I$14+J178*$J$14+$E$27)*$C$27</f>
        <v>0.29186769328684359</v>
      </c>
      <c r="M178" s="76">
        <f>(H$27*$H$13+I178*$I$13+J178*$J$13+$D$27)*$C$27</f>
        <v>0.29190445502182777</v>
      </c>
      <c r="N178" s="77">
        <f>(H$27*$H$14+I178*$I$14+J178*$J$14+$E$27)*$C$27</f>
        <v>0.50138996839598193</v>
      </c>
      <c r="O178" s="76">
        <f>(H178*$H$13+I$27*$I$13+J178*$J$13+$D$27)*$C$27</f>
        <v>-0.42494818576318699</v>
      </c>
      <c r="P178" s="77">
        <f>(H178*$H$14+I$27*$I$14+J178*$J$14+$E$27)*$C$27</f>
        <v>0.42896446748039202</v>
      </c>
      <c r="Q178" s="76">
        <f>(H178*$H$13+I178*$I$13+J$27*$J$13+$D$27)*$C$27</f>
        <v>4.9968971150859826E-2</v>
      </c>
      <c r="R178" s="75">
        <f>(H178*$H$14+I178*$I$14+J$27*$J$14+$E$27)*$C$27</f>
        <v>-0.43812540024879648</v>
      </c>
    </row>
    <row r="179" spans="2:18">
      <c r="B179" s="81"/>
      <c r="C179">
        <v>16</v>
      </c>
      <c r="D179">
        <v>608</v>
      </c>
      <c r="E179">
        <v>8.2971269999999997</v>
      </c>
      <c r="F179" s="78"/>
      <c r="G179" s="75">
        <f>D$19*(L179-R179)</f>
        <v>0</v>
      </c>
      <c r="H179" s="76">
        <f>(C179-H$16)/H$17-0.5</f>
        <v>-1.6129032258064502E-2</v>
      </c>
      <c r="I179" s="75">
        <f>(D179-I$16)/I$17-0.5</f>
        <v>8.064516129032262E-2</v>
      </c>
      <c r="J179" s="75">
        <f>(E179-J$16)/J$17-0.5</f>
        <v>0.42027826909882871</v>
      </c>
      <c r="K179" s="76">
        <f>(H179*$H$13+I179*$I$13+J179*$J$13+$D$27)*$C$27</f>
        <v>7.7905274498745125E-2</v>
      </c>
      <c r="L179" s="77">
        <f>(H179*$H$14+I179*$I$14+J179*$J$14+$E$27)*$C$27</f>
        <v>0.35079444321252873</v>
      </c>
      <c r="M179" s="76">
        <f>(H$27*$H$13+I179*$I$13+J179*$J$13+$D$27)*$C$27</f>
        <v>0.31984075836971293</v>
      </c>
      <c r="N179" s="77">
        <f>(H$27*$H$14+I179*$I$14+J179*$J$14+$E$27)*$C$27</f>
        <v>0.56031671832166696</v>
      </c>
      <c r="O179" s="76">
        <f>(H179*$H$13+I$27*$I$13+J179*$J$13+$D$27)*$C$27</f>
        <v>-0.42494818576318699</v>
      </c>
      <c r="P179" s="77">
        <f>(H179*$H$14+I$27*$I$14+J179*$J$14+$E$27)*$C$27</f>
        <v>0.49595573353510941</v>
      </c>
      <c r="Q179" s="76">
        <f>(H179*$H$13+I179*$I$13+J$27*$J$13+$D$27)*$C$27</f>
        <v>7.7905274498745014E-2</v>
      </c>
      <c r="R179" s="75">
        <f>(H179*$H$14+I179*$I$14+J$27*$J$14+$E$27)*$C$27</f>
        <v>-0.44618991637782873</v>
      </c>
    </row>
    <row r="180" spans="2:18">
      <c r="B180" s="81"/>
      <c r="C180">
        <v>16</v>
      </c>
      <c r="D180">
        <v>640</v>
      </c>
      <c r="E180">
        <v>8.9568940000000001</v>
      </c>
      <c r="F180" s="78"/>
      <c r="G180" s="75">
        <f>D$19*(L180-R180)</f>
        <v>0</v>
      </c>
      <c r="H180" s="76">
        <f>(C180-H$16)/H$17-0.5</f>
        <v>-1.6129032258064502E-2</v>
      </c>
      <c r="I180" s="75">
        <f>(D180-I$16)/I$17-0.5</f>
        <v>0.11290322580645162</v>
      </c>
      <c r="J180" s="75">
        <f>(E180-J$16)/J$17-0.5</f>
        <v>0.5</v>
      </c>
      <c r="K180" s="76">
        <f>(H180*$H$13+I180*$I$13+J180*$J$13+$D$27)*$C$27</f>
        <v>0.10584157784663022</v>
      </c>
      <c r="L180" s="77">
        <f>(H180*$H$14+I180*$I$14+J180*$J$14+$E$27)*$C$27</f>
        <v>0.41177097127757772</v>
      </c>
      <c r="M180" s="76">
        <f>(H$27*$H$13+I180*$I$13+J180*$J$13+$D$27)*$C$27</f>
        <v>0.34777706171759803</v>
      </c>
      <c r="N180" s="77">
        <f>(H$27*$H$14+I180*$I$14+J180*$J$14+$E$27)*$C$27</f>
        <v>0.62129324638671601</v>
      </c>
      <c r="O180" s="76">
        <f>(H180*$H$13+I$27*$I$13+J180*$J$13+$D$27)*$C$27</f>
        <v>-0.42494818576318699</v>
      </c>
      <c r="P180" s="77">
        <f>(H180*$H$14+I$27*$I$14+J180*$J$14+$E$27)*$C$27</f>
        <v>0.56499677772919066</v>
      </c>
      <c r="Q180" s="76">
        <f>(H180*$H$13+I180*$I$13+J$27*$J$13+$D$27)*$C$27</f>
        <v>0.10584157784663011</v>
      </c>
      <c r="R180" s="75">
        <f>(H180*$H$14+I180*$I$14+J$27*$J$14+$E$27)*$C$27</f>
        <v>-0.45425443250686098</v>
      </c>
    </row>
    <row r="181" spans="2:18">
      <c r="B181" s="81"/>
      <c r="C181">
        <v>32</v>
      </c>
      <c r="D181">
        <v>32</v>
      </c>
      <c r="E181">
        <v>1.6282080000000001</v>
      </c>
      <c r="F181" s="78"/>
      <c r="G181" s="75">
        <f>D$19*(L181-R181)</f>
        <v>0</v>
      </c>
      <c r="H181" s="76">
        <f>(C181-H$16)/H$17-0.5</f>
        <v>0.5</v>
      </c>
      <c r="I181" s="75">
        <f>(D181-I$16)/I$17-0.5</f>
        <v>-0.5</v>
      </c>
      <c r="J181" s="75">
        <f>(E181-J$16)/J$17-0.5</f>
        <v>-0.3855482816678939</v>
      </c>
      <c r="K181" s="76">
        <f>(H181*$H$13+I181*$I$13+J181*$J$13+$D$27)*$C$27</f>
        <v>-0.68301270189221941</v>
      </c>
      <c r="L181" s="77">
        <f>(H181*$H$14+I181*$I$14+J181*$J$14+$E$27)*$C$27</f>
        <v>-0.42540095725594385</v>
      </c>
      <c r="M181" s="76">
        <f>(H$27*$H$13+I181*$I$13+J181*$J$13+$D$27)*$C$27</f>
        <v>-0.1830127018922193</v>
      </c>
      <c r="N181" s="77">
        <f>(H$27*$H$14+I181*$I$14+J181*$J$14+$E$27)*$C$27</f>
        <v>7.6117446362752861E-3</v>
      </c>
      <c r="O181" s="76">
        <f>(H181*$H$13+I$27*$I$13+J181*$J$13+$D$27)*$C$27</f>
        <v>-0.68301270189221941</v>
      </c>
      <c r="P181" s="77">
        <f>(H181*$H$14+I$27*$I$14+J181*$J$14+$E$27)*$C$27</f>
        <v>-0.42540095725594385</v>
      </c>
      <c r="Q181" s="76">
        <f>(H181*$H$13+I181*$I$13+J$27*$J$13+$D$27)*$C$27</f>
        <v>-0.68301270189221952</v>
      </c>
      <c r="R181" s="75">
        <f>(H181*$H$14+I181*$I$14+J$27*$J$14+$E$27)*$C$27</f>
        <v>-0.52451905283832889</v>
      </c>
    </row>
    <row r="182" spans="2:18">
      <c r="B182" s="81"/>
      <c r="C182">
        <v>32</v>
      </c>
      <c r="D182">
        <v>64</v>
      </c>
      <c r="E182">
        <v>1.9382440000000001</v>
      </c>
      <c r="F182" s="78"/>
      <c r="G182" s="75">
        <f>D$19*(L182-R182)</f>
        <v>0</v>
      </c>
      <c r="H182" s="76">
        <f>(C182-H$16)/H$17-0.5</f>
        <v>0.5</v>
      </c>
      <c r="I182" s="75">
        <f>(D182-I$16)/I$17-0.5</f>
        <v>-0.467741935483871</v>
      </c>
      <c r="J182" s="75">
        <f>(E182-J$16)/J$17-0.5</f>
        <v>-0.34808565234318456</v>
      </c>
      <c r="K182" s="76">
        <f>(H182*$H$13+I182*$I$13+J182*$J$13+$D$27)*$C$27</f>
        <v>-0.65507639854433419</v>
      </c>
      <c r="L182" s="77">
        <f>(H182*$H$14+I182*$I$14+J182*$J$14+$E$27)*$C$27</f>
        <v>-0.40102188469721789</v>
      </c>
      <c r="M182" s="76">
        <f>(H$27*$H$13+I182*$I$13+J182*$J$13+$D$27)*$C$27</f>
        <v>-0.15507639854433419</v>
      </c>
      <c r="N182" s="77">
        <f>(H$27*$H$14+I182*$I$14+J182*$J$14+$E$27)*$C$27</f>
        <v>3.1990817195001187E-2</v>
      </c>
      <c r="O182" s="76">
        <f>(H182*$H$13+I$27*$I$13+J182*$J$13+$D$27)*$C$27</f>
        <v>-0.68301270189221941</v>
      </c>
      <c r="P182" s="77">
        <f>(H182*$H$14+I$27*$I$14+J182*$J$14+$E$27)*$C$27</f>
        <v>-0.39295736856818564</v>
      </c>
      <c r="Q182" s="76">
        <f>(H182*$H$13+I182*$I$13+J$27*$J$13+$D$27)*$C$27</f>
        <v>-0.6550763985443343</v>
      </c>
      <c r="R182" s="75">
        <f>(H182*$H$14+I182*$I$14+J$27*$J$14+$E$27)*$C$27</f>
        <v>-0.53258356896736114</v>
      </c>
    </row>
    <row r="183" spans="2:18">
      <c r="B183" s="81"/>
      <c r="C183">
        <v>32</v>
      </c>
      <c r="D183">
        <v>96</v>
      </c>
      <c r="E183">
        <v>2.3887459999999998</v>
      </c>
      <c r="F183" s="78"/>
      <c r="G183" s="75">
        <f>D$19*(L183-R183)</f>
        <v>0</v>
      </c>
      <c r="H183" s="76">
        <f>(C183-H$16)/H$17-0.5</f>
        <v>0.5</v>
      </c>
      <c r="I183" s="75">
        <f>(D183-I$16)/I$17-0.5</f>
        <v>-0.43548387096774194</v>
      </c>
      <c r="J183" s="75">
        <f>(E183-J$16)/J$17-0.5</f>
        <v>-0.29365007248781216</v>
      </c>
      <c r="K183" s="76">
        <f>(H183*$H$13+I183*$I$13+J183*$J$13+$D$27)*$C$27</f>
        <v>-0.6271400951964492</v>
      </c>
      <c r="L183" s="77">
        <f>(H183*$H$14+I183*$I$14+J183*$J$14+$E$27)*$C$27</f>
        <v>-0.36194380580176128</v>
      </c>
      <c r="M183" s="76">
        <f>(H$27*$H$13+I183*$I$13+J183*$J$13+$D$27)*$C$27</f>
        <v>-0.12714009519644906</v>
      </c>
      <c r="N183" s="77">
        <f>(H$27*$H$14+I183*$I$14+J183*$J$14+$E$27)*$C$27</f>
        <v>7.10688960904578E-2</v>
      </c>
      <c r="O183" s="76">
        <f>(H183*$H$13+I$27*$I$13+J183*$J$13+$D$27)*$C$27</f>
        <v>-0.68301270189221941</v>
      </c>
      <c r="P183" s="77">
        <f>(H183*$H$14+I$27*$I$14+J183*$J$14+$E$27)*$C$27</f>
        <v>-0.34581477354369672</v>
      </c>
      <c r="Q183" s="76">
        <f>(H183*$H$13+I183*$I$13+J$27*$J$13+$D$27)*$C$27</f>
        <v>-0.62714009519644931</v>
      </c>
      <c r="R183" s="75">
        <f>(H183*$H$14+I183*$I$14+J$27*$J$14+$E$27)*$C$27</f>
        <v>-0.54064808509639339</v>
      </c>
    </row>
    <row r="184" spans="2:18">
      <c r="B184" s="81"/>
      <c r="C184">
        <v>32</v>
      </c>
      <c r="D184">
        <v>128</v>
      </c>
      <c r="E184">
        <v>2.9500410000000001</v>
      </c>
      <c r="F184" s="78"/>
      <c r="G184" s="75">
        <f>D$19*(L184-R184)</f>
        <v>0</v>
      </c>
      <c r="H184" s="76">
        <f>(C184-H$16)/H$17-0.5</f>
        <v>0.5</v>
      </c>
      <c r="I184" s="75">
        <f>(D184-I$16)/I$17-0.5</f>
        <v>-0.40322580645161288</v>
      </c>
      <c r="J184" s="75">
        <f>(E184-J$16)/J$17-0.5</f>
        <v>-0.22582702443270641</v>
      </c>
      <c r="K184" s="76">
        <f>(H184*$H$13+I184*$I$13+J184*$J$13+$D$27)*$C$27</f>
        <v>-0.59920379184856398</v>
      </c>
      <c r="L184" s="77">
        <f>(H184*$H$14+I184*$I$14+J184*$J$14+$E$27)*$C$27</f>
        <v>-0.3112718393529792</v>
      </c>
      <c r="M184" s="76">
        <f>(H$27*$H$13+I184*$I$13+J184*$J$13+$D$27)*$C$27</f>
        <v>-9.9203791848563899E-2</v>
      </c>
      <c r="N184" s="77">
        <f>(H$27*$H$14+I184*$I$14+J184*$J$14+$E$27)*$C$27</f>
        <v>0.12174086253923991</v>
      </c>
      <c r="O184" s="76">
        <f>(H184*$H$13+I$27*$I$13+J184*$J$13+$D$27)*$C$27</f>
        <v>-0.68301270189221941</v>
      </c>
      <c r="P184" s="77">
        <f>(H184*$H$14+I$27*$I$14+J184*$J$14+$E$27)*$C$27</f>
        <v>-0.28707829096588239</v>
      </c>
      <c r="Q184" s="76">
        <f>(H184*$H$13+I184*$I$13+J$27*$J$13+$D$27)*$C$27</f>
        <v>-0.59920379184856409</v>
      </c>
      <c r="R184" s="75">
        <f>(H184*$H$14+I184*$I$14+J$27*$J$14+$E$27)*$C$27</f>
        <v>-0.54871260122542564</v>
      </c>
    </row>
    <row r="185" spans="2:18">
      <c r="B185" s="81"/>
      <c r="C185">
        <v>32</v>
      </c>
      <c r="D185">
        <v>160</v>
      </c>
      <c r="E185">
        <v>3.643176</v>
      </c>
      <c r="F185" s="78"/>
      <c r="G185" s="75">
        <f>D$19*(L185-R185)</f>
        <v>0</v>
      </c>
      <c r="H185" s="76">
        <f>(C185-H$16)/H$17-0.5</f>
        <v>0.5</v>
      </c>
      <c r="I185" s="75">
        <f>(D185-I$16)/I$17-0.5</f>
        <v>-0.37096774193548387</v>
      </c>
      <c r="J185" s="75">
        <f>(E185-J$16)/J$17-0.5</f>
        <v>-0.14207333267761202</v>
      </c>
      <c r="K185" s="76">
        <f>(H185*$H$13+I185*$I$13+J185*$J$13+$D$27)*$C$27</f>
        <v>-0.57126748850067888</v>
      </c>
      <c r="L185" s="77">
        <f>(H185*$H$14+I185*$I$14+J185*$J$14+$E$27)*$C$27</f>
        <v>-0.24680353076136841</v>
      </c>
      <c r="M185" s="76">
        <f>(H$27*$H$13+I185*$I$13+J185*$J$13+$D$27)*$C$27</f>
        <v>-7.126748850067878E-2</v>
      </c>
      <c r="N185" s="77">
        <f>(H$27*$H$14+I185*$I$14+J185*$J$14+$E$27)*$C$27</f>
        <v>0.1862091711308507</v>
      </c>
      <c r="O185" s="76">
        <f>(H185*$H$13+I$27*$I$13+J185*$J$13+$D$27)*$C$27</f>
        <v>-0.68301270189221941</v>
      </c>
      <c r="P185" s="77">
        <f>(H185*$H$14+I$27*$I$14+J185*$J$14+$E$27)*$C$27</f>
        <v>-0.21454546624523935</v>
      </c>
      <c r="Q185" s="76">
        <f>(H185*$H$13+I185*$I$13+J$27*$J$13+$D$27)*$C$27</f>
        <v>-0.57126748850067899</v>
      </c>
      <c r="R185" s="75">
        <f>(H185*$H$14+I185*$I$14+J$27*$J$14+$E$27)*$C$27</f>
        <v>-0.5567771173544579</v>
      </c>
    </row>
    <row r="186" spans="2:18">
      <c r="B186" s="81"/>
      <c r="C186">
        <v>32</v>
      </c>
      <c r="D186">
        <v>192</v>
      </c>
      <c r="E186">
        <v>4.4656200000000004</v>
      </c>
      <c r="F186" s="78"/>
      <c r="G186" s="75">
        <f>D$19*(L186-R186)</f>
        <v>0</v>
      </c>
      <c r="H186" s="76">
        <f>(C186-H$16)/H$17-0.5</f>
        <v>0.5</v>
      </c>
      <c r="I186" s="75">
        <f>(D186-I$16)/I$17-0.5</f>
        <v>-0.33870967741935487</v>
      </c>
      <c r="J186" s="75">
        <f>(E186-J$16)/J$17-0.5</f>
        <v>-4.2694825948292547E-2</v>
      </c>
      <c r="K186" s="76">
        <f>(H186*$H$13+I186*$I$13+J186*$J$13+$D$27)*$C$27</f>
        <v>-0.54333118515279377</v>
      </c>
      <c r="L186" s="77">
        <f>(H186*$H$14+I186*$I$14+J186*$J$14+$E$27)*$C$27</f>
        <v>-0.16880373547264718</v>
      </c>
      <c r="M186" s="76">
        <f>(H$27*$H$13+I186*$I$13+J186*$J$13+$D$27)*$C$27</f>
        <v>-4.3331185152793723E-2</v>
      </c>
      <c r="N186" s="77">
        <f>(H$27*$H$14+I186*$I$14+J186*$J$14+$E$27)*$C$27</f>
        <v>0.26420896641957192</v>
      </c>
      <c r="O186" s="76">
        <f>(H186*$H$13+I$27*$I$13+J186*$J$13+$D$27)*$C$27</f>
        <v>-0.68301270189221941</v>
      </c>
      <c r="P186" s="77">
        <f>(H186*$H$14+I$27*$I$14+J186*$J$14+$E$27)*$C$27</f>
        <v>-0.1284811548274859</v>
      </c>
      <c r="Q186" s="76">
        <f>(H186*$H$13+I186*$I$13+J$27*$J$13+$D$27)*$C$27</f>
        <v>-0.54333118515279388</v>
      </c>
      <c r="R186" s="75">
        <f>(H186*$H$14+I186*$I$14+J$27*$J$14+$E$27)*$C$27</f>
        <v>-0.56484163348349015</v>
      </c>
    </row>
    <row r="187" spans="2:18">
      <c r="B187" s="81"/>
      <c r="C187">
        <v>32</v>
      </c>
      <c r="D187">
        <v>224</v>
      </c>
      <c r="E187">
        <v>5.4156950000000004</v>
      </c>
      <c r="F187" s="78"/>
      <c r="G187" s="75">
        <f>D$19*(L187-R187)</f>
        <v>0</v>
      </c>
      <c r="H187" s="76">
        <f>(C187-H$16)/H$17-0.5</f>
        <v>0.5</v>
      </c>
      <c r="I187" s="75">
        <f>(D187-I$16)/I$17-0.5</f>
        <v>-0.30645161290322581</v>
      </c>
      <c r="J187" s="75">
        <f>(E187-J$16)/J$17-0.5</f>
        <v>7.2105737714228124E-2</v>
      </c>
      <c r="K187" s="76">
        <f>(H187*$H$13+I187*$I$13+J187*$J$13+$D$27)*$C$27</f>
        <v>-0.51539488180490867</v>
      </c>
      <c r="L187" s="77">
        <f>(H187*$H$14+I187*$I$14+J187*$J$14+$E$27)*$C$27</f>
        <v>-7.7448047101163819E-2</v>
      </c>
      <c r="M187" s="76">
        <f>(H$27*$H$13+I187*$I$13+J187*$J$13+$D$27)*$C$27</f>
        <v>-1.5394881804908547E-2</v>
      </c>
      <c r="N187" s="77">
        <f>(H$27*$H$14+I187*$I$14+J187*$J$14+$E$27)*$C$27</f>
        <v>0.3555646547910552</v>
      </c>
      <c r="O187" s="76">
        <f>(H187*$H$13+I$27*$I$13+J187*$J$13+$D$27)*$C$27</f>
        <v>-0.68301270189221941</v>
      </c>
      <c r="P187" s="77">
        <f>(H187*$H$14+I$27*$I$14+J187*$J$14+$E$27)*$C$27</f>
        <v>-2.9060950326970265E-2</v>
      </c>
      <c r="Q187" s="76">
        <f>(H187*$H$13+I187*$I$13+J$27*$J$13+$D$27)*$C$27</f>
        <v>-0.51539488180490878</v>
      </c>
      <c r="R187" s="75">
        <f>(H187*$H$14+I187*$I$14+J$27*$J$14+$E$27)*$C$27</f>
        <v>-0.5729061496125224</v>
      </c>
    </row>
    <row r="188" spans="2:18">
      <c r="B188" s="81"/>
      <c r="C188">
        <v>32</v>
      </c>
      <c r="D188">
        <v>256</v>
      </c>
      <c r="E188">
        <v>6.4568709999999996</v>
      </c>
      <c r="F188" s="78"/>
      <c r="G188" s="75">
        <f>D$19*(L188-R188)</f>
        <v>0</v>
      </c>
      <c r="H188" s="76">
        <f>(C188-H$16)/H$17-0.5</f>
        <v>0.5</v>
      </c>
      <c r="I188" s="75">
        <f>(D188-I$16)/I$17-0.5</f>
        <v>-0.27419354838709675</v>
      </c>
      <c r="J188" s="75">
        <f>(E188-J$16)/J$17-0.5</f>
        <v>0.19791432300685097</v>
      </c>
      <c r="K188" s="76">
        <f>(H188*$H$13+I188*$I$13+J188*$J$13+$D$27)*$C$27</f>
        <v>-0.48745857845702356</v>
      </c>
      <c r="L188" s="77">
        <f>(H188*$H$14+I188*$I$14+J188*$J$14+$E$27)*$C$27</f>
        <v>2.3440867647396585E-2</v>
      </c>
      <c r="M188" s="76">
        <f>(H$27*$H$13+I188*$I$13+J188*$J$13+$D$27)*$C$27</f>
        <v>1.2541421542976602E-2</v>
      </c>
      <c r="N188" s="77">
        <f>(H$27*$H$14+I188*$I$14+J188*$J$14+$E$27)*$C$27</f>
        <v>0.45645356953961569</v>
      </c>
      <c r="O188" s="76">
        <f>(H188*$H$13+I$27*$I$13+J188*$J$13+$D$27)*$C$27</f>
        <v>-0.68301270189221941</v>
      </c>
      <c r="P188" s="77">
        <f>(H188*$H$14+I$27*$I$14+J188*$J$14+$E$27)*$C$27</f>
        <v>7.9892480550622424E-2</v>
      </c>
      <c r="Q188" s="76">
        <f>(H188*$H$13+I188*$I$13+J$27*$J$13+$D$27)*$C$27</f>
        <v>-0.48745857845702362</v>
      </c>
      <c r="R188" s="75">
        <f>(H188*$H$14+I188*$I$14+J$27*$J$14+$E$27)*$C$27</f>
        <v>-0.58097066574155476</v>
      </c>
    </row>
    <row r="189" spans="2:18">
      <c r="B189" s="81"/>
      <c r="C189">
        <v>32</v>
      </c>
      <c r="D189">
        <v>288</v>
      </c>
      <c r="E189">
        <v>7.6562700000000001</v>
      </c>
      <c r="F189" s="78"/>
      <c r="G189" s="75">
        <f>D$19*(L189-R189)</f>
        <v>0</v>
      </c>
      <c r="H189" s="76">
        <f>(C189-H$16)/H$17-0.5</f>
        <v>0.5</v>
      </c>
      <c r="I189" s="75">
        <f>(D189-I$16)/I$17-0.5</f>
        <v>-0.24193548387096775</v>
      </c>
      <c r="J189" s="75">
        <f>(E189-J$16)/J$17-0.5</f>
        <v>0.34284149323684721</v>
      </c>
      <c r="K189" s="76">
        <f>(H189*$H$13+I189*$I$13+J189*$J$13+$D$27)*$C$27</f>
        <v>-0.4595222751091384</v>
      </c>
      <c r="L189" s="77">
        <f>(H189*$H$14+I189*$I$14+J189*$J$14+$E$27)*$C$27</f>
        <v>0.14088696263613293</v>
      </c>
      <c r="M189" s="76">
        <f>(H$27*$H$13+I189*$I$13+J189*$J$13+$D$27)*$C$27</f>
        <v>4.0477724890861724E-2</v>
      </c>
      <c r="N189" s="77">
        <f>(H$27*$H$14+I189*$I$14+J189*$J$14+$E$27)*$C$27</f>
        <v>0.57389966452835206</v>
      </c>
      <c r="O189" s="76">
        <f>(H189*$H$13+I$27*$I$13+J189*$J$13+$D$27)*$C$27</f>
        <v>-0.68301270189221941</v>
      </c>
      <c r="P189" s="77">
        <f>(H189*$H$14+I$27*$I$14+J189*$J$14+$E$27)*$C$27</f>
        <v>0.20540309166839102</v>
      </c>
      <c r="Q189" s="76">
        <f>(H189*$H$13+I189*$I$13+J$27*$J$13+$D$27)*$C$27</f>
        <v>-0.45952227510913851</v>
      </c>
      <c r="R189" s="75">
        <f>(H189*$H$14+I189*$I$14+J$27*$J$14+$E$27)*$C$27</f>
        <v>-0.58903518187058701</v>
      </c>
    </row>
    <row r="190" spans="2:18">
      <c r="F190"/>
      <c r="G190"/>
    </row>
    <row r="191" spans="2:18">
      <c r="F191"/>
      <c r="G191"/>
    </row>
    <row r="192" spans="2:18">
      <c r="F192"/>
      <c r="G192"/>
    </row>
    <row r="193" spans="6:7">
      <c r="F193"/>
      <c r="G193"/>
    </row>
    <row r="194" spans="6:7">
      <c r="F194"/>
      <c r="G194"/>
    </row>
    <row r="195" spans="6:7">
      <c r="F195"/>
      <c r="G195"/>
    </row>
    <row r="196" spans="6:7">
      <c r="F196"/>
      <c r="G196"/>
    </row>
    <row r="197" spans="6:7">
      <c r="F197"/>
      <c r="G197"/>
    </row>
    <row r="198" spans="6:7">
      <c r="F198"/>
      <c r="G198"/>
    </row>
    <row r="199" spans="6:7">
      <c r="F199"/>
      <c r="G199"/>
    </row>
    <row r="200" spans="6:7">
      <c r="F200"/>
      <c r="G200"/>
    </row>
    <row r="201" spans="6:7">
      <c r="F201"/>
      <c r="G201"/>
    </row>
    <row r="202" spans="6:7">
      <c r="F202"/>
      <c r="G202"/>
    </row>
    <row r="203" spans="6:7">
      <c r="F203"/>
      <c r="G203"/>
    </row>
    <row r="204" spans="6:7">
      <c r="F204"/>
      <c r="G204"/>
    </row>
    <row r="205" spans="6:7">
      <c r="F205"/>
      <c r="G205"/>
    </row>
    <row r="206" spans="6:7">
      <c r="F206"/>
      <c r="G206"/>
    </row>
    <row r="207" spans="6:7">
      <c r="F207"/>
      <c r="G207"/>
    </row>
    <row r="208" spans="6:7">
      <c r="F208"/>
      <c r="G208"/>
    </row>
    <row r="209" spans="6:7">
      <c r="F209"/>
      <c r="G209"/>
    </row>
    <row r="210" spans="6:7">
      <c r="F210"/>
      <c r="G210"/>
    </row>
    <row r="211" spans="6:7">
      <c r="F211"/>
      <c r="G211"/>
    </row>
    <row r="212" spans="6:7">
      <c r="F212"/>
      <c r="G212"/>
    </row>
    <row r="213" spans="6:7">
      <c r="F213"/>
      <c r="G213"/>
    </row>
    <row r="214" spans="6:7">
      <c r="F214"/>
      <c r="G214"/>
    </row>
    <row r="215" spans="6:7">
      <c r="F215"/>
      <c r="G215"/>
    </row>
    <row r="216" spans="6:7">
      <c r="F216"/>
      <c r="G216"/>
    </row>
    <row r="217" spans="6:7">
      <c r="F217"/>
      <c r="G217"/>
    </row>
    <row r="218" spans="6:7">
      <c r="F218"/>
      <c r="G218"/>
    </row>
    <row r="219" spans="6:7">
      <c r="F219"/>
      <c r="G219"/>
    </row>
    <row r="220" spans="6:7">
      <c r="F220"/>
      <c r="G220"/>
    </row>
    <row r="221" spans="6:7">
      <c r="F221"/>
      <c r="G221"/>
    </row>
    <row r="222" spans="6:7">
      <c r="F222"/>
      <c r="G222"/>
    </row>
    <row r="223" spans="6:7">
      <c r="F223"/>
      <c r="G223"/>
    </row>
    <row r="224" spans="6:7">
      <c r="F224"/>
      <c r="G224"/>
    </row>
    <row r="225" spans="6:7">
      <c r="F225"/>
      <c r="G225"/>
    </row>
    <row r="226" spans="6:7">
      <c r="F226"/>
      <c r="G226"/>
    </row>
    <row r="227" spans="6:7">
      <c r="F227"/>
      <c r="G227"/>
    </row>
    <row r="228" spans="6:7">
      <c r="F228"/>
      <c r="G228"/>
    </row>
    <row r="229" spans="6:7">
      <c r="F229"/>
      <c r="G229"/>
    </row>
    <row r="230" spans="6:7">
      <c r="F230"/>
      <c r="G230"/>
    </row>
    <row r="231" spans="6:7">
      <c r="F231"/>
      <c r="G231"/>
    </row>
    <row r="232" spans="6:7">
      <c r="F232"/>
      <c r="G232"/>
    </row>
    <row r="233" spans="6:7">
      <c r="F233"/>
      <c r="G233"/>
    </row>
    <row r="234" spans="6:7">
      <c r="F234"/>
      <c r="G234"/>
    </row>
    <row r="235" spans="6:7">
      <c r="F235"/>
      <c r="G235"/>
    </row>
    <row r="236" spans="6:7">
      <c r="F236"/>
      <c r="G236"/>
    </row>
    <row r="237" spans="6:7">
      <c r="F237"/>
      <c r="G237"/>
    </row>
    <row r="238" spans="6:7">
      <c r="F238"/>
      <c r="G238"/>
    </row>
    <row r="239" spans="6:7">
      <c r="F239"/>
      <c r="G239"/>
    </row>
    <row r="240" spans="6:7">
      <c r="F240"/>
      <c r="G240"/>
    </row>
    <row r="241" spans="6:7">
      <c r="F241"/>
      <c r="G241"/>
    </row>
    <row r="242" spans="6:7">
      <c r="F242"/>
      <c r="G242"/>
    </row>
    <row r="243" spans="6:7">
      <c r="F243"/>
      <c r="G243"/>
    </row>
    <row r="244" spans="6:7">
      <c r="F244"/>
      <c r="G244"/>
    </row>
    <row r="245" spans="6:7">
      <c r="F245"/>
      <c r="G245"/>
    </row>
    <row r="246" spans="6:7">
      <c r="F246"/>
      <c r="G246"/>
    </row>
    <row r="247" spans="6:7">
      <c r="F247"/>
      <c r="G247"/>
    </row>
    <row r="248" spans="6:7">
      <c r="F248"/>
      <c r="G248"/>
    </row>
    <row r="249" spans="6:7">
      <c r="F249"/>
      <c r="G249"/>
    </row>
    <row r="250" spans="6:7">
      <c r="F250"/>
      <c r="G250"/>
    </row>
    <row r="251" spans="6:7">
      <c r="F251"/>
      <c r="G251"/>
    </row>
    <row r="252" spans="6:7">
      <c r="F252"/>
      <c r="G252"/>
    </row>
    <row r="253" spans="6:7">
      <c r="F253"/>
      <c r="G253"/>
    </row>
    <row r="254" spans="6:7">
      <c r="F254"/>
      <c r="G254"/>
    </row>
    <row r="255" spans="6:7">
      <c r="F255"/>
      <c r="G255"/>
    </row>
    <row r="256" spans="6:7">
      <c r="F256"/>
      <c r="G256"/>
    </row>
    <row r="257" spans="6:7">
      <c r="F257"/>
      <c r="G257"/>
    </row>
    <row r="258" spans="6:7">
      <c r="F258"/>
      <c r="G258"/>
    </row>
    <row r="259" spans="6:7">
      <c r="F259"/>
      <c r="G259"/>
    </row>
    <row r="260" spans="6:7">
      <c r="F260"/>
      <c r="G260"/>
    </row>
    <row r="261" spans="6:7">
      <c r="F261"/>
      <c r="G261"/>
    </row>
    <row r="262" spans="6:7">
      <c r="F262"/>
      <c r="G262"/>
    </row>
    <row r="263" spans="6:7">
      <c r="F263"/>
      <c r="G263"/>
    </row>
    <row r="264" spans="6:7">
      <c r="F264"/>
      <c r="G264"/>
    </row>
    <row r="265" spans="6:7">
      <c r="F265"/>
      <c r="G265"/>
    </row>
    <row r="266" spans="6:7">
      <c r="F266"/>
      <c r="G266"/>
    </row>
    <row r="267" spans="6:7">
      <c r="F267"/>
      <c r="G267"/>
    </row>
    <row r="268" spans="6:7">
      <c r="F268"/>
      <c r="G268"/>
    </row>
    <row r="269" spans="6:7">
      <c r="F269"/>
      <c r="G269"/>
    </row>
    <row r="270" spans="6:7">
      <c r="F270"/>
      <c r="G270"/>
    </row>
    <row r="271" spans="6:7">
      <c r="F271"/>
      <c r="G271"/>
    </row>
    <row r="272" spans="6:7">
      <c r="F272"/>
      <c r="G272"/>
    </row>
    <row r="273" spans="6:7">
      <c r="F273"/>
      <c r="G273"/>
    </row>
    <row r="274" spans="6:7">
      <c r="F274"/>
      <c r="G274"/>
    </row>
    <row r="275" spans="6:7">
      <c r="F275"/>
      <c r="G275"/>
    </row>
    <row r="276" spans="6:7">
      <c r="F276"/>
      <c r="G276"/>
    </row>
    <row r="277" spans="6:7">
      <c r="F277"/>
      <c r="G277"/>
    </row>
    <row r="278" spans="6:7">
      <c r="F278"/>
      <c r="G278"/>
    </row>
    <row r="279" spans="6:7">
      <c r="F279"/>
      <c r="G279"/>
    </row>
    <row r="280" spans="6:7">
      <c r="F280"/>
      <c r="G280"/>
    </row>
    <row r="281" spans="6:7">
      <c r="F281"/>
      <c r="G281"/>
    </row>
    <row r="282" spans="6:7">
      <c r="F282"/>
      <c r="G282"/>
    </row>
    <row r="283" spans="6:7">
      <c r="F283"/>
      <c r="G283"/>
    </row>
    <row r="284" spans="6:7">
      <c r="F284"/>
      <c r="G284"/>
    </row>
    <row r="285" spans="6:7">
      <c r="F285"/>
      <c r="G285"/>
    </row>
    <row r="286" spans="6:7">
      <c r="F286"/>
      <c r="G286"/>
    </row>
    <row r="287" spans="6:7">
      <c r="F287"/>
      <c r="G287"/>
    </row>
    <row r="288" spans="6:7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6" spans="6:7">
      <c r="F306"/>
      <c r="G306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</sheetData>
  <phoneticPr fontId="4"/>
  <dataValidations count="1">
    <dataValidation allowBlank="1" showInputMessage="1" showErrorMessage="1" sqref="F33:R189 B33:B189"/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3" name="Slider rot x">
              <controlPr defaultSize="0" autoPict="0">
                <anchor moveWithCells="1">
                  <from>
                    <xdr:col>2</xdr:col>
                    <xdr:colOff>25400</xdr:colOff>
                    <xdr:row>9</xdr:row>
                    <xdr:rowOff>12700</xdr:rowOff>
                  </from>
                  <to>
                    <xdr:col>5</xdr:col>
                    <xdr:colOff>952500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0" r:id="rId4" name="Slider rot y">
              <controlPr defaultSize="0" autoPict="0">
                <anchor moveWithCells="1">
                  <from>
                    <xdr:col>2</xdr:col>
                    <xdr:colOff>25400</xdr:colOff>
                    <xdr:row>10</xdr:row>
                    <xdr:rowOff>0</xdr:rowOff>
                  </from>
                  <to>
                    <xdr:col>5</xdr:col>
                    <xdr:colOff>952500</xdr:colOff>
                    <xdr:row>10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1" r:id="rId5" name="Slider rot z">
              <controlPr defaultSize="0" autoPict="0">
                <anchor moveWithCells="1">
                  <from>
                    <xdr:col>2</xdr:col>
                    <xdr:colOff>25400</xdr:colOff>
                    <xdr:row>11</xdr:row>
                    <xdr:rowOff>0</xdr:rowOff>
                  </from>
                  <to>
                    <xdr:col>5</xdr:col>
                    <xdr:colOff>952500</xdr:colOff>
                    <xdr:row>11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2" r:id="rId6" name="Slider proj x">
              <controlPr defaultSize="0" autoPict="0">
                <anchor moveWithCells="1">
                  <from>
                    <xdr:col>2</xdr:col>
                    <xdr:colOff>25400</xdr:colOff>
                    <xdr:row>15</xdr:row>
                    <xdr:rowOff>0</xdr:rowOff>
                  </from>
                  <to>
                    <xdr:col>5</xdr:col>
                    <xdr:colOff>952500</xdr:colOff>
                    <xdr:row>15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3" r:id="rId7" name="Slider proj y">
              <controlPr defaultSize="0" autoPict="0">
                <anchor moveWithCells="1">
                  <from>
                    <xdr:col>2</xdr:col>
                    <xdr:colOff>25400</xdr:colOff>
                    <xdr:row>16</xdr:row>
                    <xdr:rowOff>0</xdr:rowOff>
                  </from>
                  <to>
                    <xdr:col>5</xdr:col>
                    <xdr:colOff>952500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4" r:id="rId8" name="Slider proj z">
              <controlPr defaultSize="0" autoPict="0">
                <anchor moveWithCells="1">
                  <from>
                    <xdr:col>2</xdr:col>
                    <xdr:colOff>25400</xdr:colOff>
                    <xdr:row>17</xdr:row>
                    <xdr:rowOff>0</xdr:rowOff>
                  </from>
                  <to>
                    <xdr:col>5</xdr:col>
                    <xdr:colOff>952500</xdr:colOff>
                    <xdr:row>17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5" r:id="rId9" name="Slider zoom">
              <controlPr defaultSize="0" autoPict="0">
                <anchor moveWithCells="1">
                  <from>
                    <xdr:col>2</xdr:col>
                    <xdr:colOff>25400</xdr:colOff>
                    <xdr:row>19</xdr:row>
                    <xdr:rowOff>12700</xdr:rowOff>
                  </from>
                  <to>
                    <xdr:col>5</xdr:col>
                    <xdr:colOff>952500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" r:id="rId10" name="Slider shift x">
              <controlPr defaultSize="0" autoPict="0">
                <anchor moveWithCells="1">
                  <from>
                    <xdr:col>2</xdr:col>
                    <xdr:colOff>25400</xdr:colOff>
                    <xdr:row>20</xdr:row>
                    <xdr:rowOff>0</xdr:rowOff>
                  </from>
                  <to>
                    <xdr:col>5</xdr:col>
                    <xdr:colOff>952500</xdr:colOff>
                    <xdr:row>20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8" r:id="rId11" name="Slider shift y">
              <controlPr defaultSize="0" autoPict="0">
                <anchor moveWithCells="1">
                  <from>
                    <xdr:col>2</xdr:col>
                    <xdr:colOff>25400</xdr:colOff>
                    <xdr:row>21</xdr:row>
                    <xdr:rowOff>12700</xdr:rowOff>
                  </from>
                  <to>
                    <xdr:col>5</xdr:col>
                    <xdr:colOff>952500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5" r:id="rId12" name="ToscaleSwitch">
              <controlPr defaultSize="0" autoFill="0" autoLine="0" autoPict="0">
                <anchor moveWithCells="1">
                  <from>
                    <xdr:col>1</xdr:col>
                    <xdr:colOff>711200</xdr:colOff>
                    <xdr:row>21</xdr:row>
                    <xdr:rowOff>177800</xdr:rowOff>
                  </from>
                  <to>
                    <xdr:col>3</xdr:col>
                    <xdr:colOff>254000</xdr:colOff>
                    <xdr:row>23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4104" r:id="rId13" name="ZdropLines">
              <controlPr defaultSize="0" autoFill="0" autoLine="0" autoPict="0">
                <anchor moveWithCells="1">
                  <from>
                    <xdr:col>1</xdr:col>
                    <xdr:colOff>711200</xdr:colOff>
                    <xdr:row>17</xdr:row>
                    <xdr:rowOff>190500</xdr:rowOff>
                  </from>
                  <to>
                    <xdr:col>2</xdr:col>
                    <xdr:colOff>901700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1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plot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</dc:creator>
  <cp:lastModifiedBy>Phil</cp:lastModifiedBy>
  <dcterms:created xsi:type="dcterms:W3CDTF">2012-09-19T17:34:13Z</dcterms:created>
  <dcterms:modified xsi:type="dcterms:W3CDTF">2014-06-11T13:02:45Z</dcterms:modified>
</cp:coreProperties>
</file>