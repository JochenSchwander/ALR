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date1904="1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C:\Hochschule\ALR\vs2012project\rsa_cracker\rsa_cracker\alr\statistic\euclidean_gcd\"/>
    </mc:Choice>
  </mc:AlternateContent>
  <bookViews>
    <workbookView xWindow="75" yWindow="0" windowWidth="36840" windowHeight="19575" tabRatio="500"/>
  </bookViews>
  <sheets>
    <sheet name="plot" sheetId="1" r:id="rId1"/>
  </sheets>
  <definedNames>
    <definedName name="_xlnm._FilterDatabase" localSheetId="0" hidden="1">plot!$B$32:$R$464</definedName>
    <definedName name="firstLabel">plot!$B$33</definedName>
    <definedName name="firstZ">plot!$E$33</definedName>
    <definedName name="NrPoints">plot!$H$8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7" i="1"/>
  <c r="H281" i="1"/>
  <c r="I16" i="1"/>
  <c r="I17" i="1"/>
  <c r="I281" i="1"/>
  <c r="J16" i="1"/>
  <c r="J17" i="1"/>
  <c r="J281" i="1"/>
  <c r="H18" i="1"/>
  <c r="H14" i="1"/>
  <c r="I18" i="1"/>
  <c r="I14" i="1"/>
  <c r="J18" i="1"/>
  <c r="J14" i="1"/>
  <c r="L281" i="1"/>
  <c r="R281" i="1"/>
  <c r="G281" i="1"/>
  <c r="H282" i="1"/>
  <c r="I282" i="1"/>
  <c r="J282" i="1"/>
  <c r="L282" i="1"/>
  <c r="R282" i="1"/>
  <c r="G282" i="1"/>
  <c r="H283" i="1"/>
  <c r="I283" i="1"/>
  <c r="J283" i="1"/>
  <c r="L283" i="1"/>
  <c r="R283" i="1"/>
  <c r="G283" i="1"/>
  <c r="H284" i="1"/>
  <c r="I284" i="1"/>
  <c r="J284" i="1"/>
  <c r="L284" i="1"/>
  <c r="R284" i="1"/>
  <c r="G284" i="1"/>
  <c r="H285" i="1"/>
  <c r="I285" i="1"/>
  <c r="J285" i="1"/>
  <c r="L285" i="1"/>
  <c r="R285" i="1"/>
  <c r="G285" i="1"/>
  <c r="H286" i="1"/>
  <c r="I286" i="1"/>
  <c r="J286" i="1"/>
  <c r="L286" i="1"/>
  <c r="R286" i="1"/>
  <c r="G286" i="1"/>
  <c r="H287" i="1"/>
  <c r="I287" i="1"/>
  <c r="J287" i="1"/>
  <c r="L287" i="1"/>
  <c r="R287" i="1"/>
  <c r="G287" i="1"/>
  <c r="H288" i="1"/>
  <c r="I288" i="1"/>
  <c r="J288" i="1"/>
  <c r="L288" i="1"/>
  <c r="R288" i="1"/>
  <c r="G288" i="1"/>
  <c r="H289" i="1"/>
  <c r="I289" i="1"/>
  <c r="J289" i="1"/>
  <c r="L289" i="1"/>
  <c r="R289" i="1"/>
  <c r="G289" i="1"/>
  <c r="H290" i="1"/>
  <c r="I290" i="1"/>
  <c r="J290" i="1"/>
  <c r="L290" i="1"/>
  <c r="R290" i="1"/>
  <c r="G290" i="1"/>
  <c r="H291" i="1"/>
  <c r="I291" i="1"/>
  <c r="J291" i="1"/>
  <c r="L291" i="1"/>
  <c r="R291" i="1"/>
  <c r="G291" i="1"/>
  <c r="H292" i="1"/>
  <c r="I292" i="1"/>
  <c r="J292" i="1"/>
  <c r="L292" i="1"/>
  <c r="R292" i="1"/>
  <c r="G292" i="1"/>
  <c r="H293" i="1"/>
  <c r="I293" i="1"/>
  <c r="J293" i="1"/>
  <c r="L293" i="1"/>
  <c r="R293" i="1"/>
  <c r="G293" i="1"/>
  <c r="H294" i="1"/>
  <c r="I294" i="1"/>
  <c r="J294" i="1"/>
  <c r="L294" i="1"/>
  <c r="R294" i="1"/>
  <c r="G294" i="1"/>
  <c r="H295" i="1"/>
  <c r="I295" i="1"/>
  <c r="J295" i="1"/>
  <c r="L295" i="1"/>
  <c r="R295" i="1"/>
  <c r="G295" i="1"/>
  <c r="H296" i="1"/>
  <c r="I296" i="1"/>
  <c r="J296" i="1"/>
  <c r="L296" i="1"/>
  <c r="R296" i="1"/>
  <c r="G296" i="1"/>
  <c r="H297" i="1"/>
  <c r="I297" i="1"/>
  <c r="J297" i="1"/>
  <c r="L297" i="1"/>
  <c r="R297" i="1"/>
  <c r="G297" i="1"/>
  <c r="H298" i="1"/>
  <c r="I298" i="1"/>
  <c r="J298" i="1"/>
  <c r="L298" i="1"/>
  <c r="R298" i="1"/>
  <c r="G298" i="1"/>
  <c r="H299" i="1"/>
  <c r="I299" i="1"/>
  <c r="J299" i="1"/>
  <c r="L299" i="1"/>
  <c r="R299" i="1"/>
  <c r="G299" i="1"/>
  <c r="H300" i="1"/>
  <c r="I300" i="1"/>
  <c r="J300" i="1"/>
  <c r="L300" i="1"/>
  <c r="R300" i="1"/>
  <c r="G300" i="1"/>
  <c r="H301" i="1"/>
  <c r="I301" i="1"/>
  <c r="J301" i="1"/>
  <c r="L301" i="1"/>
  <c r="R301" i="1"/>
  <c r="G301" i="1"/>
  <c r="H302" i="1"/>
  <c r="I302" i="1"/>
  <c r="J302" i="1"/>
  <c r="L302" i="1"/>
  <c r="R302" i="1"/>
  <c r="G302" i="1"/>
  <c r="H303" i="1"/>
  <c r="I303" i="1"/>
  <c r="J303" i="1"/>
  <c r="L303" i="1"/>
  <c r="R303" i="1"/>
  <c r="G303" i="1"/>
  <c r="H304" i="1"/>
  <c r="I304" i="1"/>
  <c r="J304" i="1"/>
  <c r="L304" i="1"/>
  <c r="R304" i="1"/>
  <c r="G304" i="1"/>
  <c r="H305" i="1"/>
  <c r="I305" i="1"/>
  <c r="J305" i="1"/>
  <c r="L305" i="1"/>
  <c r="R305" i="1"/>
  <c r="G305" i="1"/>
  <c r="H306" i="1"/>
  <c r="I306" i="1"/>
  <c r="J306" i="1"/>
  <c r="L306" i="1"/>
  <c r="R306" i="1"/>
  <c r="G306" i="1"/>
  <c r="H307" i="1"/>
  <c r="I307" i="1"/>
  <c r="J307" i="1"/>
  <c r="L307" i="1"/>
  <c r="R307" i="1"/>
  <c r="G307" i="1"/>
  <c r="H308" i="1"/>
  <c r="I308" i="1"/>
  <c r="J308" i="1"/>
  <c r="L308" i="1"/>
  <c r="R308" i="1"/>
  <c r="G308" i="1"/>
  <c r="H309" i="1"/>
  <c r="I309" i="1"/>
  <c r="J309" i="1"/>
  <c r="L309" i="1"/>
  <c r="R309" i="1"/>
  <c r="G309" i="1"/>
  <c r="H310" i="1"/>
  <c r="I310" i="1"/>
  <c r="J310" i="1"/>
  <c r="L310" i="1"/>
  <c r="R310" i="1"/>
  <c r="G310" i="1"/>
  <c r="H311" i="1"/>
  <c r="I311" i="1"/>
  <c r="J311" i="1"/>
  <c r="L311" i="1"/>
  <c r="R311" i="1"/>
  <c r="G311" i="1"/>
  <c r="H312" i="1"/>
  <c r="I312" i="1"/>
  <c r="J312" i="1"/>
  <c r="L312" i="1"/>
  <c r="R312" i="1"/>
  <c r="G312" i="1"/>
  <c r="H313" i="1"/>
  <c r="I313" i="1"/>
  <c r="J313" i="1"/>
  <c r="L313" i="1"/>
  <c r="R313" i="1"/>
  <c r="G313" i="1"/>
  <c r="H314" i="1"/>
  <c r="I314" i="1"/>
  <c r="J314" i="1"/>
  <c r="L314" i="1"/>
  <c r="R314" i="1"/>
  <c r="G314" i="1"/>
  <c r="H315" i="1"/>
  <c r="I315" i="1"/>
  <c r="J315" i="1"/>
  <c r="L315" i="1"/>
  <c r="R315" i="1"/>
  <c r="G315" i="1"/>
  <c r="H316" i="1"/>
  <c r="I316" i="1"/>
  <c r="J316" i="1"/>
  <c r="L316" i="1"/>
  <c r="R316" i="1"/>
  <c r="G316" i="1"/>
  <c r="H317" i="1"/>
  <c r="I317" i="1"/>
  <c r="J317" i="1"/>
  <c r="L317" i="1"/>
  <c r="R317" i="1"/>
  <c r="G317" i="1"/>
  <c r="H318" i="1"/>
  <c r="I318" i="1"/>
  <c r="J318" i="1"/>
  <c r="L318" i="1"/>
  <c r="R318" i="1"/>
  <c r="G318" i="1"/>
  <c r="H319" i="1"/>
  <c r="I319" i="1"/>
  <c r="J319" i="1"/>
  <c r="L319" i="1"/>
  <c r="R319" i="1"/>
  <c r="G319" i="1"/>
  <c r="H320" i="1"/>
  <c r="I320" i="1"/>
  <c r="J320" i="1"/>
  <c r="L320" i="1"/>
  <c r="R320" i="1"/>
  <c r="G320" i="1"/>
  <c r="H321" i="1"/>
  <c r="I321" i="1"/>
  <c r="J321" i="1"/>
  <c r="L321" i="1"/>
  <c r="R321" i="1"/>
  <c r="G321" i="1"/>
  <c r="H322" i="1"/>
  <c r="I322" i="1"/>
  <c r="J322" i="1"/>
  <c r="L322" i="1"/>
  <c r="R322" i="1"/>
  <c r="G322" i="1"/>
  <c r="H323" i="1"/>
  <c r="I323" i="1"/>
  <c r="J323" i="1"/>
  <c r="L323" i="1"/>
  <c r="R323" i="1"/>
  <c r="G323" i="1"/>
  <c r="H324" i="1"/>
  <c r="I324" i="1"/>
  <c r="J324" i="1"/>
  <c r="L324" i="1"/>
  <c r="R324" i="1"/>
  <c r="G324" i="1"/>
  <c r="H325" i="1"/>
  <c r="I325" i="1"/>
  <c r="J325" i="1"/>
  <c r="L325" i="1"/>
  <c r="R325" i="1"/>
  <c r="G325" i="1"/>
  <c r="H326" i="1"/>
  <c r="I326" i="1"/>
  <c r="J326" i="1"/>
  <c r="L326" i="1"/>
  <c r="R326" i="1"/>
  <c r="G326" i="1"/>
  <c r="H327" i="1"/>
  <c r="I327" i="1"/>
  <c r="J327" i="1"/>
  <c r="L327" i="1"/>
  <c r="R327" i="1"/>
  <c r="G327" i="1"/>
  <c r="H328" i="1"/>
  <c r="I328" i="1"/>
  <c r="J328" i="1"/>
  <c r="L328" i="1"/>
  <c r="R328" i="1"/>
  <c r="G328" i="1"/>
  <c r="H329" i="1"/>
  <c r="I329" i="1"/>
  <c r="J329" i="1"/>
  <c r="L329" i="1"/>
  <c r="R329" i="1"/>
  <c r="G329" i="1"/>
  <c r="H330" i="1"/>
  <c r="I330" i="1"/>
  <c r="J330" i="1"/>
  <c r="L330" i="1"/>
  <c r="R330" i="1"/>
  <c r="G330" i="1"/>
  <c r="H331" i="1"/>
  <c r="I331" i="1"/>
  <c r="J331" i="1"/>
  <c r="L331" i="1"/>
  <c r="R331" i="1"/>
  <c r="G331" i="1"/>
  <c r="H332" i="1"/>
  <c r="I332" i="1"/>
  <c r="J332" i="1"/>
  <c r="L332" i="1"/>
  <c r="R332" i="1"/>
  <c r="G332" i="1"/>
  <c r="H333" i="1"/>
  <c r="I333" i="1"/>
  <c r="J333" i="1"/>
  <c r="L333" i="1"/>
  <c r="R333" i="1"/>
  <c r="G333" i="1"/>
  <c r="H334" i="1"/>
  <c r="I334" i="1"/>
  <c r="J334" i="1"/>
  <c r="L334" i="1"/>
  <c r="R334" i="1"/>
  <c r="G334" i="1"/>
  <c r="H335" i="1"/>
  <c r="I335" i="1"/>
  <c r="J335" i="1"/>
  <c r="L335" i="1"/>
  <c r="R335" i="1"/>
  <c r="G335" i="1"/>
  <c r="H336" i="1"/>
  <c r="I336" i="1"/>
  <c r="J336" i="1"/>
  <c r="L336" i="1"/>
  <c r="R336" i="1"/>
  <c r="G336" i="1"/>
  <c r="H337" i="1"/>
  <c r="I337" i="1"/>
  <c r="J337" i="1"/>
  <c r="L337" i="1"/>
  <c r="R337" i="1"/>
  <c r="G337" i="1"/>
  <c r="H338" i="1"/>
  <c r="I338" i="1"/>
  <c r="J338" i="1"/>
  <c r="L338" i="1"/>
  <c r="R338" i="1"/>
  <c r="G338" i="1"/>
  <c r="H339" i="1"/>
  <c r="I339" i="1"/>
  <c r="J339" i="1"/>
  <c r="L339" i="1"/>
  <c r="R339" i="1"/>
  <c r="G339" i="1"/>
  <c r="H340" i="1"/>
  <c r="I340" i="1"/>
  <c r="J340" i="1"/>
  <c r="L340" i="1"/>
  <c r="R340" i="1"/>
  <c r="G340" i="1"/>
  <c r="H341" i="1"/>
  <c r="I341" i="1"/>
  <c r="J341" i="1"/>
  <c r="L341" i="1"/>
  <c r="R341" i="1"/>
  <c r="G341" i="1"/>
  <c r="H342" i="1"/>
  <c r="I342" i="1"/>
  <c r="J342" i="1"/>
  <c r="L342" i="1"/>
  <c r="R342" i="1"/>
  <c r="G342" i="1"/>
  <c r="H343" i="1"/>
  <c r="I343" i="1"/>
  <c r="J343" i="1"/>
  <c r="L343" i="1"/>
  <c r="R343" i="1"/>
  <c r="G343" i="1"/>
  <c r="H344" i="1"/>
  <c r="I344" i="1"/>
  <c r="J344" i="1"/>
  <c r="L344" i="1"/>
  <c r="R344" i="1"/>
  <c r="G344" i="1"/>
  <c r="H345" i="1"/>
  <c r="I345" i="1"/>
  <c r="J345" i="1"/>
  <c r="L345" i="1"/>
  <c r="R345" i="1"/>
  <c r="G345" i="1"/>
  <c r="H346" i="1"/>
  <c r="I346" i="1"/>
  <c r="J346" i="1"/>
  <c r="L346" i="1"/>
  <c r="R346" i="1"/>
  <c r="G346" i="1"/>
  <c r="H347" i="1"/>
  <c r="I347" i="1"/>
  <c r="J347" i="1"/>
  <c r="L347" i="1"/>
  <c r="R347" i="1"/>
  <c r="G347" i="1"/>
  <c r="H348" i="1"/>
  <c r="I348" i="1"/>
  <c r="J348" i="1"/>
  <c r="L348" i="1"/>
  <c r="R348" i="1"/>
  <c r="G348" i="1"/>
  <c r="H349" i="1"/>
  <c r="I349" i="1"/>
  <c r="J349" i="1"/>
  <c r="L349" i="1"/>
  <c r="R349" i="1"/>
  <c r="G349" i="1"/>
  <c r="H350" i="1"/>
  <c r="I350" i="1"/>
  <c r="J350" i="1"/>
  <c r="L350" i="1"/>
  <c r="R350" i="1"/>
  <c r="G350" i="1"/>
  <c r="H351" i="1"/>
  <c r="I351" i="1"/>
  <c r="J351" i="1"/>
  <c r="L351" i="1"/>
  <c r="R351" i="1"/>
  <c r="G351" i="1"/>
  <c r="H352" i="1"/>
  <c r="I352" i="1"/>
  <c r="J352" i="1"/>
  <c r="L352" i="1"/>
  <c r="R352" i="1"/>
  <c r="G352" i="1"/>
  <c r="H353" i="1"/>
  <c r="I353" i="1"/>
  <c r="J353" i="1"/>
  <c r="L353" i="1"/>
  <c r="R353" i="1"/>
  <c r="G353" i="1"/>
  <c r="H354" i="1"/>
  <c r="I354" i="1"/>
  <c r="J354" i="1"/>
  <c r="L354" i="1"/>
  <c r="R354" i="1"/>
  <c r="G354" i="1"/>
  <c r="H355" i="1"/>
  <c r="I355" i="1"/>
  <c r="J355" i="1"/>
  <c r="L355" i="1"/>
  <c r="R355" i="1"/>
  <c r="G355" i="1"/>
  <c r="H356" i="1"/>
  <c r="I356" i="1"/>
  <c r="J356" i="1"/>
  <c r="L356" i="1"/>
  <c r="R356" i="1"/>
  <c r="G356" i="1"/>
  <c r="H357" i="1"/>
  <c r="I357" i="1"/>
  <c r="J357" i="1"/>
  <c r="L357" i="1"/>
  <c r="R357" i="1"/>
  <c r="G357" i="1"/>
  <c r="H358" i="1"/>
  <c r="I358" i="1"/>
  <c r="J358" i="1"/>
  <c r="L358" i="1"/>
  <c r="R358" i="1"/>
  <c r="G358" i="1"/>
  <c r="H359" i="1"/>
  <c r="I359" i="1"/>
  <c r="J359" i="1"/>
  <c r="L359" i="1"/>
  <c r="R359" i="1"/>
  <c r="G359" i="1"/>
  <c r="H360" i="1"/>
  <c r="I360" i="1"/>
  <c r="J360" i="1"/>
  <c r="L360" i="1"/>
  <c r="R360" i="1"/>
  <c r="G360" i="1"/>
  <c r="H361" i="1"/>
  <c r="I361" i="1"/>
  <c r="J361" i="1"/>
  <c r="L361" i="1"/>
  <c r="R361" i="1"/>
  <c r="G361" i="1"/>
  <c r="H362" i="1"/>
  <c r="I362" i="1"/>
  <c r="J362" i="1"/>
  <c r="L362" i="1"/>
  <c r="R362" i="1"/>
  <c r="G362" i="1"/>
  <c r="H363" i="1"/>
  <c r="I363" i="1"/>
  <c r="J363" i="1"/>
  <c r="L363" i="1"/>
  <c r="R363" i="1"/>
  <c r="G363" i="1"/>
  <c r="H364" i="1"/>
  <c r="I364" i="1"/>
  <c r="J364" i="1"/>
  <c r="L364" i="1"/>
  <c r="R364" i="1"/>
  <c r="G364" i="1"/>
  <c r="H365" i="1"/>
  <c r="I365" i="1"/>
  <c r="J365" i="1"/>
  <c r="L365" i="1"/>
  <c r="R365" i="1"/>
  <c r="G365" i="1"/>
  <c r="H366" i="1"/>
  <c r="I366" i="1"/>
  <c r="J366" i="1"/>
  <c r="L366" i="1"/>
  <c r="R366" i="1"/>
  <c r="G366" i="1"/>
  <c r="H367" i="1"/>
  <c r="I367" i="1"/>
  <c r="J367" i="1"/>
  <c r="L367" i="1"/>
  <c r="R367" i="1"/>
  <c r="G367" i="1"/>
  <c r="H368" i="1"/>
  <c r="I368" i="1"/>
  <c r="J368" i="1"/>
  <c r="L368" i="1"/>
  <c r="R368" i="1"/>
  <c r="G368" i="1"/>
  <c r="H369" i="1"/>
  <c r="I369" i="1"/>
  <c r="J369" i="1"/>
  <c r="L369" i="1"/>
  <c r="R369" i="1"/>
  <c r="G369" i="1"/>
  <c r="H370" i="1"/>
  <c r="I370" i="1"/>
  <c r="J370" i="1"/>
  <c r="L370" i="1"/>
  <c r="R370" i="1"/>
  <c r="G370" i="1"/>
  <c r="H371" i="1"/>
  <c r="I371" i="1"/>
  <c r="J371" i="1"/>
  <c r="L371" i="1"/>
  <c r="R371" i="1"/>
  <c r="G371" i="1"/>
  <c r="H372" i="1"/>
  <c r="I372" i="1"/>
  <c r="J372" i="1"/>
  <c r="L372" i="1"/>
  <c r="R372" i="1"/>
  <c r="G372" i="1"/>
  <c r="H373" i="1"/>
  <c r="I373" i="1"/>
  <c r="J373" i="1"/>
  <c r="L373" i="1"/>
  <c r="R373" i="1"/>
  <c r="G373" i="1"/>
  <c r="H374" i="1"/>
  <c r="I374" i="1"/>
  <c r="J374" i="1"/>
  <c r="L374" i="1"/>
  <c r="R374" i="1"/>
  <c r="G374" i="1"/>
  <c r="H375" i="1"/>
  <c r="I375" i="1"/>
  <c r="J375" i="1"/>
  <c r="L375" i="1"/>
  <c r="R375" i="1"/>
  <c r="G375" i="1"/>
  <c r="H376" i="1"/>
  <c r="I376" i="1"/>
  <c r="J376" i="1"/>
  <c r="L376" i="1"/>
  <c r="R376" i="1"/>
  <c r="G376" i="1"/>
  <c r="H377" i="1"/>
  <c r="I377" i="1"/>
  <c r="J377" i="1"/>
  <c r="L377" i="1"/>
  <c r="R377" i="1"/>
  <c r="G377" i="1"/>
  <c r="H378" i="1"/>
  <c r="I378" i="1"/>
  <c r="J378" i="1"/>
  <c r="L378" i="1"/>
  <c r="R378" i="1"/>
  <c r="G378" i="1"/>
  <c r="H379" i="1"/>
  <c r="I379" i="1"/>
  <c r="J379" i="1"/>
  <c r="L379" i="1"/>
  <c r="R379" i="1"/>
  <c r="G379" i="1"/>
  <c r="H380" i="1"/>
  <c r="I380" i="1"/>
  <c r="J380" i="1"/>
  <c r="L380" i="1"/>
  <c r="R380" i="1"/>
  <c r="G380" i="1"/>
  <c r="H381" i="1"/>
  <c r="I381" i="1"/>
  <c r="J381" i="1"/>
  <c r="L381" i="1"/>
  <c r="R381" i="1"/>
  <c r="G381" i="1"/>
  <c r="H382" i="1"/>
  <c r="I382" i="1"/>
  <c r="J382" i="1"/>
  <c r="L382" i="1"/>
  <c r="R382" i="1"/>
  <c r="G382" i="1"/>
  <c r="H383" i="1"/>
  <c r="I383" i="1"/>
  <c r="J383" i="1"/>
  <c r="L383" i="1"/>
  <c r="R383" i="1"/>
  <c r="G383" i="1"/>
  <c r="H384" i="1"/>
  <c r="I384" i="1"/>
  <c r="J384" i="1"/>
  <c r="L384" i="1"/>
  <c r="R384" i="1"/>
  <c r="G384" i="1"/>
  <c r="H385" i="1"/>
  <c r="I385" i="1"/>
  <c r="J385" i="1"/>
  <c r="L385" i="1"/>
  <c r="R385" i="1"/>
  <c r="G385" i="1"/>
  <c r="H386" i="1"/>
  <c r="I386" i="1"/>
  <c r="J386" i="1"/>
  <c r="L386" i="1"/>
  <c r="R386" i="1"/>
  <c r="G386" i="1"/>
  <c r="H387" i="1"/>
  <c r="I387" i="1"/>
  <c r="J387" i="1"/>
  <c r="L387" i="1"/>
  <c r="R387" i="1"/>
  <c r="G387" i="1"/>
  <c r="H388" i="1"/>
  <c r="I388" i="1"/>
  <c r="J388" i="1"/>
  <c r="L388" i="1"/>
  <c r="R388" i="1"/>
  <c r="G388" i="1"/>
  <c r="H389" i="1"/>
  <c r="I389" i="1"/>
  <c r="J389" i="1"/>
  <c r="L389" i="1"/>
  <c r="R389" i="1"/>
  <c r="G389" i="1"/>
  <c r="H390" i="1"/>
  <c r="I390" i="1"/>
  <c r="J390" i="1"/>
  <c r="L390" i="1"/>
  <c r="R390" i="1"/>
  <c r="G390" i="1"/>
  <c r="H391" i="1"/>
  <c r="I391" i="1"/>
  <c r="J391" i="1"/>
  <c r="L391" i="1"/>
  <c r="R391" i="1"/>
  <c r="G391" i="1"/>
  <c r="H392" i="1"/>
  <c r="I392" i="1"/>
  <c r="J392" i="1"/>
  <c r="L392" i="1"/>
  <c r="R392" i="1"/>
  <c r="G392" i="1"/>
  <c r="H393" i="1"/>
  <c r="I393" i="1"/>
  <c r="J393" i="1"/>
  <c r="L393" i="1"/>
  <c r="R393" i="1"/>
  <c r="G393" i="1"/>
  <c r="H394" i="1"/>
  <c r="I394" i="1"/>
  <c r="J394" i="1"/>
  <c r="L394" i="1"/>
  <c r="R394" i="1"/>
  <c r="G394" i="1"/>
  <c r="H395" i="1"/>
  <c r="I395" i="1"/>
  <c r="J395" i="1"/>
  <c r="L395" i="1"/>
  <c r="R395" i="1"/>
  <c r="G395" i="1"/>
  <c r="H396" i="1"/>
  <c r="I396" i="1"/>
  <c r="J396" i="1"/>
  <c r="L396" i="1"/>
  <c r="R396" i="1"/>
  <c r="G396" i="1"/>
  <c r="H397" i="1"/>
  <c r="I397" i="1"/>
  <c r="J397" i="1"/>
  <c r="L397" i="1"/>
  <c r="R397" i="1"/>
  <c r="G397" i="1"/>
  <c r="H398" i="1"/>
  <c r="I398" i="1"/>
  <c r="J398" i="1"/>
  <c r="L398" i="1"/>
  <c r="R398" i="1"/>
  <c r="G398" i="1"/>
  <c r="H399" i="1"/>
  <c r="I399" i="1"/>
  <c r="J399" i="1"/>
  <c r="L399" i="1"/>
  <c r="R399" i="1"/>
  <c r="G399" i="1"/>
  <c r="H400" i="1"/>
  <c r="I400" i="1"/>
  <c r="J400" i="1"/>
  <c r="L400" i="1"/>
  <c r="R400" i="1"/>
  <c r="G400" i="1"/>
  <c r="H401" i="1"/>
  <c r="I401" i="1"/>
  <c r="J401" i="1"/>
  <c r="L401" i="1"/>
  <c r="R401" i="1"/>
  <c r="G401" i="1"/>
  <c r="H402" i="1"/>
  <c r="I402" i="1"/>
  <c r="J402" i="1"/>
  <c r="L402" i="1"/>
  <c r="R402" i="1"/>
  <c r="G402" i="1"/>
  <c r="H403" i="1"/>
  <c r="I403" i="1"/>
  <c r="J403" i="1"/>
  <c r="L403" i="1"/>
  <c r="R403" i="1"/>
  <c r="G403" i="1"/>
  <c r="H404" i="1"/>
  <c r="I404" i="1"/>
  <c r="J404" i="1"/>
  <c r="L404" i="1"/>
  <c r="R404" i="1"/>
  <c r="G404" i="1"/>
  <c r="H405" i="1"/>
  <c r="I405" i="1"/>
  <c r="J405" i="1"/>
  <c r="L405" i="1"/>
  <c r="R405" i="1"/>
  <c r="G405" i="1"/>
  <c r="H406" i="1"/>
  <c r="I406" i="1"/>
  <c r="J406" i="1"/>
  <c r="L406" i="1"/>
  <c r="R406" i="1"/>
  <c r="G406" i="1"/>
  <c r="H407" i="1"/>
  <c r="I407" i="1"/>
  <c r="J407" i="1"/>
  <c r="L407" i="1"/>
  <c r="R407" i="1"/>
  <c r="G407" i="1"/>
  <c r="H408" i="1"/>
  <c r="I408" i="1"/>
  <c r="J408" i="1"/>
  <c r="L408" i="1"/>
  <c r="R408" i="1"/>
  <c r="G408" i="1"/>
  <c r="H409" i="1"/>
  <c r="I409" i="1"/>
  <c r="J409" i="1"/>
  <c r="L409" i="1"/>
  <c r="R409" i="1"/>
  <c r="G409" i="1"/>
  <c r="H410" i="1"/>
  <c r="I410" i="1"/>
  <c r="J410" i="1"/>
  <c r="L410" i="1"/>
  <c r="R410" i="1"/>
  <c r="G410" i="1"/>
  <c r="H411" i="1"/>
  <c r="I411" i="1"/>
  <c r="J411" i="1"/>
  <c r="L411" i="1"/>
  <c r="R411" i="1"/>
  <c r="G411" i="1"/>
  <c r="H13" i="1"/>
  <c r="I13" i="1"/>
  <c r="J13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H190" i="1"/>
  <c r="I190" i="1"/>
  <c r="J190" i="1"/>
  <c r="H11" i="1"/>
  <c r="H12" i="1"/>
  <c r="I11" i="1"/>
  <c r="J12" i="1"/>
  <c r="J11" i="1"/>
  <c r="I12" i="1"/>
  <c r="C27" i="1"/>
  <c r="E27" i="1"/>
  <c r="L190" i="1"/>
  <c r="J27" i="1"/>
  <c r="R190" i="1"/>
  <c r="G190" i="1"/>
  <c r="H191" i="1"/>
  <c r="I191" i="1"/>
  <c r="J191" i="1"/>
  <c r="L191" i="1"/>
  <c r="R191" i="1"/>
  <c r="G191" i="1"/>
  <c r="H192" i="1"/>
  <c r="I192" i="1"/>
  <c r="J192" i="1"/>
  <c r="L192" i="1"/>
  <c r="R192" i="1"/>
  <c r="G192" i="1"/>
  <c r="H193" i="1"/>
  <c r="I193" i="1"/>
  <c r="J193" i="1"/>
  <c r="L193" i="1"/>
  <c r="R193" i="1"/>
  <c r="G193" i="1"/>
  <c r="H194" i="1"/>
  <c r="I194" i="1"/>
  <c r="J194" i="1"/>
  <c r="L194" i="1"/>
  <c r="R194" i="1"/>
  <c r="G194" i="1"/>
  <c r="H195" i="1"/>
  <c r="I195" i="1"/>
  <c r="J195" i="1"/>
  <c r="L195" i="1"/>
  <c r="R195" i="1"/>
  <c r="G195" i="1"/>
  <c r="H196" i="1"/>
  <c r="I196" i="1"/>
  <c r="J196" i="1"/>
  <c r="L196" i="1"/>
  <c r="R196" i="1"/>
  <c r="G196" i="1"/>
  <c r="H197" i="1"/>
  <c r="I197" i="1"/>
  <c r="J197" i="1"/>
  <c r="L197" i="1"/>
  <c r="R197" i="1"/>
  <c r="G197" i="1"/>
  <c r="H198" i="1"/>
  <c r="I198" i="1"/>
  <c r="J198" i="1"/>
  <c r="L198" i="1"/>
  <c r="R198" i="1"/>
  <c r="G198" i="1"/>
  <c r="H199" i="1"/>
  <c r="I199" i="1"/>
  <c r="J199" i="1"/>
  <c r="L199" i="1"/>
  <c r="R199" i="1"/>
  <c r="G199" i="1"/>
  <c r="H200" i="1"/>
  <c r="I200" i="1"/>
  <c r="J200" i="1"/>
  <c r="L200" i="1"/>
  <c r="R200" i="1"/>
  <c r="G200" i="1"/>
  <c r="H201" i="1"/>
  <c r="I201" i="1"/>
  <c r="J201" i="1"/>
  <c r="L201" i="1"/>
  <c r="R201" i="1"/>
  <c r="G201" i="1"/>
  <c r="H202" i="1"/>
  <c r="I202" i="1"/>
  <c r="J202" i="1"/>
  <c r="L202" i="1"/>
  <c r="R202" i="1"/>
  <c r="G202" i="1"/>
  <c r="H203" i="1"/>
  <c r="I203" i="1"/>
  <c r="J203" i="1"/>
  <c r="L203" i="1"/>
  <c r="R203" i="1"/>
  <c r="G203" i="1"/>
  <c r="H204" i="1"/>
  <c r="I204" i="1"/>
  <c r="J204" i="1"/>
  <c r="L204" i="1"/>
  <c r="R204" i="1"/>
  <c r="G204" i="1"/>
  <c r="H205" i="1"/>
  <c r="I205" i="1"/>
  <c r="J205" i="1"/>
  <c r="L205" i="1"/>
  <c r="R205" i="1"/>
  <c r="G205" i="1"/>
  <c r="H206" i="1"/>
  <c r="I206" i="1"/>
  <c r="J206" i="1"/>
  <c r="L206" i="1"/>
  <c r="R206" i="1"/>
  <c r="G206" i="1"/>
  <c r="H207" i="1"/>
  <c r="I207" i="1"/>
  <c r="J207" i="1"/>
  <c r="L207" i="1"/>
  <c r="R207" i="1"/>
  <c r="G207" i="1"/>
  <c r="H208" i="1"/>
  <c r="I208" i="1"/>
  <c r="J208" i="1"/>
  <c r="L208" i="1"/>
  <c r="R208" i="1"/>
  <c r="G208" i="1"/>
  <c r="H209" i="1"/>
  <c r="I209" i="1"/>
  <c r="J209" i="1"/>
  <c r="L209" i="1"/>
  <c r="R209" i="1"/>
  <c r="G209" i="1"/>
  <c r="H210" i="1"/>
  <c r="I210" i="1"/>
  <c r="J210" i="1"/>
  <c r="L210" i="1"/>
  <c r="R210" i="1"/>
  <c r="G210" i="1"/>
  <c r="H211" i="1"/>
  <c r="I211" i="1"/>
  <c r="J211" i="1"/>
  <c r="L211" i="1"/>
  <c r="R211" i="1"/>
  <c r="G211" i="1"/>
  <c r="H212" i="1"/>
  <c r="I212" i="1"/>
  <c r="J212" i="1"/>
  <c r="L212" i="1"/>
  <c r="R212" i="1"/>
  <c r="G212" i="1"/>
  <c r="H213" i="1"/>
  <c r="I213" i="1"/>
  <c r="J213" i="1"/>
  <c r="L213" i="1"/>
  <c r="R213" i="1"/>
  <c r="G213" i="1"/>
  <c r="H214" i="1"/>
  <c r="I214" i="1"/>
  <c r="J214" i="1"/>
  <c r="L214" i="1"/>
  <c r="R214" i="1"/>
  <c r="G214" i="1"/>
  <c r="H215" i="1"/>
  <c r="I215" i="1"/>
  <c r="J215" i="1"/>
  <c r="L215" i="1"/>
  <c r="R215" i="1"/>
  <c r="G215" i="1"/>
  <c r="H216" i="1"/>
  <c r="I216" i="1"/>
  <c r="J216" i="1"/>
  <c r="L216" i="1"/>
  <c r="R216" i="1"/>
  <c r="G216" i="1"/>
  <c r="H217" i="1"/>
  <c r="I217" i="1"/>
  <c r="J217" i="1"/>
  <c r="L217" i="1"/>
  <c r="R217" i="1"/>
  <c r="G217" i="1"/>
  <c r="H218" i="1"/>
  <c r="I218" i="1"/>
  <c r="J218" i="1"/>
  <c r="L218" i="1"/>
  <c r="R218" i="1"/>
  <c r="G218" i="1"/>
  <c r="H219" i="1"/>
  <c r="I219" i="1"/>
  <c r="J219" i="1"/>
  <c r="L219" i="1"/>
  <c r="R219" i="1"/>
  <c r="G219" i="1"/>
  <c r="H220" i="1"/>
  <c r="I220" i="1"/>
  <c r="J220" i="1"/>
  <c r="L220" i="1"/>
  <c r="R220" i="1"/>
  <c r="G220" i="1"/>
  <c r="H221" i="1"/>
  <c r="I221" i="1"/>
  <c r="J221" i="1"/>
  <c r="L221" i="1"/>
  <c r="R221" i="1"/>
  <c r="G221" i="1"/>
  <c r="H222" i="1"/>
  <c r="I222" i="1"/>
  <c r="J222" i="1"/>
  <c r="L222" i="1"/>
  <c r="R222" i="1"/>
  <c r="G222" i="1"/>
  <c r="H223" i="1"/>
  <c r="I223" i="1"/>
  <c r="J223" i="1"/>
  <c r="L223" i="1"/>
  <c r="R223" i="1"/>
  <c r="G223" i="1"/>
  <c r="H224" i="1"/>
  <c r="I224" i="1"/>
  <c r="J224" i="1"/>
  <c r="L224" i="1"/>
  <c r="R224" i="1"/>
  <c r="G224" i="1"/>
  <c r="H225" i="1"/>
  <c r="I225" i="1"/>
  <c r="J225" i="1"/>
  <c r="L225" i="1"/>
  <c r="R225" i="1"/>
  <c r="G225" i="1"/>
  <c r="H226" i="1"/>
  <c r="I226" i="1"/>
  <c r="J226" i="1"/>
  <c r="L226" i="1"/>
  <c r="R226" i="1"/>
  <c r="G226" i="1"/>
  <c r="H227" i="1"/>
  <c r="I227" i="1"/>
  <c r="J227" i="1"/>
  <c r="L227" i="1"/>
  <c r="R227" i="1"/>
  <c r="G227" i="1"/>
  <c r="H228" i="1"/>
  <c r="I228" i="1"/>
  <c r="J228" i="1"/>
  <c r="L228" i="1"/>
  <c r="R228" i="1"/>
  <c r="G228" i="1"/>
  <c r="H229" i="1"/>
  <c r="I229" i="1"/>
  <c r="J229" i="1"/>
  <c r="L229" i="1"/>
  <c r="R229" i="1"/>
  <c r="G229" i="1"/>
  <c r="H230" i="1"/>
  <c r="I230" i="1"/>
  <c r="J230" i="1"/>
  <c r="L230" i="1"/>
  <c r="R230" i="1"/>
  <c r="G230" i="1"/>
  <c r="H231" i="1"/>
  <c r="I231" i="1"/>
  <c r="J231" i="1"/>
  <c r="L231" i="1"/>
  <c r="R231" i="1"/>
  <c r="G231" i="1"/>
  <c r="H232" i="1"/>
  <c r="I232" i="1"/>
  <c r="J232" i="1"/>
  <c r="L232" i="1"/>
  <c r="R232" i="1"/>
  <c r="G232" i="1"/>
  <c r="H233" i="1"/>
  <c r="I233" i="1"/>
  <c r="J233" i="1"/>
  <c r="L233" i="1"/>
  <c r="R233" i="1"/>
  <c r="G233" i="1"/>
  <c r="H234" i="1"/>
  <c r="I234" i="1"/>
  <c r="J234" i="1"/>
  <c r="L234" i="1"/>
  <c r="R234" i="1"/>
  <c r="G234" i="1"/>
  <c r="H235" i="1"/>
  <c r="I235" i="1"/>
  <c r="J235" i="1"/>
  <c r="L235" i="1"/>
  <c r="R235" i="1"/>
  <c r="G235" i="1"/>
  <c r="H236" i="1"/>
  <c r="I236" i="1"/>
  <c r="J236" i="1"/>
  <c r="L236" i="1"/>
  <c r="R236" i="1"/>
  <c r="G236" i="1"/>
  <c r="H237" i="1"/>
  <c r="I237" i="1"/>
  <c r="J237" i="1"/>
  <c r="L237" i="1"/>
  <c r="R237" i="1"/>
  <c r="G237" i="1"/>
  <c r="H238" i="1"/>
  <c r="I238" i="1"/>
  <c r="J238" i="1"/>
  <c r="L238" i="1"/>
  <c r="R238" i="1"/>
  <c r="G238" i="1"/>
  <c r="H239" i="1"/>
  <c r="I239" i="1"/>
  <c r="J239" i="1"/>
  <c r="L239" i="1"/>
  <c r="R239" i="1"/>
  <c r="G239" i="1"/>
  <c r="H240" i="1"/>
  <c r="I240" i="1"/>
  <c r="J240" i="1"/>
  <c r="L240" i="1"/>
  <c r="R240" i="1"/>
  <c r="G240" i="1"/>
  <c r="H241" i="1"/>
  <c r="I241" i="1"/>
  <c r="J241" i="1"/>
  <c r="L241" i="1"/>
  <c r="R241" i="1"/>
  <c r="G241" i="1"/>
  <c r="H242" i="1"/>
  <c r="I242" i="1"/>
  <c r="J242" i="1"/>
  <c r="L242" i="1"/>
  <c r="R242" i="1"/>
  <c r="G242" i="1"/>
  <c r="H243" i="1"/>
  <c r="I243" i="1"/>
  <c r="J243" i="1"/>
  <c r="L243" i="1"/>
  <c r="R243" i="1"/>
  <c r="G243" i="1"/>
  <c r="H244" i="1"/>
  <c r="I244" i="1"/>
  <c r="J244" i="1"/>
  <c r="L244" i="1"/>
  <c r="R244" i="1"/>
  <c r="G244" i="1"/>
  <c r="H245" i="1"/>
  <c r="I245" i="1"/>
  <c r="J245" i="1"/>
  <c r="L245" i="1"/>
  <c r="R245" i="1"/>
  <c r="G245" i="1"/>
  <c r="H246" i="1"/>
  <c r="I246" i="1"/>
  <c r="J246" i="1"/>
  <c r="L246" i="1"/>
  <c r="R246" i="1"/>
  <c r="G246" i="1"/>
  <c r="H247" i="1"/>
  <c r="I247" i="1"/>
  <c r="J247" i="1"/>
  <c r="L247" i="1"/>
  <c r="R247" i="1"/>
  <c r="G247" i="1"/>
  <c r="H248" i="1"/>
  <c r="I248" i="1"/>
  <c r="J248" i="1"/>
  <c r="L248" i="1"/>
  <c r="R248" i="1"/>
  <c r="G248" i="1"/>
  <c r="H249" i="1"/>
  <c r="I249" i="1"/>
  <c r="J249" i="1"/>
  <c r="L249" i="1"/>
  <c r="R249" i="1"/>
  <c r="G249" i="1"/>
  <c r="H250" i="1"/>
  <c r="I250" i="1"/>
  <c r="J250" i="1"/>
  <c r="L250" i="1"/>
  <c r="R250" i="1"/>
  <c r="G250" i="1"/>
  <c r="H251" i="1"/>
  <c r="I251" i="1"/>
  <c r="J251" i="1"/>
  <c r="L251" i="1"/>
  <c r="R251" i="1"/>
  <c r="G251" i="1"/>
  <c r="H252" i="1"/>
  <c r="I252" i="1"/>
  <c r="J252" i="1"/>
  <c r="L252" i="1"/>
  <c r="R252" i="1"/>
  <c r="G252" i="1"/>
  <c r="H253" i="1"/>
  <c r="I253" i="1"/>
  <c r="J253" i="1"/>
  <c r="L253" i="1"/>
  <c r="R253" i="1"/>
  <c r="G253" i="1"/>
  <c r="H254" i="1"/>
  <c r="I254" i="1"/>
  <c r="J254" i="1"/>
  <c r="L254" i="1"/>
  <c r="R254" i="1"/>
  <c r="G254" i="1"/>
  <c r="H255" i="1"/>
  <c r="I255" i="1"/>
  <c r="J255" i="1"/>
  <c r="L255" i="1"/>
  <c r="R255" i="1"/>
  <c r="G255" i="1"/>
  <c r="H256" i="1"/>
  <c r="I256" i="1"/>
  <c r="J256" i="1"/>
  <c r="L256" i="1"/>
  <c r="R256" i="1"/>
  <c r="G256" i="1"/>
  <c r="H257" i="1"/>
  <c r="I257" i="1"/>
  <c r="J257" i="1"/>
  <c r="L257" i="1"/>
  <c r="R257" i="1"/>
  <c r="G257" i="1"/>
  <c r="H258" i="1"/>
  <c r="I258" i="1"/>
  <c r="J258" i="1"/>
  <c r="L258" i="1"/>
  <c r="R258" i="1"/>
  <c r="G258" i="1"/>
  <c r="H259" i="1"/>
  <c r="I259" i="1"/>
  <c r="J259" i="1"/>
  <c r="L259" i="1"/>
  <c r="R259" i="1"/>
  <c r="G259" i="1"/>
  <c r="H260" i="1"/>
  <c r="I260" i="1"/>
  <c r="J260" i="1"/>
  <c r="L260" i="1"/>
  <c r="R260" i="1"/>
  <c r="G260" i="1"/>
  <c r="H261" i="1"/>
  <c r="I261" i="1"/>
  <c r="J261" i="1"/>
  <c r="L261" i="1"/>
  <c r="R261" i="1"/>
  <c r="G261" i="1"/>
  <c r="H262" i="1"/>
  <c r="I262" i="1"/>
  <c r="J262" i="1"/>
  <c r="L262" i="1"/>
  <c r="R262" i="1"/>
  <c r="G262" i="1"/>
  <c r="H263" i="1"/>
  <c r="I263" i="1"/>
  <c r="J263" i="1"/>
  <c r="L263" i="1"/>
  <c r="R263" i="1"/>
  <c r="G263" i="1"/>
  <c r="H264" i="1"/>
  <c r="I264" i="1"/>
  <c r="J264" i="1"/>
  <c r="L264" i="1"/>
  <c r="R264" i="1"/>
  <c r="G264" i="1"/>
  <c r="H265" i="1"/>
  <c r="I265" i="1"/>
  <c r="J265" i="1"/>
  <c r="L265" i="1"/>
  <c r="R265" i="1"/>
  <c r="G265" i="1"/>
  <c r="H266" i="1"/>
  <c r="I266" i="1"/>
  <c r="J266" i="1"/>
  <c r="L266" i="1"/>
  <c r="R266" i="1"/>
  <c r="G266" i="1"/>
  <c r="H267" i="1"/>
  <c r="I267" i="1"/>
  <c r="J267" i="1"/>
  <c r="L267" i="1"/>
  <c r="R267" i="1"/>
  <c r="G267" i="1"/>
  <c r="H268" i="1"/>
  <c r="I268" i="1"/>
  <c r="J268" i="1"/>
  <c r="L268" i="1"/>
  <c r="R268" i="1"/>
  <c r="G268" i="1"/>
  <c r="H269" i="1"/>
  <c r="I269" i="1"/>
  <c r="J269" i="1"/>
  <c r="L269" i="1"/>
  <c r="R269" i="1"/>
  <c r="G269" i="1"/>
  <c r="H270" i="1"/>
  <c r="I270" i="1"/>
  <c r="J270" i="1"/>
  <c r="L270" i="1"/>
  <c r="R270" i="1"/>
  <c r="G270" i="1"/>
  <c r="H271" i="1"/>
  <c r="I271" i="1"/>
  <c r="J271" i="1"/>
  <c r="L271" i="1"/>
  <c r="R271" i="1"/>
  <c r="G271" i="1"/>
  <c r="H272" i="1"/>
  <c r="I272" i="1"/>
  <c r="J272" i="1"/>
  <c r="L272" i="1"/>
  <c r="R272" i="1"/>
  <c r="G272" i="1"/>
  <c r="H273" i="1"/>
  <c r="I273" i="1"/>
  <c r="J273" i="1"/>
  <c r="L273" i="1"/>
  <c r="R273" i="1"/>
  <c r="G273" i="1"/>
  <c r="H274" i="1"/>
  <c r="I274" i="1"/>
  <c r="J274" i="1"/>
  <c r="L274" i="1"/>
  <c r="R274" i="1"/>
  <c r="G274" i="1"/>
  <c r="H275" i="1"/>
  <c r="I275" i="1"/>
  <c r="J275" i="1"/>
  <c r="L275" i="1"/>
  <c r="R275" i="1"/>
  <c r="G275" i="1"/>
  <c r="H276" i="1"/>
  <c r="I276" i="1"/>
  <c r="J276" i="1"/>
  <c r="L276" i="1"/>
  <c r="R276" i="1"/>
  <c r="G276" i="1"/>
  <c r="H277" i="1"/>
  <c r="I277" i="1"/>
  <c r="J277" i="1"/>
  <c r="L277" i="1"/>
  <c r="R277" i="1"/>
  <c r="G277" i="1"/>
  <c r="H278" i="1"/>
  <c r="I278" i="1"/>
  <c r="J278" i="1"/>
  <c r="L278" i="1"/>
  <c r="R278" i="1"/>
  <c r="G278" i="1"/>
  <c r="H279" i="1"/>
  <c r="I279" i="1"/>
  <c r="J279" i="1"/>
  <c r="L279" i="1"/>
  <c r="R279" i="1"/>
  <c r="G279" i="1"/>
  <c r="H280" i="1"/>
  <c r="I280" i="1"/>
  <c r="J280" i="1"/>
  <c r="L280" i="1"/>
  <c r="R280" i="1"/>
  <c r="G280" i="1"/>
  <c r="D27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H27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I27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H40" i="1"/>
  <c r="I40" i="1"/>
  <c r="J40" i="1"/>
  <c r="L40" i="1"/>
  <c r="R40" i="1"/>
  <c r="G40" i="1"/>
  <c r="H41" i="1"/>
  <c r="I41" i="1"/>
  <c r="J41" i="1"/>
  <c r="L41" i="1"/>
  <c r="R41" i="1"/>
  <c r="G41" i="1"/>
  <c r="H42" i="1"/>
  <c r="I42" i="1"/>
  <c r="J42" i="1"/>
  <c r="L42" i="1"/>
  <c r="R42" i="1"/>
  <c r="G42" i="1"/>
  <c r="H43" i="1"/>
  <c r="I43" i="1"/>
  <c r="J43" i="1"/>
  <c r="L43" i="1"/>
  <c r="R43" i="1"/>
  <c r="G43" i="1"/>
  <c r="H44" i="1"/>
  <c r="I44" i="1"/>
  <c r="J44" i="1"/>
  <c r="L44" i="1"/>
  <c r="R44" i="1"/>
  <c r="G44" i="1"/>
  <c r="H45" i="1"/>
  <c r="I45" i="1"/>
  <c r="J45" i="1"/>
  <c r="L45" i="1"/>
  <c r="R45" i="1"/>
  <c r="G45" i="1"/>
  <c r="H46" i="1"/>
  <c r="I46" i="1"/>
  <c r="J46" i="1"/>
  <c r="L46" i="1"/>
  <c r="R46" i="1"/>
  <c r="G46" i="1"/>
  <c r="H47" i="1"/>
  <c r="I47" i="1"/>
  <c r="J47" i="1"/>
  <c r="L47" i="1"/>
  <c r="R47" i="1"/>
  <c r="G47" i="1"/>
  <c r="H48" i="1"/>
  <c r="I48" i="1"/>
  <c r="J48" i="1"/>
  <c r="L48" i="1"/>
  <c r="R48" i="1"/>
  <c r="G48" i="1"/>
  <c r="H49" i="1"/>
  <c r="I49" i="1"/>
  <c r="J49" i="1"/>
  <c r="L49" i="1"/>
  <c r="R49" i="1"/>
  <c r="G49" i="1"/>
  <c r="H50" i="1"/>
  <c r="I50" i="1"/>
  <c r="J50" i="1"/>
  <c r="L50" i="1"/>
  <c r="R50" i="1"/>
  <c r="G50" i="1"/>
  <c r="H51" i="1"/>
  <c r="I51" i="1"/>
  <c r="J51" i="1"/>
  <c r="L51" i="1"/>
  <c r="R51" i="1"/>
  <c r="G51" i="1"/>
  <c r="H52" i="1"/>
  <c r="I52" i="1"/>
  <c r="J52" i="1"/>
  <c r="L52" i="1"/>
  <c r="R52" i="1"/>
  <c r="G52" i="1"/>
  <c r="H53" i="1"/>
  <c r="I53" i="1"/>
  <c r="J53" i="1"/>
  <c r="L53" i="1"/>
  <c r="R53" i="1"/>
  <c r="G53" i="1"/>
  <c r="H54" i="1"/>
  <c r="I54" i="1"/>
  <c r="J54" i="1"/>
  <c r="L54" i="1"/>
  <c r="R54" i="1"/>
  <c r="G54" i="1"/>
  <c r="H55" i="1"/>
  <c r="I55" i="1"/>
  <c r="J55" i="1"/>
  <c r="L55" i="1"/>
  <c r="R55" i="1"/>
  <c r="G55" i="1"/>
  <c r="H56" i="1"/>
  <c r="I56" i="1"/>
  <c r="J56" i="1"/>
  <c r="L56" i="1"/>
  <c r="R56" i="1"/>
  <c r="G56" i="1"/>
  <c r="H57" i="1"/>
  <c r="I57" i="1"/>
  <c r="J57" i="1"/>
  <c r="L57" i="1"/>
  <c r="R57" i="1"/>
  <c r="G57" i="1"/>
  <c r="H58" i="1"/>
  <c r="I58" i="1"/>
  <c r="J58" i="1"/>
  <c r="L58" i="1"/>
  <c r="R58" i="1"/>
  <c r="G58" i="1"/>
  <c r="H59" i="1"/>
  <c r="I59" i="1"/>
  <c r="J59" i="1"/>
  <c r="L59" i="1"/>
  <c r="R59" i="1"/>
  <c r="G59" i="1"/>
  <c r="H60" i="1"/>
  <c r="I60" i="1"/>
  <c r="J60" i="1"/>
  <c r="L60" i="1"/>
  <c r="R60" i="1"/>
  <c r="G60" i="1"/>
  <c r="H61" i="1"/>
  <c r="I61" i="1"/>
  <c r="J61" i="1"/>
  <c r="L61" i="1"/>
  <c r="R61" i="1"/>
  <c r="G61" i="1"/>
  <c r="H62" i="1"/>
  <c r="I62" i="1"/>
  <c r="J62" i="1"/>
  <c r="L62" i="1"/>
  <c r="R62" i="1"/>
  <c r="G62" i="1"/>
  <c r="H63" i="1"/>
  <c r="I63" i="1"/>
  <c r="J63" i="1"/>
  <c r="L63" i="1"/>
  <c r="R63" i="1"/>
  <c r="G63" i="1"/>
  <c r="H64" i="1"/>
  <c r="I64" i="1"/>
  <c r="J64" i="1"/>
  <c r="L64" i="1"/>
  <c r="R64" i="1"/>
  <c r="G64" i="1"/>
  <c r="H65" i="1"/>
  <c r="I65" i="1"/>
  <c r="J65" i="1"/>
  <c r="L65" i="1"/>
  <c r="R65" i="1"/>
  <c r="G65" i="1"/>
  <c r="H66" i="1"/>
  <c r="I66" i="1"/>
  <c r="J66" i="1"/>
  <c r="L66" i="1"/>
  <c r="R66" i="1"/>
  <c r="G66" i="1"/>
  <c r="H67" i="1"/>
  <c r="I67" i="1"/>
  <c r="J67" i="1"/>
  <c r="L67" i="1"/>
  <c r="R67" i="1"/>
  <c r="G67" i="1"/>
  <c r="H68" i="1"/>
  <c r="I68" i="1"/>
  <c r="J68" i="1"/>
  <c r="L68" i="1"/>
  <c r="R68" i="1"/>
  <c r="G68" i="1"/>
  <c r="H69" i="1"/>
  <c r="I69" i="1"/>
  <c r="J69" i="1"/>
  <c r="L69" i="1"/>
  <c r="R69" i="1"/>
  <c r="G69" i="1"/>
  <c r="H70" i="1"/>
  <c r="I70" i="1"/>
  <c r="J70" i="1"/>
  <c r="L70" i="1"/>
  <c r="R70" i="1"/>
  <c r="G70" i="1"/>
  <c r="H71" i="1"/>
  <c r="I71" i="1"/>
  <c r="J71" i="1"/>
  <c r="L71" i="1"/>
  <c r="R71" i="1"/>
  <c r="G71" i="1"/>
  <c r="H72" i="1"/>
  <c r="I72" i="1"/>
  <c r="J72" i="1"/>
  <c r="L72" i="1"/>
  <c r="R72" i="1"/>
  <c r="G72" i="1"/>
  <c r="H73" i="1"/>
  <c r="I73" i="1"/>
  <c r="J73" i="1"/>
  <c r="L73" i="1"/>
  <c r="R73" i="1"/>
  <c r="G73" i="1"/>
  <c r="H74" i="1"/>
  <c r="I74" i="1"/>
  <c r="J74" i="1"/>
  <c r="L74" i="1"/>
  <c r="R74" i="1"/>
  <c r="G74" i="1"/>
  <c r="H75" i="1"/>
  <c r="I75" i="1"/>
  <c r="J75" i="1"/>
  <c r="L75" i="1"/>
  <c r="R75" i="1"/>
  <c r="G75" i="1"/>
  <c r="H76" i="1"/>
  <c r="I76" i="1"/>
  <c r="J76" i="1"/>
  <c r="L76" i="1"/>
  <c r="R76" i="1"/>
  <c r="G76" i="1"/>
  <c r="H77" i="1"/>
  <c r="I77" i="1"/>
  <c r="J77" i="1"/>
  <c r="L77" i="1"/>
  <c r="R77" i="1"/>
  <c r="G77" i="1"/>
  <c r="H78" i="1"/>
  <c r="I78" i="1"/>
  <c r="J78" i="1"/>
  <c r="L78" i="1"/>
  <c r="R78" i="1"/>
  <c r="G78" i="1"/>
  <c r="H79" i="1"/>
  <c r="I79" i="1"/>
  <c r="J79" i="1"/>
  <c r="L79" i="1"/>
  <c r="R79" i="1"/>
  <c r="G79" i="1"/>
  <c r="H80" i="1"/>
  <c r="I80" i="1"/>
  <c r="J80" i="1"/>
  <c r="L80" i="1"/>
  <c r="R80" i="1"/>
  <c r="G80" i="1"/>
  <c r="H81" i="1"/>
  <c r="I81" i="1"/>
  <c r="J81" i="1"/>
  <c r="L81" i="1"/>
  <c r="R81" i="1"/>
  <c r="G81" i="1"/>
  <c r="H82" i="1"/>
  <c r="I82" i="1"/>
  <c r="J82" i="1"/>
  <c r="L82" i="1"/>
  <c r="R82" i="1"/>
  <c r="G82" i="1"/>
  <c r="H83" i="1"/>
  <c r="I83" i="1"/>
  <c r="J83" i="1"/>
  <c r="L83" i="1"/>
  <c r="R83" i="1"/>
  <c r="G83" i="1"/>
  <c r="H84" i="1"/>
  <c r="I84" i="1"/>
  <c r="J84" i="1"/>
  <c r="L84" i="1"/>
  <c r="R84" i="1"/>
  <c r="G84" i="1"/>
  <c r="H85" i="1"/>
  <c r="I85" i="1"/>
  <c r="J85" i="1"/>
  <c r="L85" i="1"/>
  <c r="R85" i="1"/>
  <c r="G85" i="1"/>
  <c r="H86" i="1"/>
  <c r="I86" i="1"/>
  <c r="J86" i="1"/>
  <c r="L86" i="1"/>
  <c r="R86" i="1"/>
  <c r="G86" i="1"/>
  <c r="H87" i="1"/>
  <c r="I87" i="1"/>
  <c r="J87" i="1"/>
  <c r="L87" i="1"/>
  <c r="R87" i="1"/>
  <c r="G87" i="1"/>
  <c r="H88" i="1"/>
  <c r="I88" i="1"/>
  <c r="J88" i="1"/>
  <c r="L88" i="1"/>
  <c r="R88" i="1"/>
  <c r="G88" i="1"/>
  <c r="H89" i="1"/>
  <c r="I89" i="1"/>
  <c r="J89" i="1"/>
  <c r="L89" i="1"/>
  <c r="R89" i="1"/>
  <c r="G89" i="1"/>
  <c r="H90" i="1"/>
  <c r="I90" i="1"/>
  <c r="J90" i="1"/>
  <c r="L90" i="1"/>
  <c r="R90" i="1"/>
  <c r="G90" i="1"/>
  <c r="H91" i="1"/>
  <c r="I91" i="1"/>
  <c r="J91" i="1"/>
  <c r="L91" i="1"/>
  <c r="R91" i="1"/>
  <c r="G91" i="1"/>
  <c r="H92" i="1"/>
  <c r="I92" i="1"/>
  <c r="J92" i="1"/>
  <c r="L92" i="1"/>
  <c r="R92" i="1"/>
  <c r="G92" i="1"/>
  <c r="H93" i="1"/>
  <c r="I93" i="1"/>
  <c r="J93" i="1"/>
  <c r="L93" i="1"/>
  <c r="R93" i="1"/>
  <c r="G93" i="1"/>
  <c r="H94" i="1"/>
  <c r="I94" i="1"/>
  <c r="J94" i="1"/>
  <c r="L94" i="1"/>
  <c r="R94" i="1"/>
  <c r="G94" i="1"/>
  <c r="H95" i="1"/>
  <c r="I95" i="1"/>
  <c r="J95" i="1"/>
  <c r="L95" i="1"/>
  <c r="R95" i="1"/>
  <c r="G95" i="1"/>
  <c r="H96" i="1"/>
  <c r="I96" i="1"/>
  <c r="J96" i="1"/>
  <c r="L96" i="1"/>
  <c r="R96" i="1"/>
  <c r="G96" i="1"/>
  <c r="H97" i="1"/>
  <c r="I97" i="1"/>
  <c r="J97" i="1"/>
  <c r="L97" i="1"/>
  <c r="R97" i="1"/>
  <c r="G97" i="1"/>
  <c r="H98" i="1"/>
  <c r="I98" i="1"/>
  <c r="J98" i="1"/>
  <c r="L98" i="1"/>
  <c r="R98" i="1"/>
  <c r="G98" i="1"/>
  <c r="H99" i="1"/>
  <c r="I99" i="1"/>
  <c r="J99" i="1"/>
  <c r="L99" i="1"/>
  <c r="R99" i="1"/>
  <c r="G99" i="1"/>
  <c r="H100" i="1"/>
  <c r="I100" i="1"/>
  <c r="J100" i="1"/>
  <c r="L100" i="1"/>
  <c r="R100" i="1"/>
  <c r="G100" i="1"/>
  <c r="H101" i="1"/>
  <c r="I101" i="1"/>
  <c r="J101" i="1"/>
  <c r="L101" i="1"/>
  <c r="R101" i="1"/>
  <c r="G101" i="1"/>
  <c r="H102" i="1"/>
  <c r="I102" i="1"/>
  <c r="J102" i="1"/>
  <c r="L102" i="1"/>
  <c r="R102" i="1"/>
  <c r="G102" i="1"/>
  <c r="H103" i="1"/>
  <c r="I103" i="1"/>
  <c r="J103" i="1"/>
  <c r="L103" i="1"/>
  <c r="R103" i="1"/>
  <c r="G103" i="1"/>
  <c r="H104" i="1"/>
  <c r="I104" i="1"/>
  <c r="J104" i="1"/>
  <c r="L104" i="1"/>
  <c r="R104" i="1"/>
  <c r="G104" i="1"/>
  <c r="H105" i="1"/>
  <c r="I105" i="1"/>
  <c r="J105" i="1"/>
  <c r="L105" i="1"/>
  <c r="R105" i="1"/>
  <c r="G105" i="1"/>
  <c r="H106" i="1"/>
  <c r="I106" i="1"/>
  <c r="J106" i="1"/>
  <c r="L106" i="1"/>
  <c r="R106" i="1"/>
  <c r="G106" i="1"/>
  <c r="H107" i="1"/>
  <c r="I107" i="1"/>
  <c r="J107" i="1"/>
  <c r="L107" i="1"/>
  <c r="R107" i="1"/>
  <c r="G107" i="1"/>
  <c r="H108" i="1"/>
  <c r="I108" i="1"/>
  <c r="J108" i="1"/>
  <c r="L108" i="1"/>
  <c r="R108" i="1"/>
  <c r="G108" i="1"/>
  <c r="H109" i="1"/>
  <c r="I109" i="1"/>
  <c r="J109" i="1"/>
  <c r="L109" i="1"/>
  <c r="R109" i="1"/>
  <c r="G109" i="1"/>
  <c r="H110" i="1"/>
  <c r="I110" i="1"/>
  <c r="J110" i="1"/>
  <c r="L110" i="1"/>
  <c r="R110" i="1"/>
  <c r="G110" i="1"/>
  <c r="H111" i="1"/>
  <c r="I111" i="1"/>
  <c r="J111" i="1"/>
  <c r="L111" i="1"/>
  <c r="R111" i="1"/>
  <c r="G111" i="1"/>
  <c r="H112" i="1"/>
  <c r="I112" i="1"/>
  <c r="J112" i="1"/>
  <c r="L112" i="1"/>
  <c r="R112" i="1"/>
  <c r="G112" i="1"/>
  <c r="H113" i="1"/>
  <c r="I113" i="1"/>
  <c r="J113" i="1"/>
  <c r="L113" i="1"/>
  <c r="R113" i="1"/>
  <c r="G113" i="1"/>
  <c r="H114" i="1"/>
  <c r="I114" i="1"/>
  <c r="J114" i="1"/>
  <c r="L114" i="1"/>
  <c r="R114" i="1"/>
  <c r="G114" i="1"/>
  <c r="H115" i="1"/>
  <c r="I115" i="1"/>
  <c r="J115" i="1"/>
  <c r="L115" i="1"/>
  <c r="R115" i="1"/>
  <c r="G115" i="1"/>
  <c r="H116" i="1"/>
  <c r="I116" i="1"/>
  <c r="J116" i="1"/>
  <c r="L116" i="1"/>
  <c r="R116" i="1"/>
  <c r="G116" i="1"/>
  <c r="H117" i="1"/>
  <c r="I117" i="1"/>
  <c r="J117" i="1"/>
  <c r="L117" i="1"/>
  <c r="R117" i="1"/>
  <c r="G117" i="1"/>
  <c r="H118" i="1"/>
  <c r="I118" i="1"/>
  <c r="J118" i="1"/>
  <c r="L118" i="1"/>
  <c r="R118" i="1"/>
  <c r="G118" i="1"/>
  <c r="H119" i="1"/>
  <c r="I119" i="1"/>
  <c r="J119" i="1"/>
  <c r="L119" i="1"/>
  <c r="R119" i="1"/>
  <c r="G119" i="1"/>
  <c r="H120" i="1"/>
  <c r="I120" i="1"/>
  <c r="J120" i="1"/>
  <c r="L120" i="1"/>
  <c r="R120" i="1"/>
  <c r="G120" i="1"/>
  <c r="H121" i="1"/>
  <c r="I121" i="1"/>
  <c r="J121" i="1"/>
  <c r="L121" i="1"/>
  <c r="R121" i="1"/>
  <c r="G121" i="1"/>
  <c r="H122" i="1"/>
  <c r="I122" i="1"/>
  <c r="J122" i="1"/>
  <c r="L122" i="1"/>
  <c r="R122" i="1"/>
  <c r="G122" i="1"/>
  <c r="H123" i="1"/>
  <c r="I123" i="1"/>
  <c r="J123" i="1"/>
  <c r="L123" i="1"/>
  <c r="R123" i="1"/>
  <c r="G123" i="1"/>
  <c r="H124" i="1"/>
  <c r="I124" i="1"/>
  <c r="J124" i="1"/>
  <c r="L124" i="1"/>
  <c r="R124" i="1"/>
  <c r="G124" i="1"/>
  <c r="H125" i="1"/>
  <c r="I125" i="1"/>
  <c r="J125" i="1"/>
  <c r="L125" i="1"/>
  <c r="R125" i="1"/>
  <c r="G125" i="1"/>
  <c r="H126" i="1"/>
  <c r="I126" i="1"/>
  <c r="J126" i="1"/>
  <c r="L126" i="1"/>
  <c r="R126" i="1"/>
  <c r="G126" i="1"/>
  <c r="H127" i="1"/>
  <c r="I127" i="1"/>
  <c r="J127" i="1"/>
  <c r="L127" i="1"/>
  <c r="R127" i="1"/>
  <c r="G127" i="1"/>
  <c r="H128" i="1"/>
  <c r="I128" i="1"/>
  <c r="J128" i="1"/>
  <c r="L128" i="1"/>
  <c r="R128" i="1"/>
  <c r="G128" i="1"/>
  <c r="H129" i="1"/>
  <c r="I129" i="1"/>
  <c r="J129" i="1"/>
  <c r="L129" i="1"/>
  <c r="R129" i="1"/>
  <c r="G129" i="1"/>
  <c r="H130" i="1"/>
  <c r="I130" i="1"/>
  <c r="J130" i="1"/>
  <c r="L130" i="1"/>
  <c r="R130" i="1"/>
  <c r="G130" i="1"/>
  <c r="H131" i="1"/>
  <c r="I131" i="1"/>
  <c r="J131" i="1"/>
  <c r="L131" i="1"/>
  <c r="R131" i="1"/>
  <c r="G131" i="1"/>
  <c r="H132" i="1"/>
  <c r="I132" i="1"/>
  <c r="J132" i="1"/>
  <c r="L132" i="1"/>
  <c r="R132" i="1"/>
  <c r="G132" i="1"/>
  <c r="H133" i="1"/>
  <c r="I133" i="1"/>
  <c r="J133" i="1"/>
  <c r="L133" i="1"/>
  <c r="R133" i="1"/>
  <c r="G133" i="1"/>
  <c r="H134" i="1"/>
  <c r="I134" i="1"/>
  <c r="J134" i="1"/>
  <c r="L134" i="1"/>
  <c r="R134" i="1"/>
  <c r="G134" i="1"/>
  <c r="H135" i="1"/>
  <c r="I135" i="1"/>
  <c r="J135" i="1"/>
  <c r="L135" i="1"/>
  <c r="R135" i="1"/>
  <c r="G135" i="1"/>
  <c r="H136" i="1"/>
  <c r="I136" i="1"/>
  <c r="J136" i="1"/>
  <c r="L136" i="1"/>
  <c r="R136" i="1"/>
  <c r="G136" i="1"/>
  <c r="H137" i="1"/>
  <c r="I137" i="1"/>
  <c r="J137" i="1"/>
  <c r="L137" i="1"/>
  <c r="R137" i="1"/>
  <c r="G137" i="1"/>
  <c r="H138" i="1"/>
  <c r="I138" i="1"/>
  <c r="J138" i="1"/>
  <c r="L138" i="1"/>
  <c r="R138" i="1"/>
  <c r="G138" i="1"/>
  <c r="H139" i="1"/>
  <c r="I139" i="1"/>
  <c r="J139" i="1"/>
  <c r="L139" i="1"/>
  <c r="R139" i="1"/>
  <c r="G139" i="1"/>
  <c r="H140" i="1"/>
  <c r="I140" i="1"/>
  <c r="J140" i="1"/>
  <c r="L140" i="1"/>
  <c r="R140" i="1"/>
  <c r="G140" i="1"/>
  <c r="H141" i="1"/>
  <c r="I141" i="1"/>
  <c r="J141" i="1"/>
  <c r="L141" i="1"/>
  <c r="R141" i="1"/>
  <c r="G141" i="1"/>
  <c r="H142" i="1"/>
  <c r="I142" i="1"/>
  <c r="J142" i="1"/>
  <c r="L142" i="1"/>
  <c r="R142" i="1"/>
  <c r="G142" i="1"/>
  <c r="H143" i="1"/>
  <c r="I143" i="1"/>
  <c r="J143" i="1"/>
  <c r="L143" i="1"/>
  <c r="R143" i="1"/>
  <c r="G143" i="1"/>
  <c r="H144" i="1"/>
  <c r="I144" i="1"/>
  <c r="J144" i="1"/>
  <c r="L144" i="1"/>
  <c r="R144" i="1"/>
  <c r="G144" i="1"/>
  <c r="H145" i="1"/>
  <c r="I145" i="1"/>
  <c r="J145" i="1"/>
  <c r="L145" i="1"/>
  <c r="R145" i="1"/>
  <c r="G145" i="1"/>
  <c r="H146" i="1"/>
  <c r="I146" i="1"/>
  <c r="J146" i="1"/>
  <c r="L146" i="1"/>
  <c r="R146" i="1"/>
  <c r="G146" i="1"/>
  <c r="H147" i="1"/>
  <c r="I147" i="1"/>
  <c r="J147" i="1"/>
  <c r="L147" i="1"/>
  <c r="R147" i="1"/>
  <c r="G147" i="1"/>
  <c r="H148" i="1"/>
  <c r="I148" i="1"/>
  <c r="J148" i="1"/>
  <c r="L148" i="1"/>
  <c r="R148" i="1"/>
  <c r="G148" i="1"/>
  <c r="H149" i="1"/>
  <c r="I149" i="1"/>
  <c r="J149" i="1"/>
  <c r="L149" i="1"/>
  <c r="R149" i="1"/>
  <c r="G149" i="1"/>
  <c r="H150" i="1"/>
  <c r="I150" i="1"/>
  <c r="J150" i="1"/>
  <c r="L150" i="1"/>
  <c r="R150" i="1"/>
  <c r="G150" i="1"/>
  <c r="H151" i="1"/>
  <c r="I151" i="1"/>
  <c r="J151" i="1"/>
  <c r="L151" i="1"/>
  <c r="R151" i="1"/>
  <c r="G151" i="1"/>
  <c r="H152" i="1"/>
  <c r="I152" i="1"/>
  <c r="J152" i="1"/>
  <c r="L152" i="1"/>
  <c r="R152" i="1"/>
  <c r="G152" i="1"/>
  <c r="H153" i="1"/>
  <c r="I153" i="1"/>
  <c r="J153" i="1"/>
  <c r="L153" i="1"/>
  <c r="R153" i="1"/>
  <c r="G153" i="1"/>
  <c r="H154" i="1"/>
  <c r="I154" i="1"/>
  <c r="J154" i="1"/>
  <c r="L154" i="1"/>
  <c r="R154" i="1"/>
  <c r="G154" i="1"/>
  <c r="H155" i="1"/>
  <c r="I155" i="1"/>
  <c r="J155" i="1"/>
  <c r="L155" i="1"/>
  <c r="R155" i="1"/>
  <c r="G155" i="1"/>
  <c r="H156" i="1"/>
  <c r="I156" i="1"/>
  <c r="J156" i="1"/>
  <c r="L156" i="1"/>
  <c r="R156" i="1"/>
  <c r="G156" i="1"/>
  <c r="H157" i="1"/>
  <c r="I157" i="1"/>
  <c r="J157" i="1"/>
  <c r="L157" i="1"/>
  <c r="R157" i="1"/>
  <c r="G157" i="1"/>
  <c r="H158" i="1"/>
  <c r="I158" i="1"/>
  <c r="J158" i="1"/>
  <c r="L158" i="1"/>
  <c r="R158" i="1"/>
  <c r="G158" i="1"/>
  <c r="H159" i="1"/>
  <c r="I159" i="1"/>
  <c r="J159" i="1"/>
  <c r="L159" i="1"/>
  <c r="R159" i="1"/>
  <c r="G159" i="1"/>
  <c r="H160" i="1"/>
  <c r="I160" i="1"/>
  <c r="J160" i="1"/>
  <c r="L160" i="1"/>
  <c r="R160" i="1"/>
  <c r="G160" i="1"/>
  <c r="H161" i="1"/>
  <c r="I161" i="1"/>
  <c r="J161" i="1"/>
  <c r="L161" i="1"/>
  <c r="R161" i="1"/>
  <c r="G161" i="1"/>
  <c r="H162" i="1"/>
  <c r="I162" i="1"/>
  <c r="J162" i="1"/>
  <c r="L162" i="1"/>
  <c r="R162" i="1"/>
  <c r="G162" i="1"/>
  <c r="H163" i="1"/>
  <c r="I163" i="1"/>
  <c r="J163" i="1"/>
  <c r="L163" i="1"/>
  <c r="R163" i="1"/>
  <c r="G163" i="1"/>
  <c r="H164" i="1"/>
  <c r="I164" i="1"/>
  <c r="J164" i="1"/>
  <c r="L164" i="1"/>
  <c r="R164" i="1"/>
  <c r="G164" i="1"/>
  <c r="H165" i="1"/>
  <c r="I165" i="1"/>
  <c r="J165" i="1"/>
  <c r="L165" i="1"/>
  <c r="R165" i="1"/>
  <c r="G165" i="1"/>
  <c r="H166" i="1"/>
  <c r="I166" i="1"/>
  <c r="J166" i="1"/>
  <c r="L166" i="1"/>
  <c r="R166" i="1"/>
  <c r="G166" i="1"/>
  <c r="H167" i="1"/>
  <c r="I167" i="1"/>
  <c r="J167" i="1"/>
  <c r="L167" i="1"/>
  <c r="R167" i="1"/>
  <c r="G167" i="1"/>
  <c r="H168" i="1"/>
  <c r="I168" i="1"/>
  <c r="J168" i="1"/>
  <c r="L168" i="1"/>
  <c r="R168" i="1"/>
  <c r="G168" i="1"/>
  <c r="H169" i="1"/>
  <c r="I169" i="1"/>
  <c r="J169" i="1"/>
  <c r="L169" i="1"/>
  <c r="R169" i="1"/>
  <c r="G169" i="1"/>
  <c r="H170" i="1"/>
  <c r="I170" i="1"/>
  <c r="J170" i="1"/>
  <c r="L170" i="1"/>
  <c r="R170" i="1"/>
  <c r="G170" i="1"/>
  <c r="H171" i="1"/>
  <c r="I171" i="1"/>
  <c r="J171" i="1"/>
  <c r="L171" i="1"/>
  <c r="R171" i="1"/>
  <c r="G171" i="1"/>
  <c r="H172" i="1"/>
  <c r="I172" i="1"/>
  <c r="J172" i="1"/>
  <c r="L172" i="1"/>
  <c r="R172" i="1"/>
  <c r="G172" i="1"/>
  <c r="H173" i="1"/>
  <c r="I173" i="1"/>
  <c r="J173" i="1"/>
  <c r="L173" i="1"/>
  <c r="R173" i="1"/>
  <c r="G173" i="1"/>
  <c r="H174" i="1"/>
  <c r="I174" i="1"/>
  <c r="J174" i="1"/>
  <c r="L174" i="1"/>
  <c r="R174" i="1"/>
  <c r="G174" i="1"/>
  <c r="H175" i="1"/>
  <c r="I175" i="1"/>
  <c r="J175" i="1"/>
  <c r="L175" i="1"/>
  <c r="R175" i="1"/>
  <c r="G175" i="1"/>
  <c r="H176" i="1"/>
  <c r="I176" i="1"/>
  <c r="J176" i="1"/>
  <c r="L176" i="1"/>
  <c r="R176" i="1"/>
  <c r="G176" i="1"/>
  <c r="H177" i="1"/>
  <c r="I177" i="1"/>
  <c r="J177" i="1"/>
  <c r="L177" i="1"/>
  <c r="R177" i="1"/>
  <c r="G177" i="1"/>
  <c r="H178" i="1"/>
  <c r="I178" i="1"/>
  <c r="J178" i="1"/>
  <c r="L178" i="1"/>
  <c r="R178" i="1"/>
  <c r="G178" i="1"/>
  <c r="H179" i="1"/>
  <c r="I179" i="1"/>
  <c r="J179" i="1"/>
  <c r="L179" i="1"/>
  <c r="R179" i="1"/>
  <c r="G179" i="1"/>
  <c r="H180" i="1"/>
  <c r="I180" i="1"/>
  <c r="J180" i="1"/>
  <c r="L180" i="1"/>
  <c r="R180" i="1"/>
  <c r="G180" i="1"/>
  <c r="H181" i="1"/>
  <c r="I181" i="1"/>
  <c r="J181" i="1"/>
  <c r="L181" i="1"/>
  <c r="R181" i="1"/>
  <c r="G181" i="1"/>
  <c r="H182" i="1"/>
  <c r="I182" i="1"/>
  <c r="J182" i="1"/>
  <c r="L182" i="1"/>
  <c r="R182" i="1"/>
  <c r="G182" i="1"/>
  <c r="H183" i="1"/>
  <c r="I183" i="1"/>
  <c r="J183" i="1"/>
  <c r="L183" i="1"/>
  <c r="R183" i="1"/>
  <c r="G183" i="1"/>
  <c r="H184" i="1"/>
  <c r="I184" i="1"/>
  <c r="J184" i="1"/>
  <c r="L184" i="1"/>
  <c r="R184" i="1"/>
  <c r="G184" i="1"/>
  <c r="H185" i="1"/>
  <c r="I185" i="1"/>
  <c r="J185" i="1"/>
  <c r="L185" i="1"/>
  <c r="R185" i="1"/>
  <c r="G185" i="1"/>
  <c r="H186" i="1"/>
  <c r="I186" i="1"/>
  <c r="J186" i="1"/>
  <c r="L186" i="1"/>
  <c r="R186" i="1"/>
  <c r="G186" i="1"/>
  <c r="H187" i="1"/>
  <c r="I187" i="1"/>
  <c r="J187" i="1"/>
  <c r="L187" i="1"/>
  <c r="R187" i="1"/>
  <c r="G187" i="1"/>
  <c r="H188" i="1"/>
  <c r="I188" i="1"/>
  <c r="J188" i="1"/>
  <c r="L188" i="1"/>
  <c r="R188" i="1"/>
  <c r="G188" i="1"/>
  <c r="H189" i="1"/>
  <c r="I189" i="1"/>
  <c r="J189" i="1"/>
  <c r="L189" i="1"/>
  <c r="R189" i="1"/>
  <c r="G18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H33" i="1"/>
  <c r="I33" i="1"/>
  <c r="J33" i="1"/>
  <c r="L33" i="1"/>
  <c r="R33" i="1"/>
  <c r="G33" i="1"/>
  <c r="H34" i="1"/>
  <c r="I34" i="1"/>
  <c r="J34" i="1"/>
  <c r="L34" i="1"/>
  <c r="R34" i="1"/>
  <c r="G34" i="1"/>
  <c r="H35" i="1"/>
  <c r="I35" i="1"/>
  <c r="J35" i="1"/>
  <c r="L35" i="1"/>
  <c r="R35" i="1"/>
  <c r="G35" i="1"/>
  <c r="H36" i="1"/>
  <c r="I36" i="1"/>
  <c r="J36" i="1"/>
  <c r="L36" i="1"/>
  <c r="R36" i="1"/>
  <c r="G36" i="1"/>
  <c r="H37" i="1"/>
  <c r="I37" i="1"/>
  <c r="J37" i="1"/>
  <c r="L37" i="1"/>
  <c r="R37" i="1"/>
  <c r="G37" i="1"/>
  <c r="H38" i="1"/>
  <c r="I38" i="1"/>
  <c r="J38" i="1"/>
  <c r="L38" i="1"/>
  <c r="R38" i="1"/>
  <c r="G38" i="1"/>
  <c r="H39" i="1"/>
  <c r="I39" i="1"/>
  <c r="J39" i="1"/>
  <c r="L39" i="1"/>
  <c r="R39" i="1"/>
  <c r="G39" i="1"/>
  <c r="K33" i="1"/>
  <c r="K34" i="1"/>
  <c r="K35" i="1"/>
  <c r="K36" i="1"/>
  <c r="K37" i="1"/>
  <c r="K38" i="1"/>
  <c r="K39" i="1"/>
  <c r="M33" i="1"/>
  <c r="M34" i="1"/>
  <c r="M35" i="1"/>
  <c r="M36" i="1"/>
  <c r="M37" i="1"/>
  <c r="M38" i="1"/>
  <c r="M39" i="1"/>
  <c r="N33" i="1"/>
  <c r="N34" i="1"/>
  <c r="N35" i="1"/>
  <c r="N36" i="1"/>
  <c r="N37" i="1"/>
  <c r="N38" i="1"/>
  <c r="N39" i="1"/>
  <c r="O33" i="1"/>
  <c r="O34" i="1"/>
  <c r="O35" i="1"/>
  <c r="O36" i="1"/>
  <c r="O37" i="1"/>
  <c r="O38" i="1"/>
  <c r="O39" i="1"/>
  <c r="P33" i="1"/>
  <c r="P34" i="1"/>
  <c r="P35" i="1"/>
  <c r="P36" i="1"/>
  <c r="P37" i="1"/>
  <c r="P38" i="1"/>
  <c r="P39" i="1"/>
  <c r="Q33" i="1"/>
  <c r="Q34" i="1"/>
  <c r="Q35" i="1"/>
  <c r="Q36" i="1"/>
  <c r="Q37" i="1"/>
  <c r="Q38" i="1"/>
  <c r="Q39" i="1"/>
  <c r="H8" i="1" a="1"/>
  <c r="H8" i="1"/>
  <c r="J20" i="1"/>
  <c r="J21" i="1"/>
  <c r="J22" i="1"/>
  <c r="J24" i="1"/>
  <c r="J23" i="1"/>
  <c r="AF29" i="1"/>
  <c r="J25" i="1"/>
  <c r="AG29" i="1"/>
  <c r="AJ29" i="1"/>
  <c r="AI29" i="1"/>
  <c r="AF28" i="1"/>
  <c r="AG28" i="1"/>
  <c r="AJ28" i="1"/>
  <c r="AI28" i="1"/>
  <c r="AF27" i="1"/>
  <c r="AG27" i="1"/>
  <c r="AJ27" i="1"/>
  <c r="AI27" i="1"/>
  <c r="AF26" i="1"/>
  <c r="AG26" i="1"/>
  <c r="AJ26" i="1"/>
  <c r="AI26" i="1"/>
  <c r="AF25" i="1"/>
  <c r="AG25" i="1"/>
  <c r="AJ25" i="1"/>
  <c r="AI25" i="1"/>
  <c r="AF24" i="1"/>
  <c r="AG24" i="1"/>
  <c r="AJ24" i="1"/>
  <c r="AI24" i="1"/>
  <c r="AF23" i="1"/>
  <c r="AG23" i="1"/>
  <c r="AJ23" i="1"/>
  <c r="AI23" i="1"/>
  <c r="AF22" i="1"/>
  <c r="AG22" i="1"/>
  <c r="AJ22" i="1"/>
  <c r="AI22" i="1"/>
  <c r="AF21" i="1"/>
  <c r="AG21" i="1"/>
  <c r="AJ21" i="1"/>
  <c r="AI21" i="1"/>
  <c r="AF20" i="1"/>
  <c r="AG20" i="1"/>
  <c r="AJ20" i="1"/>
  <c r="AI20" i="1"/>
  <c r="AF19" i="1"/>
  <c r="AG19" i="1"/>
  <c r="AJ19" i="1"/>
  <c r="AI19" i="1"/>
  <c r="AF18" i="1"/>
  <c r="AG18" i="1"/>
  <c r="AJ18" i="1"/>
  <c r="AI18" i="1"/>
  <c r="AF17" i="1"/>
  <c r="AG17" i="1"/>
  <c r="AJ17" i="1"/>
  <c r="AI17" i="1"/>
  <c r="AF16" i="1"/>
  <c r="AG16" i="1"/>
  <c r="AJ16" i="1"/>
  <c r="AI16" i="1"/>
  <c r="AF15" i="1"/>
  <c r="AG15" i="1"/>
  <c r="AJ15" i="1"/>
  <c r="AI15" i="1"/>
  <c r="AF14" i="1"/>
  <c r="AG14" i="1"/>
  <c r="AJ14" i="1"/>
  <c r="AI14" i="1"/>
  <c r="AF13" i="1"/>
  <c r="AG13" i="1"/>
  <c r="AJ13" i="1"/>
  <c r="AI13" i="1"/>
  <c r="AF12" i="1"/>
  <c r="AG12" i="1"/>
  <c r="AJ12" i="1"/>
  <c r="AI12" i="1"/>
  <c r="AF11" i="1"/>
  <c r="AG11" i="1"/>
  <c r="AJ11" i="1"/>
  <c r="AI11" i="1"/>
  <c r="AF10" i="1"/>
  <c r="AG10" i="1"/>
  <c r="AJ10" i="1"/>
  <c r="AI10" i="1"/>
  <c r="AF9" i="1"/>
  <c r="AG9" i="1"/>
  <c r="AJ9" i="1"/>
  <c r="AI9" i="1"/>
  <c r="H20" i="1"/>
  <c r="H21" i="1"/>
  <c r="H22" i="1"/>
  <c r="H24" i="1"/>
  <c r="H23" i="1"/>
  <c r="V9" i="1"/>
  <c r="H25" i="1"/>
  <c r="W9" i="1"/>
  <c r="Y9" i="1"/>
  <c r="Z9" i="1"/>
  <c r="I20" i="1"/>
  <c r="I21" i="1"/>
  <c r="I22" i="1"/>
  <c r="I24" i="1"/>
  <c r="I23" i="1"/>
  <c r="AA29" i="1"/>
  <c r="I25" i="1"/>
  <c r="AB29" i="1"/>
  <c r="AE29" i="1"/>
  <c r="AD29" i="1"/>
  <c r="AA28" i="1"/>
  <c r="AB28" i="1"/>
  <c r="AE28" i="1"/>
  <c r="AD28" i="1"/>
  <c r="AA27" i="1"/>
  <c r="AB27" i="1"/>
  <c r="AE27" i="1"/>
  <c r="AD27" i="1"/>
  <c r="AA26" i="1"/>
  <c r="AB26" i="1"/>
  <c r="AE26" i="1"/>
  <c r="AD26" i="1"/>
  <c r="AA25" i="1"/>
  <c r="AB25" i="1"/>
  <c r="AE25" i="1"/>
  <c r="AD25" i="1"/>
  <c r="AA24" i="1"/>
  <c r="AB24" i="1"/>
  <c r="AE24" i="1"/>
  <c r="AD24" i="1"/>
  <c r="AA23" i="1"/>
  <c r="AB23" i="1"/>
  <c r="AE23" i="1"/>
  <c r="AD23" i="1"/>
  <c r="AA22" i="1"/>
  <c r="AB22" i="1"/>
  <c r="AE22" i="1"/>
  <c r="AD22" i="1"/>
  <c r="AA21" i="1"/>
  <c r="AB21" i="1"/>
  <c r="AE21" i="1"/>
  <c r="AD21" i="1"/>
  <c r="AA20" i="1"/>
  <c r="AB20" i="1"/>
  <c r="AE20" i="1"/>
  <c r="AD20" i="1"/>
  <c r="AA19" i="1"/>
  <c r="AB19" i="1"/>
  <c r="AE19" i="1"/>
  <c r="AD19" i="1"/>
  <c r="AA18" i="1"/>
  <c r="AB18" i="1"/>
  <c r="AE18" i="1"/>
  <c r="AD18" i="1"/>
  <c r="AA17" i="1"/>
  <c r="AB17" i="1"/>
  <c r="AE17" i="1"/>
  <c r="AD17" i="1"/>
  <c r="AA16" i="1"/>
  <c r="AB16" i="1"/>
  <c r="AE16" i="1"/>
  <c r="AD16" i="1"/>
  <c r="AA15" i="1"/>
  <c r="AB15" i="1"/>
  <c r="AE15" i="1"/>
  <c r="AD15" i="1"/>
  <c r="AA14" i="1"/>
  <c r="AB14" i="1"/>
  <c r="AE14" i="1"/>
  <c r="AD14" i="1"/>
  <c r="AA13" i="1"/>
  <c r="AB13" i="1"/>
  <c r="AE13" i="1"/>
  <c r="AD13" i="1"/>
  <c r="AA12" i="1"/>
  <c r="AB12" i="1"/>
  <c r="AE12" i="1"/>
  <c r="AD12" i="1"/>
  <c r="AA11" i="1"/>
  <c r="AB11" i="1"/>
  <c r="AE11" i="1"/>
  <c r="AD11" i="1"/>
  <c r="AA10" i="1"/>
  <c r="AB10" i="1"/>
  <c r="AE10" i="1"/>
  <c r="AD10" i="1"/>
  <c r="AA9" i="1"/>
  <c r="AB9" i="1"/>
  <c r="AE9" i="1"/>
  <c r="AD9" i="1"/>
  <c r="V29" i="1"/>
  <c r="W29" i="1"/>
  <c r="Z29" i="1"/>
  <c r="Y29" i="1"/>
  <c r="V28" i="1"/>
  <c r="W28" i="1"/>
  <c r="Z28" i="1"/>
  <c r="Y28" i="1"/>
  <c r="V27" i="1"/>
  <c r="W27" i="1"/>
  <c r="Z27" i="1"/>
  <c r="Y27" i="1"/>
  <c r="V26" i="1"/>
  <c r="W26" i="1"/>
  <c r="Z26" i="1"/>
  <c r="Y26" i="1"/>
  <c r="V25" i="1"/>
  <c r="W25" i="1"/>
  <c r="Z25" i="1"/>
  <c r="Y25" i="1"/>
  <c r="V24" i="1"/>
  <c r="W24" i="1"/>
  <c r="Z24" i="1"/>
  <c r="Y24" i="1"/>
  <c r="V23" i="1"/>
  <c r="W23" i="1"/>
  <c r="Z23" i="1"/>
  <c r="Y23" i="1"/>
  <c r="V22" i="1"/>
  <c r="W22" i="1"/>
  <c r="Z22" i="1"/>
  <c r="Y22" i="1"/>
  <c r="V21" i="1"/>
  <c r="W21" i="1"/>
  <c r="Z21" i="1"/>
  <c r="Y21" i="1"/>
  <c r="V20" i="1"/>
  <c r="W20" i="1"/>
  <c r="Z20" i="1"/>
  <c r="Y20" i="1"/>
  <c r="V19" i="1"/>
  <c r="W19" i="1"/>
  <c r="Z19" i="1"/>
  <c r="Y19" i="1"/>
  <c r="V18" i="1"/>
  <c r="W18" i="1"/>
  <c r="Z18" i="1"/>
  <c r="Y18" i="1"/>
  <c r="V17" i="1"/>
  <c r="W17" i="1"/>
  <c r="Z17" i="1"/>
  <c r="Y17" i="1"/>
  <c r="V16" i="1"/>
  <c r="W16" i="1"/>
  <c r="Z16" i="1"/>
  <c r="Y16" i="1"/>
  <c r="V15" i="1"/>
  <c r="W15" i="1"/>
  <c r="Z15" i="1"/>
  <c r="Y15" i="1"/>
  <c r="V14" i="1"/>
  <c r="W14" i="1"/>
  <c r="Z14" i="1"/>
  <c r="Y14" i="1"/>
  <c r="V13" i="1"/>
  <c r="W13" i="1"/>
  <c r="Z13" i="1"/>
  <c r="Y13" i="1"/>
  <c r="V12" i="1"/>
  <c r="W12" i="1"/>
  <c r="Z12" i="1"/>
  <c r="Y12" i="1"/>
  <c r="V11" i="1"/>
  <c r="W11" i="1"/>
  <c r="Z11" i="1"/>
  <c r="Y11" i="1"/>
  <c r="V10" i="1"/>
  <c r="W10" i="1"/>
  <c r="Z10" i="1"/>
  <c r="Y10" i="1"/>
  <c r="AH10" i="1"/>
  <c r="AH28" i="1"/>
  <c r="AH25" i="1"/>
  <c r="AH22" i="1"/>
  <c r="AH19" i="1"/>
  <c r="AH16" i="1"/>
  <c r="AH13" i="1"/>
  <c r="AC28" i="1"/>
  <c r="AC25" i="1"/>
  <c r="AC22" i="1"/>
  <c r="AC19" i="1"/>
  <c r="AC16" i="1"/>
  <c r="AC13" i="1"/>
  <c r="R28" i="1"/>
  <c r="Q28" i="1"/>
  <c r="R27" i="1"/>
  <c r="Q27" i="1"/>
  <c r="R26" i="1"/>
  <c r="Q26" i="1"/>
  <c r="R25" i="1"/>
  <c r="Q25" i="1"/>
  <c r="R24" i="1"/>
  <c r="Q24" i="1"/>
  <c r="P28" i="1"/>
  <c r="O28" i="1"/>
  <c r="P27" i="1"/>
  <c r="O27" i="1"/>
  <c r="P26" i="1"/>
  <c r="O26" i="1"/>
  <c r="P25" i="1"/>
  <c r="O25" i="1"/>
  <c r="P24" i="1"/>
  <c r="O24" i="1"/>
  <c r="N28" i="1"/>
  <c r="N27" i="1"/>
  <c r="N26" i="1"/>
  <c r="N25" i="1"/>
  <c r="N24" i="1"/>
  <c r="M28" i="1"/>
  <c r="M27" i="1"/>
  <c r="M26" i="1"/>
  <c r="M25" i="1"/>
  <c r="M24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X10" i="1"/>
  <c r="AC10" i="1"/>
  <c r="X13" i="1"/>
  <c r="X16" i="1"/>
  <c r="X19" i="1"/>
  <c r="X22" i="1"/>
  <c r="X25" i="1"/>
  <c r="X28" i="1"/>
</calcChain>
</file>

<file path=xl/sharedStrings.xml><?xml version="1.0" encoding="utf-8"?>
<sst xmlns="http://schemas.openxmlformats.org/spreadsheetml/2006/main" count="92" uniqueCount="88">
  <si>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</si>
  <si>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</si>
  <si>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</si>
  <si>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</si>
  <si>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</si>
  <si>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</si>
  <si>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</si>
  <si>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</si>
  <si>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</si>
  <si>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</si>
  <si>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</si>
  <si>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</si>
  <si>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</si>
  <si>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</si>
  <si>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</si>
  <si>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</si>
  <si>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</si>
  <si>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</si>
  <si>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</si>
  <si>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</si>
  <si>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</si>
  <si>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</si>
  <si>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</si>
  <si>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</si>
  <si>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</si>
  <si>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</si>
  <si>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</si>
  <si>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</si>
  <si>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</si>
  <si>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</si>
  <si>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</si>
  <si>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</si>
  <si>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</si>
  <si>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</si>
  <si>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</si>
  <si>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</si>
  <si>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</si>
  <si>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</si>
  <si>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</si>
  <si>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</si>
  <si>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</si>
  <si>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</si>
  <si>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</si>
  <si>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</si>
  <si>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</si>
  <si>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</si>
  <si>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</si>
  <si>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</si>
  <si>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</si>
  <si>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</si>
  <si>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</si>
  <si>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</si>
  <si>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</si>
  <si>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</si>
  <si>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</si>
  <si>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</si>
  <si>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</si>
  <si>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</si>
  <si>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</si>
  <si>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</si>
  <si>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</si>
  <si>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</si>
  <si>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</si>
  <si>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</si>
  <si>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</si>
  <si>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</si>
  <si>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</si>
  <si>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</si>
  <si>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</si>
  <si>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</si>
  <si>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</si>
  <si>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</si>
  <si>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</si>
  <si>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</si>
  <si>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</si>
  <si>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</si>
  <si>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</si>
  <si>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</si>
  <si>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</si>
  <si>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</si>
  <si>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</si>
  <si>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</si>
  <si>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 norm</t>
  </si>
  <si>
    <t>y norm</t>
  </si>
  <si>
    <t>z norm</t>
  </si>
  <si>
    <t>time</t>
  </si>
  <si>
    <t>gridSize</t>
  </si>
  <si>
    <t>blockSize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</si>
</sst>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11">
    <font>
      <sz val="10"/>
      <name val="Verdana"/>
    </font>
    <font>
      <b/>
      <sz val="10"/>
      <name val="Verdana"/>
    </font>
    <font>
      <sz val="10"/>
      <name val="Verdana"/>
    </font>
    <font>
      <sz val="10"/>
      <color indexed="12"/>
      <name val="Verdana"/>
    </font>
    <font>
      <sz val="8"/>
      <name val="Verdana"/>
    </font>
    <font>
      <sz val="10"/>
      <color indexed="60"/>
      <name val="Verdana"/>
    </font>
    <font>
      <i/>
      <sz val="10"/>
      <color indexed="60"/>
      <name val="Verdana"/>
    </font>
    <font>
      <b/>
      <sz val="14"/>
      <name val="Verdana"/>
    </font>
    <font>
      <sz val="10"/>
      <color rgb="FF000000"/>
      <name val="Geneva"/>
    </font>
    <font>
      <sz val="10"/>
      <color indexed="60"/>
      <name val="Verdana"/>
      <family val="2"/>
    </font>
    <font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64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  <xf numFmtId="0" fontId="0" fillId="0" borderId="0" xfId="0" applyFont="1"/>
    <xf numFmtId="0" fontId="0" fillId="0" borderId="0" xfId="0" applyFont="1" applyFill="1"/>
    <xf numFmtId="0" fontId="10" fillId="0" borderId="0" xfId="0" applyFont="1"/>
    <xf numFmtId="0" fontId="10" fillId="2" borderId="0" xfId="0" applyNumberFormat="1" applyFont="1" applyFill="1" applyAlignment="1" applyProtection="1"/>
    <xf numFmtId="0" fontId="9" fillId="3" borderId="0" xfId="0" applyNumberFormat="1" applyFont="1" applyFill="1" applyBorder="1" applyAlignment="1" applyProtection="1"/>
    <xf numFmtId="0" fontId="9" fillId="3" borderId="1" xfId="0" applyNumberFormat="1" applyFont="1" applyFill="1" applyBorder="1" applyAlignment="1" applyProtection="1"/>
    <xf numFmtId="0" fontId="9" fillId="3" borderId="2" xfId="0" applyNumberFormat="1" applyFont="1" applyFill="1" applyBorder="1" applyAlignment="1" applyProtection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5102781136638E-2"/>
          <c:y val="1.39049826187717E-2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gridSize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{03E74539-6430-4E81-8B18-1319428AE360}</c15:txfldGUID>
                      <c15:f>plot!$C$32</c15:f>
                      <c15:dlblFieldTableCache>
                        <c:ptCount val="1"/>
                        <c:pt idx="0">
                          <c:v>gridSize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time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{1BA831E4-4BCF-460E-A394-826F40A45EC3}</c15:txfldGUID>
                      <c15:f>plot!$E$32</c15:f>
                      <c15:dlblFieldTableCache>
                        <c:ptCount val="1"/>
                        <c:pt idx="0">
                          <c:v>time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blockSize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{CF009FD9-6117-498D-81F4-1A158321C5E0}</c15:txfldGUID>
                      <c15:f>plot!$D$32</c15:f>
                      <c15:dlblFieldTableCache>
                        <c:ptCount val="1"/>
                        <c:pt idx="0">
                          <c:v>blockSize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-0.64085638205578865</c:v>
                </c:pt>
                <c:pt idx="1">
                  <c:v>-0.29883623873011983</c:v>
                </c:pt>
                <c:pt idx="2">
                  <c:v>-0.29883623873011972</c:v>
                </c:pt>
                <c:pt idx="3">
                  <c:v>-0.64085638205578843</c:v>
                </c:pt>
                <c:pt idx="4">
                  <c:v>-0.64085638205578865</c:v>
                </c:pt>
                <c:pt idx="5">
                  <c:v>0.29883623873011972</c:v>
                </c:pt>
                <c:pt idx="6">
                  <c:v>0.64085638205578843</c:v>
                </c:pt>
                <c:pt idx="7">
                  <c:v>0.64085638205578865</c:v>
                </c:pt>
                <c:pt idx="8">
                  <c:v>-0.29883623873011972</c:v>
                </c:pt>
                <c:pt idx="9">
                  <c:v>-0.29883623873011983</c:v>
                </c:pt>
                <c:pt idx="10">
                  <c:v>0.64085638205578843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-0.58243082125727907</c:v>
                </c:pt>
                <c:pt idx="1">
                  <c:v>-0.11258451086432519</c:v>
                </c:pt>
                <c:pt idx="2">
                  <c:v>0.75344089292011351</c:v>
                </c:pt>
                <c:pt idx="3">
                  <c:v>0.28359458252715963</c:v>
                </c:pt>
                <c:pt idx="4">
                  <c:v>-0.58243082125727907</c:v>
                </c:pt>
                <c:pt idx="5">
                  <c:v>-0.75344089292011351</c:v>
                </c:pt>
                <c:pt idx="6">
                  <c:v>-0.28359458252715963</c:v>
                </c:pt>
                <c:pt idx="7">
                  <c:v>0.58243082125727907</c:v>
                </c:pt>
                <c:pt idx="8">
                  <c:v>0.75344089292011351</c:v>
                </c:pt>
                <c:pt idx="9">
                  <c:v>-0.11258451086432519</c:v>
                </c:pt>
                <c:pt idx="10">
                  <c:v>-0.28359458252715963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{2C6FEDB7-3A23-4E44-A7DF-CFB72E7F1F95}</c15:txfldGUID>
                      <c15:f>plot!$X$9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{B868C2D8-6789-4A3F-8E70-A09375248914}</c15:txfldGUID>
                      <c15:f>plot!$X$10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{453EF506-AFF1-40D7-97CE-2716FC580AE2}</c15:txfldGUID>
                      <c15:f>plot!$X$11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{E04F551F-FA9B-46AB-9EA4-6B8FEA122DF9}</c15:txfldGUID>
                      <c15:f>plot!$X$12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{A6CF76BA-733B-4DFF-8E60-79C9537F5D82}</c15:txfldGUID>
                      <c15:f>plot!$X$13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{B4BEC89E-14CD-4139-B942-35E05C86A3D9}</c15:txfldGUID>
                      <c15:f>plot!$X$14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{B9B44F12-3657-4473-B832-3B662DED863F}</c15:txfldGUID>
                      <c15:f>plot!$X$15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21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{2CF28EE1-EEB0-4B51-A995-27C45077416D}</c15:txfldGUID>
                      <c15:f>plot!$X$16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{93497B48-4C79-456B-9E45-3FCB7A2B15C7}</c15:txfldGUID>
                      <c15:f>plot!$X$17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{951E53D6-0D97-42D1-BB82-8F3CC33E3D15}</c15:txfldGUID>
                      <c15:f>plot!$X$18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28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{E4421C9F-7FCA-4701-8469-708116F83119}</c15:txfldGUID>
                      <c15:f>plot!$X$19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{5303161C-826B-469C-8630-A302219F53E1}</c15:txfldGUID>
                      <c15:f>plot!$X$20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{94A9D90E-1E1B-41E3-B2A2-9E0D9BCDACBA}</c15:txfldGUID>
                      <c15:f>plot!$X$21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{8F28D72D-120F-4E86-BD79-5B14DF4A87CB}</c15:txfldGUID>
                      <c15:f>plot!$X$22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{2EA9062D-35D9-4270-AE03-C70BA7217714}</c15:txfldGUID>
                      <c15:f>plot!$X$23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{4588FADE-52BF-448F-B590-6B20ECDA206F}</c15:txfldGUID>
                      <c15:f>plot!$X$24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{AD080600-EBEF-4122-AD2A-C410D738737E}</c15:txfldGUID>
                      <c15:f>plot!$X$25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{D882EC0A-A5D2-4CEC-BCE3-4661B2E5980F}</c15:txfldGUID>
                      <c15:f>plot!$X$26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{B234F192-4238-4AA2-B15B-2FB24FA9A978}</c15:txfldGUID>
                      <c15:f>plot!$X$27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{8A0FDB20-D4EA-4C01-B243-AA6B19F7CDED}</c15:txfldGUID>
                      <c15:f>plot!$X$28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{9FEE1BF6-BF98-4A24-B34E-65B5BDDEFA9C}</c15:txfldGUID>
                      <c15:f>plot!$X$29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0.6028541439084919</c:v>
                </c:pt>
                <c:pt idx="1">
                  <c:v>0.69682340598708281</c:v>
                </c:pt>
                <c:pt idx="2">
                  <c:v>0.6028541439084919</c:v>
                </c:pt>
                <c:pt idx="3">
                  <c:v>0.536350227150723</c:v>
                </c:pt>
                <c:pt idx="4">
                  <c:v>0.6303194892293138</c:v>
                </c:pt>
                <c:pt idx="5">
                  <c:v>0.536350227150723</c:v>
                </c:pt>
                <c:pt idx="6">
                  <c:v>0.4698463103929541</c:v>
                </c:pt>
                <c:pt idx="7">
                  <c:v>0.5638155724715449</c:v>
                </c:pt>
                <c:pt idx="8">
                  <c:v>0.4698463103929541</c:v>
                </c:pt>
                <c:pt idx="9">
                  <c:v>0.40334239363518515</c:v>
                </c:pt>
                <c:pt idx="10">
                  <c:v>0.497311655713776</c:v>
                </c:pt>
                <c:pt idx="11">
                  <c:v>0.40334239363518515</c:v>
                </c:pt>
                <c:pt idx="12">
                  <c:v>0.33683847687741625</c:v>
                </c:pt>
                <c:pt idx="13">
                  <c:v>0.43080773895600705</c:v>
                </c:pt>
                <c:pt idx="14">
                  <c:v>0.33683847687741625</c:v>
                </c:pt>
                <c:pt idx="15">
                  <c:v>0.33683847687741625</c:v>
                </c:pt>
                <c:pt idx="16">
                  <c:v>0.43080773895600705</c:v>
                </c:pt>
                <c:pt idx="17">
                  <c:v>0.33683847687741625</c:v>
                </c:pt>
                <c:pt idx="18">
                  <c:v>0.33683847687741625</c:v>
                </c:pt>
                <c:pt idx="19">
                  <c:v>0.43080773895600705</c:v>
                </c:pt>
                <c:pt idx="20">
                  <c:v>0.33683847687741625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-0.33579972812637671</c:v>
                </c:pt>
                <c:pt idx="1">
                  <c:v>-0.35290073529266019</c:v>
                </c:pt>
                <c:pt idx="2">
                  <c:v>-0.33579972812637671</c:v>
                </c:pt>
                <c:pt idx="3">
                  <c:v>-0.42715873292500667</c:v>
                </c:pt>
                <c:pt idx="4">
                  <c:v>-0.4442597400912901</c:v>
                </c:pt>
                <c:pt idx="5">
                  <c:v>-0.42715873292500667</c:v>
                </c:pt>
                <c:pt idx="6">
                  <c:v>-0.51851773772363652</c:v>
                </c:pt>
                <c:pt idx="7">
                  <c:v>-0.53561874488992001</c:v>
                </c:pt>
                <c:pt idx="8">
                  <c:v>-0.51851773772363652</c:v>
                </c:pt>
                <c:pt idx="9">
                  <c:v>-0.60987674252226654</c:v>
                </c:pt>
                <c:pt idx="10">
                  <c:v>-0.62697774968855002</c:v>
                </c:pt>
                <c:pt idx="11">
                  <c:v>-0.60987674252226654</c:v>
                </c:pt>
                <c:pt idx="12">
                  <c:v>-0.70123574732089633</c:v>
                </c:pt>
                <c:pt idx="13">
                  <c:v>-0.71833675448717993</c:v>
                </c:pt>
                <c:pt idx="14">
                  <c:v>-0.70123574732089633</c:v>
                </c:pt>
                <c:pt idx="15">
                  <c:v>-0.70123574732089633</c:v>
                </c:pt>
                <c:pt idx="16">
                  <c:v>-0.71833675448717993</c:v>
                </c:pt>
                <c:pt idx="17">
                  <c:v>-0.70123574732089633</c:v>
                </c:pt>
                <c:pt idx="18">
                  <c:v>-0.70123574732089633</c:v>
                </c:pt>
                <c:pt idx="19">
                  <c:v>-0.71833675448717993</c:v>
                </c:pt>
                <c:pt idx="20">
                  <c:v>-0.70123574732089633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-0.27884277871339841</c:v>
                </c:pt>
                <c:pt idx="2">
                  <c:v>-0.25884931869667688</c:v>
                </c:pt>
                <c:pt idx="3">
                  <c:v>-0.23885585867995549</c:v>
                </c:pt>
                <c:pt idx="4">
                  <c:v>-0.21886239866323395</c:v>
                </c:pt>
                <c:pt idx="5">
                  <c:v>-0.19886893864651253</c:v>
                </c:pt>
                <c:pt idx="6">
                  <c:v>-0.17887547862979111</c:v>
                </c:pt>
                <c:pt idx="7">
                  <c:v>-0.15888201861306964</c:v>
                </c:pt>
                <c:pt idx="8">
                  <c:v>-0.13888855859634816</c:v>
                </c:pt>
                <c:pt idx="9">
                  <c:v>-0.11889509857962674</c:v>
                </c:pt>
                <c:pt idx="10">
                  <c:v>-9.8901638562905264E-2</c:v>
                </c:pt>
                <c:pt idx="11">
                  <c:v>-7.8908178546183816E-2</c:v>
                </c:pt>
                <c:pt idx="12">
                  <c:v>-5.8914718529462361E-2</c:v>
                </c:pt>
                <c:pt idx="13">
                  <c:v>-3.8921258512740885E-2</c:v>
                </c:pt>
                <c:pt idx="14">
                  <c:v>-1.8927798496019461E-2</c:v>
                </c:pt>
                <c:pt idx="15">
                  <c:v>1.0656615207020174E-3</c:v>
                </c:pt>
                <c:pt idx="16">
                  <c:v>2.105912153742347E-2</c:v>
                </c:pt>
                <c:pt idx="17">
                  <c:v>4.105258155414495E-2</c:v>
                </c:pt>
                <c:pt idx="18">
                  <c:v>6.1046041570866384E-2</c:v>
                </c:pt>
                <c:pt idx="19">
                  <c:v>8.1039501587587812E-2</c:v>
                </c:pt>
                <c:pt idx="20">
                  <c:v>0.1010329616043093</c:v>
                </c:pt>
                <c:pt idx="21">
                  <c:v>0.12102642162103072</c:v>
                </c:pt>
                <c:pt idx="22">
                  <c:v>0.14101988163775223</c:v>
                </c:pt>
                <c:pt idx="23">
                  <c:v>0.16101334165447365</c:v>
                </c:pt>
                <c:pt idx="24">
                  <c:v>0.18100680167119507</c:v>
                </c:pt>
                <c:pt idx="25">
                  <c:v>0.20100026168791654</c:v>
                </c:pt>
                <c:pt idx="26">
                  <c:v>0.22099372170463805</c:v>
                </c:pt>
                <c:pt idx="27">
                  <c:v>0.24098718172135952</c:v>
                </c:pt>
                <c:pt idx="28">
                  <c:v>0.26098064173808094</c:v>
                </c:pt>
                <c:pt idx="29">
                  <c:v>0.28097410175480242</c:v>
                </c:pt>
                <c:pt idx="30">
                  <c:v>0.30096756177152389</c:v>
                </c:pt>
                <c:pt idx="31">
                  <c:v>0.32096102178824526</c:v>
                </c:pt>
                <c:pt idx="32">
                  <c:v>0.34095448180496679</c:v>
                </c:pt>
                <c:pt idx="33">
                  <c:v>0.36094794182168821</c:v>
                </c:pt>
                <c:pt idx="34">
                  <c:v>0.38094140183840974</c:v>
                </c:pt>
                <c:pt idx="35">
                  <c:v>0.40093486185513111</c:v>
                </c:pt>
                <c:pt idx="36">
                  <c:v>0.42092832187185258</c:v>
                </c:pt>
                <c:pt idx="37">
                  <c:v>0.440921781888574</c:v>
                </c:pt>
                <c:pt idx="38">
                  <c:v>0.46091524190529543</c:v>
                </c:pt>
                <c:pt idx="39">
                  <c:v>0.48090870192201696</c:v>
                </c:pt>
                <c:pt idx="40">
                  <c:v>0.50090216193873838</c:v>
                </c:pt>
                <c:pt idx="41">
                  <c:v>0.52089562195545991</c:v>
                </c:pt>
                <c:pt idx="42">
                  <c:v>0.54088908197218122</c:v>
                </c:pt>
                <c:pt idx="43">
                  <c:v>0.56088254198890275</c:v>
                </c:pt>
                <c:pt idx="44">
                  <c:v>0.58087600200562428</c:v>
                </c:pt>
                <c:pt idx="45">
                  <c:v>0.6008694620223457</c:v>
                </c:pt>
                <c:pt idx="46">
                  <c:v>0.62086292203906712</c:v>
                </c:pt>
                <c:pt idx="47">
                  <c:v>0.64085638205578854</c:v>
                </c:pt>
                <c:pt idx="48">
                  <c:v>-0.29883623873011983</c:v>
                </c:pt>
                <c:pt idx="49">
                  <c:v>-0.27884277871339841</c:v>
                </c:pt>
                <c:pt idx="50">
                  <c:v>-0.25884931869667688</c:v>
                </c:pt>
                <c:pt idx="51">
                  <c:v>-0.23885585867995549</c:v>
                </c:pt>
                <c:pt idx="52">
                  <c:v>-0.21886239866323395</c:v>
                </c:pt>
                <c:pt idx="53">
                  <c:v>-0.19886893864651253</c:v>
                </c:pt>
                <c:pt idx="54">
                  <c:v>-0.17887547862979111</c:v>
                </c:pt>
                <c:pt idx="55">
                  <c:v>-0.15888201861306964</c:v>
                </c:pt>
                <c:pt idx="56">
                  <c:v>-0.13888855859634813</c:v>
                </c:pt>
                <c:pt idx="57">
                  <c:v>-0.11889509857962671</c:v>
                </c:pt>
                <c:pt idx="58">
                  <c:v>-9.8901638562905236E-2</c:v>
                </c:pt>
                <c:pt idx="59">
                  <c:v>-7.8908178546183788E-2</c:v>
                </c:pt>
                <c:pt idx="60">
                  <c:v>-5.891471852946234E-2</c:v>
                </c:pt>
                <c:pt idx="61">
                  <c:v>-3.8921258512740864E-2</c:v>
                </c:pt>
                <c:pt idx="62">
                  <c:v>-1.892779849601944E-2</c:v>
                </c:pt>
                <c:pt idx="63">
                  <c:v>1.0656615207020382E-3</c:v>
                </c:pt>
                <c:pt idx="64">
                  <c:v>2.1059121537423488E-2</c:v>
                </c:pt>
                <c:pt idx="65">
                  <c:v>4.1052581554144964E-2</c:v>
                </c:pt>
                <c:pt idx="66">
                  <c:v>6.1046041570866405E-2</c:v>
                </c:pt>
                <c:pt idx="67">
                  <c:v>8.1039501587587826E-2</c:v>
                </c:pt>
                <c:pt idx="68">
                  <c:v>0.10103296160430932</c:v>
                </c:pt>
                <c:pt idx="69">
                  <c:v>0.12102642162103074</c:v>
                </c:pt>
                <c:pt idx="70">
                  <c:v>0.14101988163775225</c:v>
                </c:pt>
                <c:pt idx="71">
                  <c:v>0.16101334165447367</c:v>
                </c:pt>
                <c:pt idx="72">
                  <c:v>0.18100680167119509</c:v>
                </c:pt>
                <c:pt idx="73">
                  <c:v>0.20100026168791657</c:v>
                </c:pt>
                <c:pt idx="74">
                  <c:v>0.22099372170463807</c:v>
                </c:pt>
                <c:pt idx="75">
                  <c:v>0.24098718172135955</c:v>
                </c:pt>
                <c:pt idx="76">
                  <c:v>0.26098064173808094</c:v>
                </c:pt>
                <c:pt idx="77">
                  <c:v>0.28097410175480242</c:v>
                </c:pt>
                <c:pt idx="78">
                  <c:v>0.30096756177152389</c:v>
                </c:pt>
                <c:pt idx="79">
                  <c:v>0.32096102178824526</c:v>
                </c:pt>
                <c:pt idx="80">
                  <c:v>0.34095448180496679</c:v>
                </c:pt>
                <c:pt idx="81">
                  <c:v>0.36094794182168821</c:v>
                </c:pt>
                <c:pt idx="82">
                  <c:v>0.38094140183840974</c:v>
                </c:pt>
                <c:pt idx="83">
                  <c:v>0.40093486185513111</c:v>
                </c:pt>
                <c:pt idx="84">
                  <c:v>0.42092832187185258</c:v>
                </c:pt>
                <c:pt idx="85">
                  <c:v>0.440921781888574</c:v>
                </c:pt>
                <c:pt idx="86">
                  <c:v>0.46091524190529548</c:v>
                </c:pt>
                <c:pt idx="87">
                  <c:v>0.48090870192201701</c:v>
                </c:pt>
                <c:pt idx="88">
                  <c:v>0.50090216193873838</c:v>
                </c:pt>
                <c:pt idx="89">
                  <c:v>0.52089562195545991</c:v>
                </c:pt>
                <c:pt idx="90">
                  <c:v>0.54088908197218122</c:v>
                </c:pt>
                <c:pt idx="91">
                  <c:v>0.56088254198890275</c:v>
                </c:pt>
                <c:pt idx="92">
                  <c:v>0.58087600200562428</c:v>
                </c:pt>
                <c:pt idx="93">
                  <c:v>0.6008694620223457</c:v>
                </c:pt>
                <c:pt idx="94">
                  <c:v>0.62086292203906712</c:v>
                </c:pt>
                <c:pt idx="95">
                  <c:v>0.64085638205578854</c:v>
                </c:pt>
                <c:pt idx="96">
                  <c:v>-0.29883623873011983</c:v>
                </c:pt>
                <c:pt idx="97">
                  <c:v>-0.27884277871339841</c:v>
                </c:pt>
                <c:pt idx="98">
                  <c:v>-0.25884931869667688</c:v>
                </c:pt>
                <c:pt idx="99">
                  <c:v>-0.23885585867995549</c:v>
                </c:pt>
                <c:pt idx="100">
                  <c:v>-0.21886239866323395</c:v>
                </c:pt>
                <c:pt idx="101">
                  <c:v>-0.19886893864651251</c:v>
                </c:pt>
                <c:pt idx="102">
                  <c:v>-0.17887547862979108</c:v>
                </c:pt>
                <c:pt idx="103">
                  <c:v>-0.15888201861306961</c:v>
                </c:pt>
                <c:pt idx="104">
                  <c:v>-0.13888855859634813</c:v>
                </c:pt>
                <c:pt idx="105">
                  <c:v>-0.11889509857962671</c:v>
                </c:pt>
                <c:pt idx="106">
                  <c:v>-9.8901638562905236E-2</c:v>
                </c:pt>
                <c:pt idx="107">
                  <c:v>-7.8908178546183774E-2</c:v>
                </c:pt>
                <c:pt idx="108">
                  <c:v>-5.8914718529462326E-2</c:v>
                </c:pt>
                <c:pt idx="109">
                  <c:v>-3.892125851274085E-2</c:v>
                </c:pt>
                <c:pt idx="110">
                  <c:v>-1.8927798496019416E-2</c:v>
                </c:pt>
                <c:pt idx="111">
                  <c:v>1.0656615207020627E-3</c:v>
                </c:pt>
                <c:pt idx="112">
                  <c:v>2.1059121537423502E-2</c:v>
                </c:pt>
                <c:pt idx="113">
                  <c:v>4.1052581554144978E-2</c:v>
                </c:pt>
                <c:pt idx="114">
                  <c:v>6.1046041570866419E-2</c:v>
                </c:pt>
                <c:pt idx="115">
                  <c:v>8.1039501587587839E-2</c:v>
                </c:pt>
                <c:pt idx="116">
                  <c:v>0.10103296160430933</c:v>
                </c:pt>
                <c:pt idx="117">
                  <c:v>0.12102642162103075</c:v>
                </c:pt>
                <c:pt idx="118">
                  <c:v>0.14101988163775225</c:v>
                </c:pt>
                <c:pt idx="119">
                  <c:v>0.16101334165447367</c:v>
                </c:pt>
                <c:pt idx="120">
                  <c:v>0.18100680167119509</c:v>
                </c:pt>
                <c:pt idx="121">
                  <c:v>0.2010002616879166</c:v>
                </c:pt>
                <c:pt idx="122">
                  <c:v>0.2209937217046381</c:v>
                </c:pt>
                <c:pt idx="123">
                  <c:v>0.24098718172135958</c:v>
                </c:pt>
                <c:pt idx="124">
                  <c:v>0.260980641738081</c:v>
                </c:pt>
                <c:pt idx="125">
                  <c:v>0.28097410175480247</c:v>
                </c:pt>
                <c:pt idx="126">
                  <c:v>0.30096756177152395</c:v>
                </c:pt>
                <c:pt idx="127">
                  <c:v>0.32096102178824532</c:v>
                </c:pt>
                <c:pt idx="128">
                  <c:v>-0.29883623873011983</c:v>
                </c:pt>
                <c:pt idx="129">
                  <c:v>-0.27884277871339841</c:v>
                </c:pt>
                <c:pt idx="130">
                  <c:v>-0.25884931869667688</c:v>
                </c:pt>
                <c:pt idx="131">
                  <c:v>-0.23885585867995549</c:v>
                </c:pt>
                <c:pt idx="132">
                  <c:v>-0.21886239866323393</c:v>
                </c:pt>
                <c:pt idx="133">
                  <c:v>-0.19886893864651251</c:v>
                </c:pt>
                <c:pt idx="134">
                  <c:v>-0.17887547862979108</c:v>
                </c:pt>
                <c:pt idx="135">
                  <c:v>-0.15888201861306961</c:v>
                </c:pt>
                <c:pt idx="136">
                  <c:v>-0.13888855859634813</c:v>
                </c:pt>
                <c:pt idx="137">
                  <c:v>-0.1188950985796267</c:v>
                </c:pt>
                <c:pt idx="138">
                  <c:v>-9.8901638562905209E-2</c:v>
                </c:pt>
                <c:pt idx="139">
                  <c:v>-7.890817854618376E-2</c:v>
                </c:pt>
                <c:pt idx="140">
                  <c:v>-5.8914718529462319E-2</c:v>
                </c:pt>
                <c:pt idx="141">
                  <c:v>-3.8921258512740843E-2</c:v>
                </c:pt>
                <c:pt idx="142">
                  <c:v>-1.8927798496019416E-2</c:v>
                </c:pt>
                <c:pt idx="143">
                  <c:v>1.0656615207020657E-3</c:v>
                </c:pt>
                <c:pt idx="144">
                  <c:v>2.1059121537423516E-2</c:v>
                </c:pt>
                <c:pt idx="145">
                  <c:v>4.1052581554144998E-2</c:v>
                </c:pt>
                <c:pt idx="146">
                  <c:v>6.1046041570866433E-2</c:v>
                </c:pt>
                <c:pt idx="147">
                  <c:v>8.1039501587587853E-2</c:v>
                </c:pt>
                <c:pt idx="148">
                  <c:v>0.10103296160430936</c:v>
                </c:pt>
                <c:pt idx="149">
                  <c:v>0.12102642162103078</c:v>
                </c:pt>
                <c:pt idx="150">
                  <c:v>0.14101988163775228</c:v>
                </c:pt>
                <c:pt idx="151">
                  <c:v>0.1610133416544737</c:v>
                </c:pt>
                <c:pt idx="152">
                  <c:v>-0.29883623873011983</c:v>
                </c:pt>
                <c:pt idx="153">
                  <c:v>-0.27884277871339841</c:v>
                </c:pt>
                <c:pt idx="154">
                  <c:v>-0.25884931869667688</c:v>
                </c:pt>
                <c:pt idx="155">
                  <c:v>-0.23885585867995546</c:v>
                </c:pt>
                <c:pt idx="156">
                  <c:v>-0.21886239866323393</c:v>
                </c:pt>
                <c:pt idx="157">
                  <c:v>-0.19886893864651251</c:v>
                </c:pt>
                <c:pt idx="158">
                  <c:v>-0.17887547862979108</c:v>
                </c:pt>
                <c:pt idx="159">
                  <c:v>-0.15888201861306961</c:v>
                </c:pt>
                <c:pt idx="160">
                  <c:v>-0.13888855859634811</c:v>
                </c:pt>
                <c:pt idx="161">
                  <c:v>-0.1188950985796267</c:v>
                </c:pt>
                <c:pt idx="162">
                  <c:v>-9.8901638562905209E-2</c:v>
                </c:pt>
                <c:pt idx="163">
                  <c:v>-7.890817854618376E-2</c:v>
                </c:pt>
                <c:pt idx="164">
                  <c:v>-5.8914718529462312E-2</c:v>
                </c:pt>
                <c:pt idx="165">
                  <c:v>-3.8921258512740829E-2</c:v>
                </c:pt>
                <c:pt idx="166">
                  <c:v>-1.8927798496019402E-2</c:v>
                </c:pt>
                <c:pt idx="167">
                  <c:v>1.065661520702082E-3</c:v>
                </c:pt>
                <c:pt idx="168">
                  <c:v>2.1059121537423533E-2</c:v>
                </c:pt>
                <c:pt idx="169">
                  <c:v>4.1052581554145012E-2</c:v>
                </c:pt>
                <c:pt idx="170">
                  <c:v>6.1046041570866454E-2</c:v>
                </c:pt>
                <c:pt idx="171">
                  <c:v>-0.29883623873011983</c:v>
                </c:pt>
                <c:pt idx="172">
                  <c:v>-0.27884277871339841</c:v>
                </c:pt>
                <c:pt idx="173">
                  <c:v>-0.25884931869667688</c:v>
                </c:pt>
                <c:pt idx="174">
                  <c:v>-0.23885585867995546</c:v>
                </c:pt>
                <c:pt idx="175">
                  <c:v>-0.21886239866323393</c:v>
                </c:pt>
                <c:pt idx="176">
                  <c:v>-0.19886893864651251</c:v>
                </c:pt>
                <c:pt idx="177">
                  <c:v>-0.17887547862979106</c:v>
                </c:pt>
                <c:pt idx="178">
                  <c:v>-0.15888201861306958</c:v>
                </c:pt>
                <c:pt idx="179">
                  <c:v>-0.13888855859634811</c:v>
                </c:pt>
                <c:pt idx="180">
                  <c:v>-0.11889509857962668</c:v>
                </c:pt>
                <c:pt idx="181">
                  <c:v>-9.8901638562905209E-2</c:v>
                </c:pt>
                <c:pt idx="182">
                  <c:v>-7.8908178546183746E-2</c:v>
                </c:pt>
                <c:pt idx="183">
                  <c:v>-5.8914718529462298E-2</c:v>
                </c:pt>
                <c:pt idx="184">
                  <c:v>-3.8921258512740815E-2</c:v>
                </c:pt>
                <c:pt idx="185">
                  <c:v>-1.8927798496019384E-2</c:v>
                </c:pt>
                <c:pt idx="186">
                  <c:v>1.0656615207021007E-3</c:v>
                </c:pt>
                <c:pt idx="187">
                  <c:v>-0.29883623873011983</c:v>
                </c:pt>
                <c:pt idx="188">
                  <c:v>-0.27884277871339841</c:v>
                </c:pt>
                <c:pt idx="189">
                  <c:v>-0.25884931869667688</c:v>
                </c:pt>
                <c:pt idx="190">
                  <c:v>-0.23885585867995546</c:v>
                </c:pt>
                <c:pt idx="191">
                  <c:v>-0.21886239866323393</c:v>
                </c:pt>
                <c:pt idx="192">
                  <c:v>-0.19886893864651248</c:v>
                </c:pt>
                <c:pt idx="193">
                  <c:v>-0.17887547862979106</c:v>
                </c:pt>
                <c:pt idx="194">
                  <c:v>-0.15888201861306958</c:v>
                </c:pt>
                <c:pt idx="195">
                  <c:v>-0.13888855859634811</c:v>
                </c:pt>
                <c:pt idx="196">
                  <c:v>-0.11889509857962667</c:v>
                </c:pt>
                <c:pt idx="197">
                  <c:v>-9.8901638562905195E-2</c:v>
                </c:pt>
                <c:pt idx="198">
                  <c:v>-7.8908178546183733E-2</c:v>
                </c:pt>
                <c:pt idx="199">
                  <c:v>-5.8914718529462284E-2</c:v>
                </c:pt>
                <c:pt idx="200">
                  <c:v>-0.29883623873011983</c:v>
                </c:pt>
                <c:pt idx="201">
                  <c:v>-0.27884277871339841</c:v>
                </c:pt>
                <c:pt idx="202">
                  <c:v>-0.25884931869667682</c:v>
                </c:pt>
                <c:pt idx="203">
                  <c:v>-0.23885585867995546</c:v>
                </c:pt>
                <c:pt idx="204">
                  <c:v>-0.2188623986632339</c:v>
                </c:pt>
                <c:pt idx="205">
                  <c:v>-0.19886893864651248</c:v>
                </c:pt>
                <c:pt idx="206">
                  <c:v>-0.17887547862979106</c:v>
                </c:pt>
                <c:pt idx="207">
                  <c:v>-0.15888201861306958</c:v>
                </c:pt>
                <c:pt idx="208">
                  <c:v>-0.13888855859634811</c:v>
                </c:pt>
                <c:pt idx="209">
                  <c:v>-0.11889509857962667</c:v>
                </c:pt>
                <c:pt idx="210">
                  <c:v>-9.8901638562905181E-2</c:v>
                </c:pt>
                <c:pt idx="211">
                  <c:v>-7.8908178546183719E-2</c:v>
                </c:pt>
                <c:pt idx="212">
                  <c:v>-0.29883623873011983</c:v>
                </c:pt>
                <c:pt idx="213">
                  <c:v>-0.27884277871339841</c:v>
                </c:pt>
                <c:pt idx="214">
                  <c:v>-0.25884931869667682</c:v>
                </c:pt>
                <c:pt idx="215">
                  <c:v>-0.23885585867995546</c:v>
                </c:pt>
                <c:pt idx="216">
                  <c:v>-0.2188623986632339</c:v>
                </c:pt>
                <c:pt idx="217">
                  <c:v>-0.19886893864651248</c:v>
                </c:pt>
                <c:pt idx="218">
                  <c:v>-0.17887547862979106</c:v>
                </c:pt>
                <c:pt idx="219">
                  <c:v>-0.15888201861306955</c:v>
                </c:pt>
                <c:pt idx="220">
                  <c:v>-0.13888855859634808</c:v>
                </c:pt>
                <c:pt idx="221">
                  <c:v>-0.11889509857962666</c:v>
                </c:pt>
                <c:pt idx="222">
                  <c:v>-0.29883623873011983</c:v>
                </c:pt>
                <c:pt idx="223">
                  <c:v>-0.27884277871339841</c:v>
                </c:pt>
                <c:pt idx="224">
                  <c:v>-0.25884931869667682</c:v>
                </c:pt>
                <c:pt idx="225">
                  <c:v>-0.23885585867995546</c:v>
                </c:pt>
                <c:pt idx="226">
                  <c:v>-0.2188623986632339</c:v>
                </c:pt>
                <c:pt idx="227">
                  <c:v>-0.19886893864651248</c:v>
                </c:pt>
                <c:pt idx="228">
                  <c:v>-0.17887547862979106</c:v>
                </c:pt>
                <c:pt idx="229">
                  <c:v>-0.15888201861306955</c:v>
                </c:pt>
                <c:pt idx="230">
                  <c:v>-0.13888855859634808</c:v>
                </c:pt>
                <c:pt idx="231">
                  <c:v>-0.29883623873011983</c:v>
                </c:pt>
                <c:pt idx="232">
                  <c:v>-0.27884277871339841</c:v>
                </c:pt>
                <c:pt idx="233">
                  <c:v>-0.25884931869667682</c:v>
                </c:pt>
                <c:pt idx="234">
                  <c:v>-0.23885585867995546</c:v>
                </c:pt>
                <c:pt idx="235">
                  <c:v>-0.2188623986632339</c:v>
                </c:pt>
                <c:pt idx="236">
                  <c:v>-0.19886893864651248</c:v>
                </c:pt>
                <c:pt idx="237">
                  <c:v>-0.17887547862979103</c:v>
                </c:pt>
                <c:pt idx="238">
                  <c:v>-0.15888201861306955</c:v>
                </c:pt>
                <c:pt idx="239">
                  <c:v>-0.29883623873011983</c:v>
                </c:pt>
                <c:pt idx="240">
                  <c:v>-0.27884277871339841</c:v>
                </c:pt>
                <c:pt idx="241">
                  <c:v>-0.25884931869667682</c:v>
                </c:pt>
                <c:pt idx="242">
                  <c:v>-0.23885585867995543</c:v>
                </c:pt>
                <c:pt idx="243">
                  <c:v>-0.2188623986632339</c:v>
                </c:pt>
                <c:pt idx="244">
                  <c:v>-0.19886893864651248</c:v>
                </c:pt>
                <c:pt idx="245">
                  <c:v>-0.17887547862979103</c:v>
                </c:pt>
                <c:pt idx="246">
                  <c:v>-0.15888201861306955</c:v>
                </c:pt>
                <c:pt idx="247">
                  <c:v>-0.29883623873011983</c:v>
                </c:pt>
                <c:pt idx="248">
                  <c:v>-0.27884277871339841</c:v>
                </c:pt>
                <c:pt idx="249">
                  <c:v>-0.25884931869667682</c:v>
                </c:pt>
                <c:pt idx="250">
                  <c:v>-0.23885585867995543</c:v>
                </c:pt>
                <c:pt idx="251">
                  <c:v>-0.2188623986632339</c:v>
                </c:pt>
                <c:pt idx="252">
                  <c:v>-0.19886893864651245</c:v>
                </c:pt>
                <c:pt idx="253">
                  <c:v>-0.17887547862979103</c:v>
                </c:pt>
                <c:pt idx="254">
                  <c:v>-0.29883623873011983</c:v>
                </c:pt>
                <c:pt idx="255">
                  <c:v>-0.27884277871339841</c:v>
                </c:pt>
                <c:pt idx="256">
                  <c:v>-0.25884931869667682</c:v>
                </c:pt>
                <c:pt idx="257">
                  <c:v>-0.23885585867995543</c:v>
                </c:pt>
                <c:pt idx="258">
                  <c:v>-0.2188623986632339</c:v>
                </c:pt>
                <c:pt idx="259">
                  <c:v>-0.19886893864651245</c:v>
                </c:pt>
                <c:pt idx="260">
                  <c:v>-0.29883623873011983</c:v>
                </c:pt>
                <c:pt idx="261">
                  <c:v>-0.27884277871339835</c:v>
                </c:pt>
                <c:pt idx="262">
                  <c:v>-0.25884931869667682</c:v>
                </c:pt>
                <c:pt idx="263">
                  <c:v>-0.23885585867995543</c:v>
                </c:pt>
                <c:pt idx="264">
                  <c:v>-0.21886239866323387</c:v>
                </c:pt>
                <c:pt idx="265">
                  <c:v>-0.19886893864651245</c:v>
                </c:pt>
                <c:pt idx="266">
                  <c:v>-0.29883623873011983</c:v>
                </c:pt>
                <c:pt idx="267">
                  <c:v>-0.27884277871339835</c:v>
                </c:pt>
                <c:pt idx="268">
                  <c:v>-0.25884931869667682</c:v>
                </c:pt>
                <c:pt idx="269">
                  <c:v>-0.23885585867995543</c:v>
                </c:pt>
                <c:pt idx="270">
                  <c:v>-0.21886239866323387</c:v>
                </c:pt>
                <c:pt idx="271">
                  <c:v>-0.19886893864651245</c:v>
                </c:pt>
                <c:pt idx="272">
                  <c:v>-0.29883623873011983</c:v>
                </c:pt>
                <c:pt idx="273">
                  <c:v>-0.27884277871339835</c:v>
                </c:pt>
                <c:pt idx="274">
                  <c:v>-0.25884931869667682</c:v>
                </c:pt>
                <c:pt idx="275">
                  <c:v>-0.23885585867995543</c:v>
                </c:pt>
                <c:pt idx="276">
                  <c:v>-0.21886239866323387</c:v>
                </c:pt>
                <c:pt idx="277">
                  <c:v>-0.29883623873011983</c:v>
                </c:pt>
                <c:pt idx="278">
                  <c:v>-0.27884277871339835</c:v>
                </c:pt>
                <c:pt idx="279">
                  <c:v>-0.25884931869667682</c:v>
                </c:pt>
                <c:pt idx="280">
                  <c:v>-0.23885585867995543</c:v>
                </c:pt>
                <c:pt idx="281">
                  <c:v>-0.21886239866323387</c:v>
                </c:pt>
                <c:pt idx="282">
                  <c:v>-0.29883623873011983</c:v>
                </c:pt>
                <c:pt idx="283">
                  <c:v>-0.27884277871339835</c:v>
                </c:pt>
                <c:pt idx="284">
                  <c:v>-0.25884931869667682</c:v>
                </c:pt>
                <c:pt idx="285">
                  <c:v>-0.23885585867995543</c:v>
                </c:pt>
                <c:pt idx="286">
                  <c:v>-0.21886239866323387</c:v>
                </c:pt>
                <c:pt idx="287">
                  <c:v>-0.29883623873011983</c:v>
                </c:pt>
                <c:pt idx="288">
                  <c:v>-0.27884277871339835</c:v>
                </c:pt>
                <c:pt idx="289">
                  <c:v>-0.25884931869667682</c:v>
                </c:pt>
                <c:pt idx="290">
                  <c:v>-0.2388558586799554</c:v>
                </c:pt>
                <c:pt idx="291">
                  <c:v>-0.29883623873011983</c:v>
                </c:pt>
                <c:pt idx="292">
                  <c:v>-0.27884277871339835</c:v>
                </c:pt>
                <c:pt idx="293">
                  <c:v>-0.25884931869667682</c:v>
                </c:pt>
                <c:pt idx="294">
                  <c:v>-0.2388558586799554</c:v>
                </c:pt>
                <c:pt idx="295">
                  <c:v>-0.29883623873011983</c:v>
                </c:pt>
                <c:pt idx="296">
                  <c:v>-0.27884277871339835</c:v>
                </c:pt>
                <c:pt idx="297">
                  <c:v>-0.25884931869667682</c:v>
                </c:pt>
                <c:pt idx="298">
                  <c:v>-0.2388558586799554</c:v>
                </c:pt>
                <c:pt idx="299">
                  <c:v>-0.29883623873011983</c:v>
                </c:pt>
                <c:pt idx="300">
                  <c:v>-0.27884277871339835</c:v>
                </c:pt>
                <c:pt idx="301">
                  <c:v>-0.25884931869667682</c:v>
                </c:pt>
                <c:pt idx="302">
                  <c:v>-0.2388558586799554</c:v>
                </c:pt>
                <c:pt idx="303">
                  <c:v>-0.29883623873011983</c:v>
                </c:pt>
                <c:pt idx="304">
                  <c:v>-0.27884277871339835</c:v>
                </c:pt>
                <c:pt idx="305">
                  <c:v>-0.25884931869667682</c:v>
                </c:pt>
                <c:pt idx="306">
                  <c:v>-0.2388558586799554</c:v>
                </c:pt>
                <c:pt idx="307">
                  <c:v>-0.29883623873011983</c:v>
                </c:pt>
                <c:pt idx="308">
                  <c:v>-0.27884277871339835</c:v>
                </c:pt>
                <c:pt idx="309">
                  <c:v>-0.25884931869667682</c:v>
                </c:pt>
                <c:pt idx="310">
                  <c:v>-0.29883623873011983</c:v>
                </c:pt>
                <c:pt idx="311">
                  <c:v>-0.27884277871339835</c:v>
                </c:pt>
                <c:pt idx="312">
                  <c:v>-0.25884931869667682</c:v>
                </c:pt>
                <c:pt idx="313">
                  <c:v>-0.29883623873011983</c:v>
                </c:pt>
                <c:pt idx="314">
                  <c:v>-0.27884277871339835</c:v>
                </c:pt>
                <c:pt idx="315">
                  <c:v>-0.25884931869667682</c:v>
                </c:pt>
                <c:pt idx="316">
                  <c:v>-0.29883623873011983</c:v>
                </c:pt>
                <c:pt idx="317">
                  <c:v>-0.27884277871339835</c:v>
                </c:pt>
                <c:pt idx="318">
                  <c:v>-0.25884931869667682</c:v>
                </c:pt>
                <c:pt idx="319">
                  <c:v>-0.29883623873011983</c:v>
                </c:pt>
                <c:pt idx="320">
                  <c:v>-0.27884277871339835</c:v>
                </c:pt>
                <c:pt idx="321">
                  <c:v>-0.25884931869667682</c:v>
                </c:pt>
                <c:pt idx="322">
                  <c:v>-0.29883623873011983</c:v>
                </c:pt>
                <c:pt idx="323">
                  <c:v>-0.27884277871339835</c:v>
                </c:pt>
                <c:pt idx="324">
                  <c:v>-0.25884931869667682</c:v>
                </c:pt>
                <c:pt idx="325">
                  <c:v>-0.29883623873011983</c:v>
                </c:pt>
                <c:pt idx="326">
                  <c:v>-0.27884277871339835</c:v>
                </c:pt>
                <c:pt idx="327">
                  <c:v>-0.25884931869667677</c:v>
                </c:pt>
                <c:pt idx="328">
                  <c:v>-0.29883623873011977</c:v>
                </c:pt>
                <c:pt idx="329">
                  <c:v>-0.27884277871339835</c:v>
                </c:pt>
                <c:pt idx="330">
                  <c:v>-0.25884931869667677</c:v>
                </c:pt>
                <c:pt idx="331">
                  <c:v>-0.29883623873011977</c:v>
                </c:pt>
                <c:pt idx="332">
                  <c:v>-0.27884277871339835</c:v>
                </c:pt>
                <c:pt idx="333">
                  <c:v>-0.29883623873011977</c:v>
                </c:pt>
                <c:pt idx="334">
                  <c:v>-0.27884277871339835</c:v>
                </c:pt>
                <c:pt idx="335">
                  <c:v>-0.29883623873011977</c:v>
                </c:pt>
                <c:pt idx="336">
                  <c:v>-0.27884277871339835</c:v>
                </c:pt>
                <c:pt idx="337">
                  <c:v>-0.29883623873011977</c:v>
                </c:pt>
                <c:pt idx="338">
                  <c:v>-0.27884277871339835</c:v>
                </c:pt>
                <c:pt idx="339">
                  <c:v>-0.29883623873011977</c:v>
                </c:pt>
                <c:pt idx="340">
                  <c:v>-0.27884277871339835</c:v>
                </c:pt>
                <c:pt idx="341">
                  <c:v>-0.29883623873011977</c:v>
                </c:pt>
                <c:pt idx="342">
                  <c:v>-0.27884277871339835</c:v>
                </c:pt>
                <c:pt idx="343">
                  <c:v>-0.29883623873011977</c:v>
                </c:pt>
                <c:pt idx="344">
                  <c:v>-0.27884277871339835</c:v>
                </c:pt>
                <c:pt idx="345">
                  <c:v>-0.29883623873011977</c:v>
                </c:pt>
                <c:pt idx="346">
                  <c:v>-0.27884277871339835</c:v>
                </c:pt>
                <c:pt idx="347">
                  <c:v>-0.29883623873011972</c:v>
                </c:pt>
                <c:pt idx="348">
                  <c:v>-0.27884277871339835</c:v>
                </c:pt>
                <c:pt idx="349">
                  <c:v>-0.29883623873011972</c:v>
                </c:pt>
                <c:pt idx="350">
                  <c:v>-0.27884277871339835</c:v>
                </c:pt>
                <c:pt idx="351">
                  <c:v>-0.29883623873011972</c:v>
                </c:pt>
                <c:pt idx="352">
                  <c:v>-0.27884277871339835</c:v>
                </c:pt>
                <c:pt idx="353">
                  <c:v>-0.29883623873011972</c:v>
                </c:pt>
                <c:pt idx="354">
                  <c:v>-0.27884277871339835</c:v>
                </c:pt>
                <c:pt idx="355">
                  <c:v>-0.29883623873011972</c:v>
                </c:pt>
                <c:pt idx="356">
                  <c:v>-0.27884277871339835</c:v>
                </c:pt>
                <c:pt idx="357">
                  <c:v>-0.29883623873011972</c:v>
                </c:pt>
                <c:pt idx="358">
                  <c:v>-0.27884277871339835</c:v>
                </c:pt>
                <c:pt idx="359">
                  <c:v>-0.29883623873011972</c:v>
                </c:pt>
                <c:pt idx="360">
                  <c:v>-0.2788427787133983</c:v>
                </c:pt>
                <c:pt idx="361">
                  <c:v>-0.29883623873011972</c:v>
                </c:pt>
                <c:pt idx="362">
                  <c:v>-0.2788427787133983</c:v>
                </c:pt>
                <c:pt idx="363">
                  <c:v>-0.29883623873011972</c:v>
                </c:pt>
                <c:pt idx="364">
                  <c:v>-0.29883623873011972</c:v>
                </c:pt>
                <c:pt idx="365">
                  <c:v>-0.29883623873011972</c:v>
                </c:pt>
                <c:pt idx="366">
                  <c:v>-0.29883623873011972</c:v>
                </c:pt>
                <c:pt idx="367">
                  <c:v>-0.29883623873011972</c:v>
                </c:pt>
                <c:pt idx="368">
                  <c:v>-0.29883623873011972</c:v>
                </c:pt>
                <c:pt idx="369">
                  <c:v>-0.29883623873011972</c:v>
                </c:pt>
                <c:pt idx="370">
                  <c:v>-0.29883623873011972</c:v>
                </c:pt>
                <c:pt idx="371">
                  <c:v>-0.29883623873011972</c:v>
                </c:pt>
                <c:pt idx="372">
                  <c:v>-0.29883623873011972</c:v>
                </c:pt>
                <c:pt idx="373">
                  <c:v>-0.29883623873011972</c:v>
                </c:pt>
                <c:pt idx="374">
                  <c:v>-0.29883623873011972</c:v>
                </c:pt>
                <c:pt idx="375">
                  <c:v>-0.29883623873011972</c:v>
                </c:pt>
                <c:pt idx="376">
                  <c:v>-0.29883623873011972</c:v>
                </c:pt>
                <c:pt idx="377">
                  <c:v>-0.29883623873011972</c:v>
                </c:pt>
                <c:pt idx="378">
                  <c:v>-0.29883623873011972</c:v>
                </c:pt>
              </c:numCache>
            </c:numRef>
          </c:xVal>
          <c:yVal>
            <c:numRef>
              <c:f>plot!$N$33:$N$411</c:f>
              <c:numCache>
                <c:formatCode>General</c:formatCode>
                <c:ptCount val="379"/>
                <c:pt idx="0">
                  <c:v>-1.928779968365224E-2</c:v>
                </c:pt>
                <c:pt idx="1">
                  <c:v>-8.8813819742646738E-2</c:v>
                </c:pt>
                <c:pt idx="2">
                  <c:v>-0.11441483453767115</c:v>
                </c:pt>
                <c:pt idx="3">
                  <c:v>-0.12051314699549215</c:v>
                </c:pt>
                <c:pt idx="4">
                  <c:v>-0.12186755888480483</c:v>
                </c:pt>
                <c:pt idx="5">
                  <c:v>-0.12515467100573197</c:v>
                </c:pt>
                <c:pt idx="6">
                  <c:v>-0.11526428154746848</c:v>
                </c:pt>
                <c:pt idx="7">
                  <c:v>-0.11626729339466935</c:v>
                </c:pt>
                <c:pt idx="8">
                  <c:v>-0.10866100421013158</c:v>
                </c:pt>
                <c:pt idx="9">
                  <c:v>-0.10158181508876196</c:v>
                </c:pt>
                <c:pt idx="10">
                  <c:v>-8.8528825251492194E-2</c:v>
                </c:pt>
                <c:pt idx="11">
                  <c:v>-7.3367435161552252E-2</c:v>
                </c:pt>
                <c:pt idx="12">
                  <c:v>-7.1207846629747218E-2</c:v>
                </c:pt>
                <c:pt idx="13">
                  <c:v>-5.8330556813533052E-2</c:v>
                </c:pt>
                <c:pt idx="14">
                  <c:v>-4.8615867376325228E-2</c:v>
                </c:pt>
                <c:pt idx="15">
                  <c:v>-3.8022677833838003E-2</c:v>
                </c:pt>
                <c:pt idx="16">
                  <c:v>-1.4779086775327133E-2</c:v>
                </c:pt>
                <c:pt idx="17">
                  <c:v>-4.5372972749517237E-3</c:v>
                </c:pt>
                <c:pt idx="18">
                  <c:v>1.0975492857100672E-2</c:v>
                </c:pt>
                <c:pt idx="19">
                  <c:v>2.4028482694370024E-2</c:v>
                </c:pt>
                <c:pt idx="20">
                  <c:v>2.566097116300739E-2</c:v>
                </c:pt>
                <c:pt idx="21">
                  <c:v>2.7644859673756794E-2</c:v>
                </c:pt>
                <c:pt idx="22">
                  <c:v>3.2088548479288076E-2</c:v>
                </c:pt>
                <c:pt idx="23">
                  <c:v>3.1085536632087268E-2</c:v>
                </c:pt>
                <c:pt idx="24">
                  <c:v>3.8691825816625003E-2</c:v>
                </c:pt>
                <c:pt idx="25">
                  <c:v>4.313551462215634E-2</c:v>
                </c:pt>
                <c:pt idx="26">
                  <c:v>5.3201604101476035E-2</c:v>
                </c:pt>
                <c:pt idx="27">
                  <c:v>5.4834092570113457E-2</c:v>
                </c:pt>
                <c:pt idx="28">
                  <c:v>8.1767384070797727E-2</c:v>
                </c:pt>
                <c:pt idx="29">
                  <c:v>8.3399872539435149E-2</c:v>
                </c:pt>
                <c:pt idx="30">
                  <c:v>9.0654761681860929E-2</c:v>
                </c:pt>
                <c:pt idx="31">
                  <c:v>9.2638650192609695E-2</c:v>
                </c:pt>
                <c:pt idx="32">
                  <c:v>0.12449154228285911</c:v>
                </c:pt>
                <c:pt idx="33">
                  <c:v>0.12647543079360793</c:v>
                </c:pt>
                <c:pt idx="34">
                  <c:v>0.12547241894640709</c:v>
                </c:pt>
                <c:pt idx="35">
                  <c:v>0.12464510712026253</c:v>
                </c:pt>
                <c:pt idx="36">
                  <c:v>0.13172429624163204</c:v>
                </c:pt>
                <c:pt idx="37">
                  <c:v>0.1338838847734371</c:v>
                </c:pt>
                <c:pt idx="38">
                  <c:v>0.13850327360002468</c:v>
                </c:pt>
                <c:pt idx="39">
                  <c:v>0.1373245617317661</c:v>
                </c:pt>
                <c:pt idx="40">
                  <c:v>0.14493085091630692</c:v>
                </c:pt>
                <c:pt idx="41">
                  <c:v>0.14375213904804679</c:v>
                </c:pt>
                <c:pt idx="42">
                  <c:v>0.14573602755879769</c:v>
                </c:pt>
                <c:pt idx="43">
                  <c:v>0.14771991606954854</c:v>
                </c:pt>
                <c:pt idx="44">
                  <c:v>0.15761030552780891</c:v>
                </c:pt>
                <c:pt idx="45">
                  <c:v>0.16222969435439805</c:v>
                </c:pt>
                <c:pt idx="46">
                  <c:v>0.16684908318098712</c:v>
                </c:pt>
                <c:pt idx="47">
                  <c:v>0.16637317139695396</c:v>
                </c:pt>
                <c:pt idx="48">
                  <c:v>-9.3257508548178047E-2</c:v>
                </c:pt>
                <c:pt idx="49">
                  <c:v>-0.11358752271152595</c:v>
                </c:pt>
                <c:pt idx="50">
                  <c:v>-0.11160363420077668</c:v>
                </c:pt>
                <c:pt idx="51">
                  <c:v>-0.1017132447425132</c:v>
                </c:pt>
                <c:pt idx="52">
                  <c:v>-8.0578053936672944E-2</c:v>
                </c:pt>
                <c:pt idx="53">
                  <c:v>-5.6631662793938276E-2</c:v>
                </c:pt>
                <c:pt idx="54">
                  <c:v>-2.7589971040583361E-2</c:v>
                </c:pt>
                <c:pt idx="55">
                  <c:v>-9.2659805716376886E-3</c:v>
                </c:pt>
                <c:pt idx="56">
                  <c:v>2.5573811876561381E-2</c:v>
                </c:pt>
                <c:pt idx="57">
                  <c:v>5.4791203650972481E-2</c:v>
                </c:pt>
                <c:pt idx="58">
                  <c:v>7.5750694435756438E-2</c:v>
                </c:pt>
                <c:pt idx="59">
                  <c:v>8.0370083262344016E-2</c:v>
                </c:pt>
                <c:pt idx="60">
                  <c:v>8.2178271752037124E-2</c:v>
                </c:pt>
                <c:pt idx="61">
                  <c:v>8.1350959925892558E-2</c:v>
                </c:pt>
                <c:pt idx="62">
                  <c:v>9.4228249742106196E-2</c:v>
                </c:pt>
                <c:pt idx="63">
                  <c:v>0.10956533985310232</c:v>
                </c:pt>
                <c:pt idx="64">
                  <c:v>0.1252538300062104</c:v>
                </c:pt>
                <c:pt idx="65">
                  <c:v>0.13250871914863566</c:v>
                </c:pt>
                <c:pt idx="66">
                  <c:v>0.13993930831211709</c:v>
                </c:pt>
                <c:pt idx="67">
                  <c:v>0.15545209844416952</c:v>
                </c:pt>
                <c:pt idx="68">
                  <c:v>0.15444908659696871</c:v>
                </c:pt>
                <c:pt idx="69">
                  <c:v>0.15906847542355579</c:v>
                </c:pt>
                <c:pt idx="70">
                  <c:v>0.21305957016684771</c:v>
                </c:pt>
                <c:pt idx="71">
                  <c:v>0.23401906095162855</c:v>
                </c:pt>
                <c:pt idx="72">
                  <c:v>0.15641083992406529</c:v>
                </c:pt>
                <c:pt idx="73">
                  <c:v>0.16928812974027893</c:v>
                </c:pt>
                <c:pt idx="74">
                  <c:v>0.17654301888270466</c:v>
                </c:pt>
                <c:pt idx="75">
                  <c:v>0.19205580901475491</c:v>
                </c:pt>
                <c:pt idx="76">
                  <c:v>0.22408440112606159</c:v>
                </c:pt>
                <c:pt idx="77">
                  <c:v>0.2369616909422736</c:v>
                </c:pt>
                <c:pt idx="78">
                  <c:v>0.25247448107432913</c:v>
                </c:pt>
                <c:pt idx="79">
                  <c:v>0.26781157118532534</c:v>
                </c:pt>
                <c:pt idx="80">
                  <c:v>0.30827376430730896</c:v>
                </c:pt>
                <c:pt idx="81">
                  <c:v>0.32378655443936455</c:v>
                </c:pt>
                <c:pt idx="82">
                  <c:v>0.33367694389762481</c:v>
                </c:pt>
                <c:pt idx="83">
                  <c:v>0.34391873339800383</c:v>
                </c:pt>
                <c:pt idx="84">
                  <c:v>0.3622427238669465</c:v>
                </c:pt>
                <c:pt idx="85">
                  <c:v>0.37213311332521215</c:v>
                </c:pt>
                <c:pt idx="86">
                  <c:v>0.38518610316248347</c:v>
                </c:pt>
                <c:pt idx="87">
                  <c:v>0.3977119929365821</c:v>
                </c:pt>
                <c:pt idx="88">
                  <c:v>0.41902288376348162</c:v>
                </c:pt>
                <c:pt idx="89">
                  <c:v>0.4315487735375802</c:v>
                </c:pt>
                <c:pt idx="90">
                  <c:v>0.44460176337485163</c:v>
                </c:pt>
                <c:pt idx="91">
                  <c:v>0.45730335317000947</c:v>
                </c:pt>
                <c:pt idx="92">
                  <c:v>0.47843854397584978</c:v>
                </c:pt>
                <c:pt idx="93">
                  <c:v>0.49114013377100774</c:v>
                </c:pt>
                <c:pt idx="94">
                  <c:v>0.51209962455579383</c:v>
                </c:pt>
                <c:pt idx="95">
                  <c:v>0.524976914372006</c:v>
                </c:pt>
                <c:pt idx="96">
                  <c:v>-0.10977331052743128</c:v>
                </c:pt>
                <c:pt idx="97">
                  <c:v>-0.10532962172189936</c:v>
                </c:pt>
                <c:pt idx="98">
                  <c:v>-8.4370130937115428E-2</c:v>
                </c:pt>
                <c:pt idx="99">
                  <c:v>-4.9354638467860201E-2</c:v>
                </c:pt>
                <c:pt idx="100">
                  <c:v>-6.6083450721465264E-3</c:v>
                </c:pt>
                <c:pt idx="101">
                  <c:v>3.3678148028784438E-2</c:v>
                </c:pt>
                <c:pt idx="102">
                  <c:v>8.7669242772074385E-2</c:v>
                </c:pt>
                <c:pt idx="103">
                  <c:v>9.2112931577606166E-2</c:v>
                </c:pt>
                <c:pt idx="104">
                  <c:v>0.10499022139381986</c:v>
                </c:pt>
                <c:pt idx="105">
                  <c:v>0.12331421186276617</c:v>
                </c:pt>
                <c:pt idx="106">
                  <c:v>0.13619150167897981</c:v>
                </c:pt>
                <c:pt idx="107">
                  <c:v>0.14608189113724376</c:v>
                </c:pt>
                <c:pt idx="108">
                  <c:v>0.18636838423817487</c:v>
                </c:pt>
                <c:pt idx="109">
                  <c:v>0.19924567405438853</c:v>
                </c:pt>
                <c:pt idx="110">
                  <c:v>0.26395447008208744</c:v>
                </c:pt>
                <c:pt idx="111">
                  <c:v>0.28245416057208944</c:v>
                </c:pt>
                <c:pt idx="112">
                  <c:v>0.20730573983930664</c:v>
                </c:pt>
                <c:pt idx="113">
                  <c:v>0.21754752933968408</c:v>
                </c:pt>
                <c:pt idx="114">
                  <c:v>0.24131822046136259</c:v>
                </c:pt>
                <c:pt idx="115">
                  <c:v>0.25401981025652048</c:v>
                </c:pt>
                <c:pt idx="116">
                  <c:v>0.2668971000727326</c:v>
                </c:pt>
                <c:pt idx="117">
                  <c:v>0.28522109054168038</c:v>
                </c:pt>
                <c:pt idx="118">
                  <c:v>0.30899178166335883</c:v>
                </c:pt>
                <c:pt idx="119">
                  <c:v>0.32169337145851679</c:v>
                </c:pt>
                <c:pt idx="120">
                  <c:v>0.30997265832690379</c:v>
                </c:pt>
                <c:pt idx="121">
                  <c:v>0.3390143500802586</c:v>
                </c:pt>
                <c:pt idx="122">
                  <c:v>0.35768974059132003</c:v>
                </c:pt>
                <c:pt idx="123">
                  <c:v>0.38110903167088495</c:v>
                </c:pt>
                <c:pt idx="124">
                  <c:v>0.43791132675107081</c:v>
                </c:pt>
                <c:pt idx="125">
                  <c:v>0.46712871852547977</c:v>
                </c:pt>
                <c:pt idx="126">
                  <c:v>0.48808820931026586</c:v>
                </c:pt>
                <c:pt idx="127">
                  <c:v>0.52029250144262673</c:v>
                </c:pt>
                <c:pt idx="128">
                  <c:v>-0.11258451086432519</c:v>
                </c:pt>
                <c:pt idx="129">
                  <c:v>-8.8813819742646738E-2</c:v>
                </c:pt>
                <c:pt idx="130">
                  <c:v>-4.3256326010039203E-2</c:v>
                </c:pt>
                <c:pt idx="131">
                  <c:v>1.0910468754306901E-2</c:v>
                </c:pt>
                <c:pt idx="132">
                  <c:v>7.5794964803061582E-2</c:v>
                </c:pt>
                <c:pt idx="133">
                  <c:v>9.9389955903684241E-2</c:v>
                </c:pt>
                <c:pt idx="134">
                  <c:v>0.13141854801498881</c:v>
                </c:pt>
                <c:pt idx="135">
                  <c:v>0.13603793684157633</c:v>
                </c:pt>
                <c:pt idx="136">
                  <c:v>0.16525532861598696</c:v>
                </c:pt>
                <c:pt idx="137">
                  <c:v>0.19447272039039806</c:v>
                </c:pt>
                <c:pt idx="138">
                  <c:v>0.29801122107144651</c:v>
                </c:pt>
                <c:pt idx="139">
                  <c:v>0.32143051215101132</c:v>
                </c:pt>
                <c:pt idx="140">
                  <c:v>0.2192242881756245</c:v>
                </c:pt>
                <c:pt idx="141">
                  <c:v>0.2403594789814632</c:v>
                </c:pt>
                <c:pt idx="142">
                  <c:v>0.27502357140860806</c:v>
                </c:pt>
                <c:pt idx="143">
                  <c:v>0.30424096318301708</c:v>
                </c:pt>
                <c:pt idx="144">
                  <c:v>0.30886035200960615</c:v>
                </c:pt>
                <c:pt idx="145">
                  <c:v>0.33825344380507444</c:v>
                </c:pt>
                <c:pt idx="146">
                  <c:v>0.35903723456880121</c:v>
                </c:pt>
                <c:pt idx="147">
                  <c:v>0.39651252733283848</c:v>
                </c:pt>
                <c:pt idx="148">
                  <c:v>0.40956551717010992</c:v>
                </c:pt>
                <c:pt idx="149">
                  <c:v>0.44686510991308759</c:v>
                </c:pt>
                <c:pt idx="150">
                  <c:v>0.47344700137166373</c:v>
                </c:pt>
                <c:pt idx="151">
                  <c:v>0.50811109379880337</c:v>
                </c:pt>
                <c:pt idx="152">
                  <c:v>-0.10713781021159308</c:v>
                </c:pt>
                <c:pt idx="153">
                  <c:v>-6.685131711066139E-2</c:v>
                </c:pt>
                <c:pt idx="154">
                  <c:v>-1.966821061906765E-3</c:v>
                </c:pt>
                <c:pt idx="155">
                  <c:v>7.6446576608150407E-2</c:v>
                </c:pt>
                <c:pt idx="156">
                  <c:v>0.11690876973013775</c:v>
                </c:pt>
                <c:pt idx="157">
                  <c:v>0.13505706017802782</c:v>
                </c:pt>
                <c:pt idx="158">
                  <c:v>0.16989685262622684</c:v>
                </c:pt>
                <c:pt idx="159">
                  <c:v>0.19366754374790518</c:v>
                </c:pt>
                <c:pt idx="160">
                  <c:v>0.20619343352200745</c:v>
                </c:pt>
                <c:pt idx="161">
                  <c:v>0.23576222533852997</c:v>
                </c:pt>
                <c:pt idx="162">
                  <c:v>0.29783552105039218</c:v>
                </c:pt>
                <c:pt idx="163">
                  <c:v>0.32705291282480131</c:v>
                </c:pt>
                <c:pt idx="164">
                  <c:v>0.29038279670325473</c:v>
                </c:pt>
                <c:pt idx="165">
                  <c:v>0.32820948950940548</c:v>
                </c:pt>
                <c:pt idx="166">
                  <c:v>0.37640248355784972</c:v>
                </c:pt>
                <c:pt idx="167">
                  <c:v>0.41932447697462272</c:v>
                </c:pt>
                <c:pt idx="168">
                  <c:v>0.42956626647499652</c:v>
                </c:pt>
                <c:pt idx="169">
                  <c:v>0.46967705955487193</c:v>
                </c:pt>
                <c:pt idx="170">
                  <c:v>0.51259905297163977</c:v>
                </c:pt>
                <c:pt idx="171">
                  <c:v>-0.10713781021159308</c:v>
                </c:pt>
                <c:pt idx="172">
                  <c:v>-3.9617813847000138E-2</c:v>
                </c:pt>
                <c:pt idx="173">
                  <c:v>5.0216085191689963E-2</c:v>
                </c:pt>
                <c:pt idx="174">
                  <c:v>0.10666698022976231</c:v>
                </c:pt>
                <c:pt idx="175">
                  <c:v>0.15240017398342559</c:v>
                </c:pt>
                <c:pt idx="176">
                  <c:v>0.16246626346274529</c:v>
                </c:pt>
                <c:pt idx="177">
                  <c:v>0.29604946774435142</c:v>
                </c:pt>
                <c:pt idx="178">
                  <c:v>0.31700895852913225</c:v>
                </c:pt>
                <c:pt idx="179">
                  <c:v>0.25292963912287358</c:v>
                </c:pt>
                <c:pt idx="180">
                  <c:v>0.28759373155001317</c:v>
                </c:pt>
                <c:pt idx="181">
                  <c:v>0.33069142498784032</c:v>
                </c:pt>
                <c:pt idx="182">
                  <c:v>0.37660031876255984</c:v>
                </c:pt>
                <c:pt idx="183">
                  <c:v>0.38086830754703538</c:v>
                </c:pt>
                <c:pt idx="184">
                  <c:v>0.4267772013217549</c:v>
                </c:pt>
                <c:pt idx="185">
                  <c:v>0.48867479701255789</c:v>
                </c:pt>
                <c:pt idx="186">
                  <c:v>0.55109949276653369</c:v>
                </c:pt>
                <c:pt idx="187">
                  <c:v>-9.6244408906128232E-2</c:v>
                </c:pt>
                <c:pt idx="188">
                  <c:v>-1.7479611193959133E-2</c:v>
                </c:pt>
                <c:pt idx="189">
                  <c:v>0.10485879174006868</c:v>
                </c:pt>
                <c:pt idx="190">
                  <c:v>0.12581828252485319</c:v>
                </c:pt>
                <c:pt idx="191">
                  <c:v>0.19351397891050182</c:v>
                </c:pt>
                <c:pt idx="192">
                  <c:v>0.25031627399068607</c:v>
                </c:pt>
                <c:pt idx="193">
                  <c:v>0.29868496806018979</c:v>
                </c:pt>
                <c:pt idx="194">
                  <c:v>0.31683325850807814</c:v>
                </c:pt>
                <c:pt idx="195">
                  <c:v>0.30792374571336267</c:v>
                </c:pt>
                <c:pt idx="196">
                  <c:v>0.35629243978286629</c:v>
                </c:pt>
                <c:pt idx="197">
                  <c:v>0.40466113385236457</c:v>
                </c:pt>
                <c:pt idx="198">
                  <c:v>0.45865222859565807</c:v>
                </c:pt>
                <c:pt idx="199">
                  <c:v>0.47680051904354664</c:v>
                </c:pt>
                <c:pt idx="200">
                  <c:v>-8.5175307579607729E-2</c:v>
                </c:pt>
                <c:pt idx="201">
                  <c:v>1.8011793059329262E-2</c:v>
                </c:pt>
                <c:pt idx="202">
                  <c:v>0.12155029374037757</c:v>
                </c:pt>
                <c:pt idx="203">
                  <c:v>0.15059198549373248</c:v>
                </c:pt>
                <c:pt idx="204">
                  <c:v>0.27029488811192215</c:v>
                </c:pt>
                <c:pt idx="205">
                  <c:v>0.33236818382378441</c:v>
                </c:pt>
                <c:pt idx="206">
                  <c:v>0.3041316687129203</c:v>
                </c:pt>
                <c:pt idx="207">
                  <c:v>0.33616026082422679</c:v>
                </c:pt>
                <c:pt idx="208">
                  <c:v>0.36801315291447406</c:v>
                </c:pt>
                <c:pt idx="209">
                  <c:v>0.42762664833155228</c:v>
                </c:pt>
                <c:pt idx="210">
                  <c:v>0.48688874370651691</c:v>
                </c:pt>
                <c:pt idx="211">
                  <c:v>0.55721994040800749</c:v>
                </c:pt>
                <c:pt idx="212">
                  <c:v>-7.6917406589981141E-2</c:v>
                </c:pt>
                <c:pt idx="213">
                  <c:v>4.8232196680940587E-2</c:v>
                </c:pt>
                <c:pt idx="214">
                  <c:v>0.13507919536168059</c:v>
                </c:pt>
                <c:pt idx="215">
                  <c:v>0.16429658713609122</c:v>
                </c:pt>
                <c:pt idx="216">
                  <c:v>0.27574158876465266</c:v>
                </c:pt>
                <c:pt idx="217">
                  <c:v>0.33254388384483852</c:v>
                </c:pt>
                <c:pt idx="218">
                  <c:v>0.33681187262931411</c:v>
                </c:pt>
                <c:pt idx="219">
                  <c:v>0.39378986773055413</c:v>
                </c:pt>
                <c:pt idx="220">
                  <c:v>0.43390066081042955</c:v>
                </c:pt>
                <c:pt idx="221">
                  <c:v>0.50159635719607665</c:v>
                </c:pt>
                <c:pt idx="222">
                  <c:v>-6.8835205621410711E-2</c:v>
                </c:pt>
                <c:pt idx="223">
                  <c:v>8.1790900702614161E-2</c:v>
                </c:pt>
                <c:pt idx="224">
                  <c:v>0.14579689664608922</c:v>
                </c:pt>
                <c:pt idx="225">
                  <c:v>0.18344788943118212</c:v>
                </c:pt>
                <c:pt idx="226">
                  <c:v>0.27855278910155029</c:v>
                </c:pt>
                <c:pt idx="227">
                  <c:v>0.33254388384483852</c:v>
                </c:pt>
                <c:pt idx="228">
                  <c:v>0.38635927856707275</c:v>
                </c:pt>
                <c:pt idx="229">
                  <c:v>0.44860827429998906</c:v>
                </c:pt>
                <c:pt idx="230">
                  <c:v>0.50242366902222324</c:v>
                </c:pt>
                <c:pt idx="231">
                  <c:v>-0.10467800991681053</c:v>
                </c:pt>
                <c:pt idx="232">
                  <c:v>9.5144102302860939E-2</c:v>
                </c:pt>
                <c:pt idx="233">
                  <c:v>0.16231269862534184</c:v>
                </c:pt>
                <c:pt idx="234">
                  <c:v>0.19996369141043532</c:v>
                </c:pt>
                <c:pt idx="235">
                  <c:v>0.29225739074390905</c:v>
                </c:pt>
                <c:pt idx="236">
                  <c:v>0.35169518613992784</c:v>
                </c:pt>
                <c:pt idx="237">
                  <c:v>0.43274408412582538</c:v>
                </c:pt>
                <c:pt idx="238">
                  <c:v>0.50887338152215467</c:v>
                </c:pt>
                <c:pt idx="239">
                  <c:v>-9.3257508548178047E-2</c:v>
                </c:pt>
                <c:pt idx="240">
                  <c:v>0.10849730390310774</c:v>
                </c:pt>
                <c:pt idx="241">
                  <c:v>0.17057059961496848</c:v>
                </c:pt>
                <c:pt idx="242">
                  <c:v>0.2221018940634763</c:v>
                </c:pt>
                <c:pt idx="243">
                  <c:v>0.32493759466030292</c:v>
                </c:pt>
                <c:pt idx="244">
                  <c:v>0.39280899106700401</c:v>
                </c:pt>
                <c:pt idx="245">
                  <c:v>0.48492699037942211</c:v>
                </c:pt>
                <c:pt idx="246">
                  <c:v>0.58020759007084588</c:v>
                </c:pt>
                <c:pt idx="247">
                  <c:v>-8.2364107242713813E-2</c:v>
                </c:pt>
                <c:pt idx="248">
                  <c:v>0.11394400455584039</c:v>
                </c:pt>
                <c:pt idx="249">
                  <c:v>0.18708640159422113</c:v>
                </c:pt>
                <c:pt idx="250">
                  <c:v>0.24107749633751149</c:v>
                </c:pt>
                <c:pt idx="251">
                  <c:v>0.357969198618805</c:v>
                </c:pt>
                <c:pt idx="252">
                  <c:v>0.43655829630991849</c:v>
                </c:pt>
                <c:pt idx="253">
                  <c:v>0.53992109696991109</c:v>
                </c:pt>
                <c:pt idx="254">
                  <c:v>-6.6024005284516851E-2</c:v>
                </c:pt>
                <c:pt idx="255">
                  <c:v>0.11675520489273433</c:v>
                </c:pt>
                <c:pt idx="256">
                  <c:v>0.19534430258384772</c:v>
                </c:pt>
                <c:pt idx="257">
                  <c:v>0.26567549928533452</c:v>
                </c:pt>
                <c:pt idx="258">
                  <c:v>0.39082510255625841</c:v>
                </c:pt>
                <c:pt idx="259">
                  <c:v>0.48065900159494634</c:v>
                </c:pt>
                <c:pt idx="260">
                  <c:v>-4.9683903326319834E-2</c:v>
                </c:pt>
                <c:pt idx="261">
                  <c:v>0.12501310588236095</c:v>
                </c:pt>
                <c:pt idx="262">
                  <c:v>0.21168440454204465</c:v>
                </c:pt>
                <c:pt idx="263">
                  <c:v>0.28763800191731992</c:v>
                </c:pt>
                <c:pt idx="264">
                  <c:v>0.42385670651476048</c:v>
                </c:pt>
                <c:pt idx="265">
                  <c:v>0.52704380715369914</c:v>
                </c:pt>
                <c:pt idx="266">
                  <c:v>-3.5803601662904916E-2</c:v>
                </c:pt>
                <c:pt idx="267">
                  <c:v>0.13309530685093127</c:v>
                </c:pt>
                <c:pt idx="268">
                  <c:v>0.22820020652129736</c:v>
                </c:pt>
                <c:pt idx="269">
                  <c:v>0.31504720520203738</c:v>
                </c:pt>
                <c:pt idx="270">
                  <c:v>0.4595238107891062</c:v>
                </c:pt>
                <c:pt idx="271">
                  <c:v>0.57905101338624165</c:v>
                </c:pt>
                <c:pt idx="272">
                  <c:v>-2.1923299999490498E-2</c:v>
                </c:pt>
                <c:pt idx="273">
                  <c:v>0.14416440817745182</c:v>
                </c:pt>
                <c:pt idx="274">
                  <c:v>0.24454030847949429</c:v>
                </c:pt>
                <c:pt idx="275">
                  <c:v>0.33964520814986249</c:v>
                </c:pt>
                <c:pt idx="276">
                  <c:v>0.49800211540034417</c:v>
                </c:pt>
                <c:pt idx="277">
                  <c:v>-5.7588980623491937E-3</c:v>
                </c:pt>
                <c:pt idx="278">
                  <c:v>0.14697560851434571</c:v>
                </c:pt>
                <c:pt idx="279">
                  <c:v>0.26088041043769117</c:v>
                </c:pt>
                <c:pt idx="280">
                  <c:v>0.3644189111187417</c:v>
                </c:pt>
                <c:pt idx="281">
                  <c:v>0.53911592032742039</c:v>
                </c:pt>
                <c:pt idx="282">
                  <c:v>1.0581203895847713E-2</c:v>
                </c:pt>
                <c:pt idx="283">
                  <c:v>0.15786900981981056</c:v>
                </c:pt>
                <c:pt idx="284">
                  <c:v>0.27476071210110775</c:v>
                </c:pt>
                <c:pt idx="285">
                  <c:v>0.39446361471929742</c:v>
                </c:pt>
                <c:pt idx="286">
                  <c:v>0.58286522557033482</c:v>
                </c:pt>
                <c:pt idx="287">
                  <c:v>2.7272705896156102E-2</c:v>
                </c:pt>
                <c:pt idx="288">
                  <c:v>0.16876241112527532</c:v>
                </c:pt>
                <c:pt idx="289">
                  <c:v>0.29391201439619707</c:v>
                </c:pt>
                <c:pt idx="290">
                  <c:v>0.42204851802506904</c:v>
                </c:pt>
                <c:pt idx="291">
                  <c:v>3.8166107201620947E-2</c:v>
                </c:pt>
                <c:pt idx="292">
                  <c:v>0.17420911177800755</c:v>
                </c:pt>
                <c:pt idx="293">
                  <c:v>0.31077921641756168</c:v>
                </c:pt>
                <c:pt idx="294">
                  <c:v>0.45191752160457055</c:v>
                </c:pt>
                <c:pt idx="295">
                  <c:v>5.7317409496711824E-2</c:v>
                </c:pt>
                <c:pt idx="296">
                  <c:v>0.18264271278868977</c:v>
                </c:pt>
                <c:pt idx="297">
                  <c:v>0.3323903190074351</c:v>
                </c:pt>
                <c:pt idx="298">
                  <c:v>0.48213792522618043</c:v>
                </c:pt>
                <c:pt idx="299">
                  <c:v>8.2091112465591032E-2</c:v>
                </c:pt>
                <c:pt idx="300">
                  <c:v>0.19617161440999284</c:v>
                </c:pt>
                <c:pt idx="301">
                  <c:v>0.35171732132358374</c:v>
                </c:pt>
                <c:pt idx="302">
                  <c:v>0.5123583288477902</c:v>
                </c:pt>
                <c:pt idx="303">
                  <c:v>8.7537813118323732E-2</c:v>
                </c:pt>
                <c:pt idx="304">
                  <c:v>0.2070650157154571</c:v>
                </c:pt>
                <c:pt idx="305">
                  <c:v>0.37350412393451127</c:v>
                </c:pt>
                <c:pt idx="306">
                  <c:v>0.55083663345902811</c:v>
                </c:pt>
                <c:pt idx="307">
                  <c:v>9.2808813750000135E-2</c:v>
                </c:pt>
                <c:pt idx="308">
                  <c:v>0.21567431674719567</c:v>
                </c:pt>
                <c:pt idx="309">
                  <c:v>0.39265542622960053</c:v>
                </c:pt>
                <c:pt idx="310">
                  <c:v>9.5620014086894106E-2</c:v>
                </c:pt>
                <c:pt idx="311">
                  <c:v>0.22920321836849816</c:v>
                </c:pt>
                <c:pt idx="312">
                  <c:v>0.41742912919847985</c:v>
                </c:pt>
                <c:pt idx="313">
                  <c:v>9.8431214423787994E-2</c:v>
                </c:pt>
                <c:pt idx="314">
                  <c:v>0.23728541933706906</c:v>
                </c:pt>
                <c:pt idx="315">
                  <c:v>0.43640473147251502</c:v>
                </c:pt>
                <c:pt idx="316">
                  <c:v>0.10405361509757644</c:v>
                </c:pt>
                <c:pt idx="317">
                  <c:v>0.24853022068464525</c:v>
                </c:pt>
                <c:pt idx="318">
                  <c:v>0.45836723410450197</c:v>
                </c:pt>
                <c:pt idx="319">
                  <c:v>0.10932461572925287</c:v>
                </c:pt>
                <c:pt idx="320">
                  <c:v>0.25661242165321568</c:v>
                </c:pt>
                <c:pt idx="321">
                  <c:v>0.48314093707338113</c:v>
                </c:pt>
                <c:pt idx="322">
                  <c:v>0.11213581606614675</c:v>
                </c:pt>
                <c:pt idx="323">
                  <c:v>0.27295252361141259</c:v>
                </c:pt>
                <c:pt idx="324">
                  <c:v>0.5079146400422605</c:v>
                </c:pt>
                <c:pt idx="325">
                  <c:v>0.11213581606614675</c:v>
                </c:pt>
                <c:pt idx="326">
                  <c:v>0.28121042460103923</c:v>
                </c:pt>
                <c:pt idx="327">
                  <c:v>0.53251264299008561</c:v>
                </c:pt>
                <c:pt idx="328">
                  <c:v>0.45193965678822123</c:v>
                </c:pt>
                <c:pt idx="329">
                  <c:v>0.29491502624339794</c:v>
                </c:pt>
                <c:pt idx="330">
                  <c:v>0.56009754629585717</c:v>
                </c:pt>
                <c:pt idx="331">
                  <c:v>0.46283305809368763</c:v>
                </c:pt>
                <c:pt idx="332">
                  <c:v>0.30598412756991844</c:v>
                </c:pt>
                <c:pt idx="333">
                  <c:v>0.46845545876747241</c:v>
                </c:pt>
                <c:pt idx="334">
                  <c:v>0.32232422952811546</c:v>
                </c:pt>
                <c:pt idx="335">
                  <c:v>0.47407785944126224</c:v>
                </c:pt>
                <c:pt idx="336">
                  <c:v>0.33585313114942</c:v>
                </c:pt>
                <c:pt idx="337">
                  <c:v>0.48216006040983117</c:v>
                </c:pt>
                <c:pt idx="338">
                  <c:v>0.34709793249699467</c:v>
                </c:pt>
                <c:pt idx="339">
                  <c:v>0.49041796139945926</c:v>
                </c:pt>
                <c:pt idx="340">
                  <c:v>0.36343803445519163</c:v>
                </c:pt>
                <c:pt idx="341">
                  <c:v>0.49305346171529751</c:v>
                </c:pt>
                <c:pt idx="342">
                  <c:v>0.37977813641338865</c:v>
                </c:pt>
                <c:pt idx="343">
                  <c:v>0.5071094633997697</c:v>
                </c:pt>
                <c:pt idx="344">
                  <c:v>0.39348273805574729</c:v>
                </c:pt>
                <c:pt idx="345">
                  <c:v>0.51519166436833852</c:v>
                </c:pt>
                <c:pt idx="346">
                  <c:v>0.40736303971916016</c:v>
                </c:pt>
                <c:pt idx="347">
                  <c:v>0.52309816531585307</c:v>
                </c:pt>
                <c:pt idx="348">
                  <c:v>0.4208919413404647</c:v>
                </c:pt>
                <c:pt idx="349">
                  <c:v>0.52907196603175144</c:v>
                </c:pt>
                <c:pt idx="350">
                  <c:v>0.43740774331971588</c:v>
                </c:pt>
                <c:pt idx="351">
                  <c:v>0.53434296666342784</c:v>
                </c:pt>
                <c:pt idx="352">
                  <c:v>0.45111234496207464</c:v>
                </c:pt>
                <c:pt idx="353">
                  <c:v>0.5480475683057866</c:v>
                </c:pt>
                <c:pt idx="354">
                  <c:v>0.4648169466044334</c:v>
                </c:pt>
                <c:pt idx="355">
                  <c:v>0.55630546929541469</c:v>
                </c:pt>
                <c:pt idx="356">
                  <c:v>0.47834584822573789</c:v>
                </c:pt>
                <c:pt idx="357">
                  <c:v>0.57001007093777345</c:v>
                </c:pt>
                <c:pt idx="358">
                  <c:v>0.49784855056294075</c:v>
                </c:pt>
                <c:pt idx="359">
                  <c:v>0.57791657188528811</c:v>
                </c:pt>
                <c:pt idx="360">
                  <c:v>0.51699985285803018</c:v>
                </c:pt>
                <c:pt idx="361">
                  <c:v>0.58617447287491631</c:v>
                </c:pt>
                <c:pt idx="362">
                  <c:v>0.53632685517417877</c:v>
                </c:pt>
                <c:pt idx="363">
                  <c:v>0.59741927422249086</c:v>
                </c:pt>
                <c:pt idx="364">
                  <c:v>0.60532577517000563</c:v>
                </c:pt>
                <c:pt idx="365">
                  <c:v>0.61375937618068788</c:v>
                </c:pt>
                <c:pt idx="366">
                  <c:v>0.62219297719137012</c:v>
                </c:pt>
                <c:pt idx="367">
                  <c:v>0.63554617879161546</c:v>
                </c:pt>
                <c:pt idx="368">
                  <c:v>0.64661528011813596</c:v>
                </c:pt>
                <c:pt idx="369">
                  <c:v>0.65206198077087185</c:v>
                </c:pt>
                <c:pt idx="370">
                  <c:v>0.66875348277117697</c:v>
                </c:pt>
                <c:pt idx="371">
                  <c:v>0.67665998371869174</c:v>
                </c:pt>
                <c:pt idx="372">
                  <c:v>0.68790478506627151</c:v>
                </c:pt>
                <c:pt idx="373">
                  <c:v>0.69879818637173252</c:v>
                </c:pt>
                <c:pt idx="374">
                  <c:v>0.71232708799303723</c:v>
                </c:pt>
                <c:pt idx="375">
                  <c:v>0.7179494886668274</c:v>
                </c:pt>
                <c:pt idx="376">
                  <c:v>0.73147839028812656</c:v>
                </c:pt>
                <c:pt idx="377">
                  <c:v>0.74272319163570655</c:v>
                </c:pt>
                <c:pt idx="378">
                  <c:v>0.75344089292011351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0.64085638205578843</c:v>
                </c:pt>
                <c:pt idx="2">
                  <c:v>0.64085638205578865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-0.28359458252715963</c:v>
                </c:pt>
                <c:pt idx="2">
                  <c:v>0.58243082125727907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-0.64085638205578843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0.28359458252715963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0.29883623873011972</c:v>
                </c:pt>
                <c:pt idx="3">
                  <c:v>0.64085638205578843</c:v>
                </c:pt>
                <c:pt idx="4">
                  <c:v>-0.29883623873011983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-0.75344089292011351</c:v>
                </c:pt>
                <c:pt idx="3">
                  <c:v>-0.28359458252715963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-0.29883623873011983</c:v>
                </c:pt>
                <c:pt idx="2">
                  <c:v>-0.29883623873011983</c:v>
                </c:pt>
                <c:pt idx="3">
                  <c:v>-0.29883623873011983</c:v>
                </c:pt>
                <c:pt idx="4">
                  <c:v>-0.29883623873011983</c:v>
                </c:pt>
                <c:pt idx="5">
                  <c:v>-0.29883623873011983</c:v>
                </c:pt>
                <c:pt idx="6">
                  <c:v>-0.29883623873011983</c:v>
                </c:pt>
                <c:pt idx="7">
                  <c:v>-0.29883623873011983</c:v>
                </c:pt>
                <c:pt idx="8">
                  <c:v>-0.29883623873011983</c:v>
                </c:pt>
                <c:pt idx="9">
                  <c:v>-0.29883623873011983</c:v>
                </c:pt>
                <c:pt idx="10">
                  <c:v>-0.29883623873011983</c:v>
                </c:pt>
                <c:pt idx="11">
                  <c:v>-0.29883623873011983</c:v>
                </c:pt>
                <c:pt idx="12">
                  <c:v>-0.29883623873011983</c:v>
                </c:pt>
                <c:pt idx="13">
                  <c:v>-0.29883623873011983</c:v>
                </c:pt>
                <c:pt idx="14">
                  <c:v>-0.29883623873011983</c:v>
                </c:pt>
                <c:pt idx="15">
                  <c:v>-0.29883623873011983</c:v>
                </c:pt>
                <c:pt idx="16">
                  <c:v>-0.29883623873011983</c:v>
                </c:pt>
                <c:pt idx="17">
                  <c:v>-0.29883623873011983</c:v>
                </c:pt>
                <c:pt idx="18">
                  <c:v>-0.29883623873011983</c:v>
                </c:pt>
                <c:pt idx="19">
                  <c:v>-0.29883623873011983</c:v>
                </c:pt>
                <c:pt idx="20">
                  <c:v>-0.29883623873011983</c:v>
                </c:pt>
                <c:pt idx="21">
                  <c:v>-0.29883623873011983</c:v>
                </c:pt>
                <c:pt idx="22">
                  <c:v>-0.29883623873011983</c:v>
                </c:pt>
                <c:pt idx="23">
                  <c:v>-0.29883623873011983</c:v>
                </c:pt>
                <c:pt idx="24">
                  <c:v>-0.29883623873011977</c:v>
                </c:pt>
                <c:pt idx="25">
                  <c:v>-0.29883623873011977</c:v>
                </c:pt>
                <c:pt idx="26">
                  <c:v>-0.29883623873011977</c:v>
                </c:pt>
                <c:pt idx="27">
                  <c:v>-0.29883623873011977</c:v>
                </c:pt>
                <c:pt idx="28">
                  <c:v>-0.29883623873011977</c:v>
                </c:pt>
                <c:pt idx="29">
                  <c:v>-0.29883623873011977</c:v>
                </c:pt>
                <c:pt idx="30">
                  <c:v>-0.29883623873011977</c:v>
                </c:pt>
                <c:pt idx="31">
                  <c:v>-0.29883623873011977</c:v>
                </c:pt>
                <c:pt idx="32">
                  <c:v>-0.29883623873011977</c:v>
                </c:pt>
                <c:pt idx="33">
                  <c:v>-0.29883623873011977</c:v>
                </c:pt>
                <c:pt idx="34">
                  <c:v>-0.29883623873011977</c:v>
                </c:pt>
                <c:pt idx="35">
                  <c:v>-0.29883623873011977</c:v>
                </c:pt>
                <c:pt idx="36">
                  <c:v>-0.29883623873011977</c:v>
                </c:pt>
                <c:pt idx="37">
                  <c:v>-0.29883623873011977</c:v>
                </c:pt>
                <c:pt idx="38">
                  <c:v>-0.29883623873011977</c:v>
                </c:pt>
                <c:pt idx="39">
                  <c:v>-0.29883623873011977</c:v>
                </c:pt>
                <c:pt idx="40">
                  <c:v>-0.29883623873011977</c:v>
                </c:pt>
                <c:pt idx="41">
                  <c:v>-0.29883623873011977</c:v>
                </c:pt>
                <c:pt idx="42">
                  <c:v>-0.29883623873011977</c:v>
                </c:pt>
                <c:pt idx="43">
                  <c:v>-0.29883623873011977</c:v>
                </c:pt>
                <c:pt idx="44">
                  <c:v>-0.29883623873011977</c:v>
                </c:pt>
                <c:pt idx="45">
                  <c:v>-0.29883623873011977</c:v>
                </c:pt>
                <c:pt idx="46">
                  <c:v>-0.29883623873011977</c:v>
                </c:pt>
                <c:pt idx="47">
                  <c:v>-0.29883623873011977</c:v>
                </c:pt>
                <c:pt idx="48">
                  <c:v>-0.3273379173405922</c:v>
                </c:pt>
                <c:pt idx="49">
                  <c:v>-0.3273379173405922</c:v>
                </c:pt>
                <c:pt idx="50">
                  <c:v>-0.3273379173405922</c:v>
                </c:pt>
                <c:pt idx="51">
                  <c:v>-0.3273379173405922</c:v>
                </c:pt>
                <c:pt idx="52">
                  <c:v>-0.3273379173405922</c:v>
                </c:pt>
                <c:pt idx="53">
                  <c:v>-0.3273379173405922</c:v>
                </c:pt>
                <c:pt idx="54">
                  <c:v>-0.3273379173405922</c:v>
                </c:pt>
                <c:pt idx="55">
                  <c:v>-0.3273379173405922</c:v>
                </c:pt>
                <c:pt idx="56">
                  <c:v>-0.3273379173405922</c:v>
                </c:pt>
                <c:pt idx="57">
                  <c:v>-0.3273379173405922</c:v>
                </c:pt>
                <c:pt idx="58">
                  <c:v>-0.3273379173405922</c:v>
                </c:pt>
                <c:pt idx="59">
                  <c:v>-0.3273379173405922</c:v>
                </c:pt>
                <c:pt idx="60">
                  <c:v>-0.32733791734059214</c:v>
                </c:pt>
                <c:pt idx="61">
                  <c:v>-0.32733791734059214</c:v>
                </c:pt>
                <c:pt idx="62">
                  <c:v>-0.32733791734059214</c:v>
                </c:pt>
                <c:pt idx="63">
                  <c:v>-0.32733791734059214</c:v>
                </c:pt>
                <c:pt idx="64">
                  <c:v>-0.32733791734059214</c:v>
                </c:pt>
                <c:pt idx="65">
                  <c:v>-0.32733791734059214</c:v>
                </c:pt>
                <c:pt idx="66">
                  <c:v>-0.32733791734059214</c:v>
                </c:pt>
                <c:pt idx="67">
                  <c:v>-0.32733791734059214</c:v>
                </c:pt>
                <c:pt idx="68">
                  <c:v>-0.32733791734059214</c:v>
                </c:pt>
                <c:pt idx="69">
                  <c:v>-0.32733791734059214</c:v>
                </c:pt>
                <c:pt idx="70">
                  <c:v>-0.32733791734059214</c:v>
                </c:pt>
                <c:pt idx="71">
                  <c:v>-0.32733791734059214</c:v>
                </c:pt>
                <c:pt idx="72">
                  <c:v>-0.32733791734059214</c:v>
                </c:pt>
                <c:pt idx="73">
                  <c:v>-0.32733791734059214</c:v>
                </c:pt>
                <c:pt idx="74">
                  <c:v>-0.32733791734059214</c:v>
                </c:pt>
                <c:pt idx="75">
                  <c:v>-0.32733791734059214</c:v>
                </c:pt>
                <c:pt idx="76">
                  <c:v>-0.32733791734059214</c:v>
                </c:pt>
                <c:pt idx="77">
                  <c:v>-0.32733791734059214</c:v>
                </c:pt>
                <c:pt idx="78">
                  <c:v>-0.32733791734059214</c:v>
                </c:pt>
                <c:pt idx="79">
                  <c:v>-0.32733791734059214</c:v>
                </c:pt>
                <c:pt idx="80">
                  <c:v>-0.32733791734059214</c:v>
                </c:pt>
                <c:pt idx="81">
                  <c:v>-0.32733791734059214</c:v>
                </c:pt>
                <c:pt idx="82">
                  <c:v>-0.32733791734059214</c:v>
                </c:pt>
                <c:pt idx="83">
                  <c:v>-0.32733791734059214</c:v>
                </c:pt>
                <c:pt idx="84">
                  <c:v>-0.32733791734059214</c:v>
                </c:pt>
                <c:pt idx="85">
                  <c:v>-0.32733791734059214</c:v>
                </c:pt>
                <c:pt idx="86">
                  <c:v>-0.32733791734059209</c:v>
                </c:pt>
                <c:pt idx="87">
                  <c:v>-0.32733791734059209</c:v>
                </c:pt>
                <c:pt idx="88">
                  <c:v>-0.32733791734059209</c:v>
                </c:pt>
                <c:pt idx="89">
                  <c:v>-0.32733791734059209</c:v>
                </c:pt>
                <c:pt idx="90">
                  <c:v>-0.32733791734059209</c:v>
                </c:pt>
                <c:pt idx="91">
                  <c:v>-0.32733791734059209</c:v>
                </c:pt>
                <c:pt idx="92">
                  <c:v>-0.32733791734059209</c:v>
                </c:pt>
                <c:pt idx="93">
                  <c:v>-0.32733791734059209</c:v>
                </c:pt>
                <c:pt idx="94">
                  <c:v>-0.32733791734059209</c:v>
                </c:pt>
                <c:pt idx="95">
                  <c:v>-0.32733791734059209</c:v>
                </c:pt>
                <c:pt idx="96">
                  <c:v>-0.35583959595106457</c:v>
                </c:pt>
                <c:pt idx="97">
                  <c:v>-0.35583959595106457</c:v>
                </c:pt>
                <c:pt idx="98">
                  <c:v>-0.35583959595106457</c:v>
                </c:pt>
                <c:pt idx="99">
                  <c:v>-0.35583959595106457</c:v>
                </c:pt>
                <c:pt idx="100">
                  <c:v>-0.35583959595106457</c:v>
                </c:pt>
                <c:pt idx="101">
                  <c:v>-0.35583959595106457</c:v>
                </c:pt>
                <c:pt idx="102">
                  <c:v>-0.35583959595106457</c:v>
                </c:pt>
                <c:pt idx="103">
                  <c:v>-0.35583959595106457</c:v>
                </c:pt>
                <c:pt idx="104">
                  <c:v>-0.35583959595106451</c:v>
                </c:pt>
                <c:pt idx="105">
                  <c:v>-0.35583959595106451</c:v>
                </c:pt>
                <c:pt idx="106">
                  <c:v>-0.35583959595106451</c:v>
                </c:pt>
                <c:pt idx="107">
                  <c:v>-0.35583959595106451</c:v>
                </c:pt>
                <c:pt idx="108">
                  <c:v>-0.35583959595106451</c:v>
                </c:pt>
                <c:pt idx="109">
                  <c:v>-0.35583959595106451</c:v>
                </c:pt>
                <c:pt idx="110">
                  <c:v>-0.35583959595106451</c:v>
                </c:pt>
                <c:pt idx="111">
                  <c:v>-0.35583959595106451</c:v>
                </c:pt>
                <c:pt idx="112">
                  <c:v>-0.35583959595106451</c:v>
                </c:pt>
                <c:pt idx="113">
                  <c:v>-0.35583959595106451</c:v>
                </c:pt>
                <c:pt idx="114">
                  <c:v>-0.35583959595106451</c:v>
                </c:pt>
                <c:pt idx="115">
                  <c:v>-0.35583959595106451</c:v>
                </c:pt>
                <c:pt idx="116">
                  <c:v>-0.35583959595106451</c:v>
                </c:pt>
                <c:pt idx="117">
                  <c:v>-0.35583959595106451</c:v>
                </c:pt>
                <c:pt idx="118">
                  <c:v>-0.35583959595106451</c:v>
                </c:pt>
                <c:pt idx="119">
                  <c:v>-0.35583959595106451</c:v>
                </c:pt>
                <c:pt idx="120">
                  <c:v>-0.35583959595106451</c:v>
                </c:pt>
                <c:pt idx="121">
                  <c:v>-0.35583959595106451</c:v>
                </c:pt>
                <c:pt idx="122">
                  <c:v>-0.35583959595106451</c:v>
                </c:pt>
                <c:pt idx="123">
                  <c:v>-0.35583959595106451</c:v>
                </c:pt>
                <c:pt idx="124">
                  <c:v>-0.35583959595106446</c:v>
                </c:pt>
                <c:pt idx="125">
                  <c:v>-0.35583959595106446</c:v>
                </c:pt>
                <c:pt idx="126">
                  <c:v>-0.35583959595106446</c:v>
                </c:pt>
                <c:pt idx="127">
                  <c:v>-0.35583959595106446</c:v>
                </c:pt>
                <c:pt idx="128">
                  <c:v>-0.38434127456153699</c:v>
                </c:pt>
                <c:pt idx="129">
                  <c:v>-0.38434127456153699</c:v>
                </c:pt>
                <c:pt idx="130">
                  <c:v>-0.38434127456153699</c:v>
                </c:pt>
                <c:pt idx="131">
                  <c:v>-0.38434127456153699</c:v>
                </c:pt>
                <c:pt idx="132">
                  <c:v>-0.38434127456153699</c:v>
                </c:pt>
                <c:pt idx="133">
                  <c:v>-0.38434127456153699</c:v>
                </c:pt>
                <c:pt idx="134">
                  <c:v>-0.38434127456153694</c:v>
                </c:pt>
                <c:pt idx="135">
                  <c:v>-0.38434127456153694</c:v>
                </c:pt>
                <c:pt idx="136">
                  <c:v>-0.38434127456153694</c:v>
                </c:pt>
                <c:pt idx="137">
                  <c:v>-0.38434127456153694</c:v>
                </c:pt>
                <c:pt idx="138">
                  <c:v>-0.38434127456153694</c:v>
                </c:pt>
                <c:pt idx="139">
                  <c:v>-0.38434127456153694</c:v>
                </c:pt>
                <c:pt idx="140">
                  <c:v>-0.38434127456153694</c:v>
                </c:pt>
                <c:pt idx="141">
                  <c:v>-0.38434127456153694</c:v>
                </c:pt>
                <c:pt idx="142">
                  <c:v>-0.38434127456153694</c:v>
                </c:pt>
                <c:pt idx="143">
                  <c:v>-0.38434127456153694</c:v>
                </c:pt>
                <c:pt idx="144">
                  <c:v>-0.38434127456153694</c:v>
                </c:pt>
                <c:pt idx="145">
                  <c:v>-0.38434127456153694</c:v>
                </c:pt>
                <c:pt idx="146">
                  <c:v>-0.38434127456153694</c:v>
                </c:pt>
                <c:pt idx="147">
                  <c:v>-0.38434127456153694</c:v>
                </c:pt>
                <c:pt idx="148">
                  <c:v>-0.38434127456153694</c:v>
                </c:pt>
                <c:pt idx="149">
                  <c:v>-0.38434127456153688</c:v>
                </c:pt>
                <c:pt idx="150">
                  <c:v>-0.38434127456153688</c:v>
                </c:pt>
                <c:pt idx="151">
                  <c:v>-0.38434127456153688</c:v>
                </c:pt>
                <c:pt idx="152">
                  <c:v>-0.41284295317200942</c:v>
                </c:pt>
                <c:pt idx="153">
                  <c:v>-0.41284295317200942</c:v>
                </c:pt>
                <c:pt idx="154">
                  <c:v>-0.41284295317200942</c:v>
                </c:pt>
                <c:pt idx="155">
                  <c:v>-0.41284295317200942</c:v>
                </c:pt>
                <c:pt idx="156">
                  <c:v>-0.41284295317200936</c:v>
                </c:pt>
                <c:pt idx="157">
                  <c:v>-0.41284295317200936</c:v>
                </c:pt>
                <c:pt idx="158">
                  <c:v>-0.41284295317200936</c:v>
                </c:pt>
                <c:pt idx="159">
                  <c:v>-0.41284295317200936</c:v>
                </c:pt>
                <c:pt idx="160">
                  <c:v>-0.41284295317200936</c:v>
                </c:pt>
                <c:pt idx="161">
                  <c:v>-0.41284295317200936</c:v>
                </c:pt>
                <c:pt idx="162">
                  <c:v>-0.41284295317200936</c:v>
                </c:pt>
                <c:pt idx="163">
                  <c:v>-0.41284295317200936</c:v>
                </c:pt>
                <c:pt idx="164">
                  <c:v>-0.41284295317200936</c:v>
                </c:pt>
                <c:pt idx="165">
                  <c:v>-0.41284295317200936</c:v>
                </c:pt>
                <c:pt idx="166">
                  <c:v>-0.41284295317200936</c:v>
                </c:pt>
                <c:pt idx="167">
                  <c:v>-0.41284295317200936</c:v>
                </c:pt>
                <c:pt idx="168">
                  <c:v>-0.41284295317200936</c:v>
                </c:pt>
                <c:pt idx="169">
                  <c:v>-0.41284295317200931</c:v>
                </c:pt>
                <c:pt idx="170">
                  <c:v>-0.41284295317200931</c:v>
                </c:pt>
                <c:pt idx="171">
                  <c:v>-0.44134463178248179</c:v>
                </c:pt>
                <c:pt idx="172">
                  <c:v>-0.44134463178248179</c:v>
                </c:pt>
                <c:pt idx="173">
                  <c:v>-0.44134463178248179</c:v>
                </c:pt>
                <c:pt idx="174">
                  <c:v>-0.44134463178248179</c:v>
                </c:pt>
                <c:pt idx="175">
                  <c:v>-0.44134463178248173</c:v>
                </c:pt>
                <c:pt idx="176">
                  <c:v>-0.44134463178248173</c:v>
                </c:pt>
                <c:pt idx="177">
                  <c:v>-0.44134463178248173</c:v>
                </c:pt>
                <c:pt idx="178">
                  <c:v>-0.44134463178248173</c:v>
                </c:pt>
                <c:pt idx="179">
                  <c:v>-0.44134463178248173</c:v>
                </c:pt>
                <c:pt idx="180">
                  <c:v>-0.44134463178248173</c:v>
                </c:pt>
                <c:pt idx="181">
                  <c:v>-0.44134463178248173</c:v>
                </c:pt>
                <c:pt idx="182">
                  <c:v>-0.44134463178248173</c:v>
                </c:pt>
                <c:pt idx="183">
                  <c:v>-0.44134463178248173</c:v>
                </c:pt>
                <c:pt idx="184">
                  <c:v>-0.44134463178248173</c:v>
                </c:pt>
                <c:pt idx="185">
                  <c:v>-0.44134463178248168</c:v>
                </c:pt>
                <c:pt idx="186">
                  <c:v>-0.44134463178248168</c:v>
                </c:pt>
                <c:pt idx="187">
                  <c:v>-0.46984631039295421</c:v>
                </c:pt>
                <c:pt idx="188">
                  <c:v>-0.46984631039295421</c:v>
                </c:pt>
                <c:pt idx="189">
                  <c:v>-0.46984631039295421</c:v>
                </c:pt>
                <c:pt idx="190">
                  <c:v>-0.46984631039295416</c:v>
                </c:pt>
                <c:pt idx="191">
                  <c:v>-0.46984631039295416</c:v>
                </c:pt>
                <c:pt idx="192">
                  <c:v>-0.46984631039295416</c:v>
                </c:pt>
                <c:pt idx="193">
                  <c:v>-0.46984631039295416</c:v>
                </c:pt>
                <c:pt idx="194">
                  <c:v>-0.46984631039295416</c:v>
                </c:pt>
                <c:pt idx="195">
                  <c:v>-0.46984631039295416</c:v>
                </c:pt>
                <c:pt idx="196">
                  <c:v>-0.46984631039295416</c:v>
                </c:pt>
                <c:pt idx="197">
                  <c:v>-0.46984631039295416</c:v>
                </c:pt>
                <c:pt idx="198">
                  <c:v>-0.46984631039295416</c:v>
                </c:pt>
                <c:pt idx="199">
                  <c:v>-0.4698463103929541</c:v>
                </c:pt>
                <c:pt idx="200">
                  <c:v>-0.49834798900342664</c:v>
                </c:pt>
                <c:pt idx="201">
                  <c:v>-0.49834798900342664</c:v>
                </c:pt>
                <c:pt idx="202">
                  <c:v>-0.49834798900342658</c:v>
                </c:pt>
                <c:pt idx="203">
                  <c:v>-0.49834798900342658</c:v>
                </c:pt>
                <c:pt idx="204">
                  <c:v>-0.49834798900342658</c:v>
                </c:pt>
                <c:pt idx="205">
                  <c:v>-0.49834798900342658</c:v>
                </c:pt>
                <c:pt idx="206">
                  <c:v>-0.49834798900342658</c:v>
                </c:pt>
                <c:pt idx="207">
                  <c:v>-0.49834798900342658</c:v>
                </c:pt>
                <c:pt idx="208">
                  <c:v>-0.49834798900342658</c:v>
                </c:pt>
                <c:pt idx="209">
                  <c:v>-0.49834798900342658</c:v>
                </c:pt>
                <c:pt idx="210">
                  <c:v>-0.49834798900342653</c:v>
                </c:pt>
                <c:pt idx="211">
                  <c:v>-0.49834798900342653</c:v>
                </c:pt>
                <c:pt idx="212">
                  <c:v>-0.52684966761389906</c:v>
                </c:pt>
                <c:pt idx="213">
                  <c:v>-0.52684966761389895</c:v>
                </c:pt>
                <c:pt idx="214">
                  <c:v>-0.52684966761389895</c:v>
                </c:pt>
                <c:pt idx="215">
                  <c:v>-0.52684966761389895</c:v>
                </c:pt>
                <c:pt idx="216">
                  <c:v>-0.52684966761389895</c:v>
                </c:pt>
                <c:pt idx="217">
                  <c:v>-0.52684966761389895</c:v>
                </c:pt>
                <c:pt idx="218">
                  <c:v>-0.52684966761389895</c:v>
                </c:pt>
                <c:pt idx="219">
                  <c:v>-0.52684966761389895</c:v>
                </c:pt>
                <c:pt idx="220">
                  <c:v>-0.52684966761389895</c:v>
                </c:pt>
                <c:pt idx="221">
                  <c:v>-0.52684966761389895</c:v>
                </c:pt>
                <c:pt idx="222">
                  <c:v>-0.55535134622437132</c:v>
                </c:pt>
                <c:pt idx="223">
                  <c:v>-0.55535134622437132</c:v>
                </c:pt>
                <c:pt idx="224">
                  <c:v>-0.55535134622437132</c:v>
                </c:pt>
                <c:pt idx="225">
                  <c:v>-0.55535134622437132</c:v>
                </c:pt>
                <c:pt idx="226">
                  <c:v>-0.55535134622437132</c:v>
                </c:pt>
                <c:pt idx="227">
                  <c:v>-0.55535134622437132</c:v>
                </c:pt>
                <c:pt idx="228">
                  <c:v>-0.55535134622437132</c:v>
                </c:pt>
                <c:pt idx="229">
                  <c:v>-0.55535134622437132</c:v>
                </c:pt>
                <c:pt idx="230">
                  <c:v>-0.55535134622437132</c:v>
                </c:pt>
                <c:pt idx="231">
                  <c:v>-0.58385302483484391</c:v>
                </c:pt>
                <c:pt idx="232">
                  <c:v>-0.5838530248348438</c:v>
                </c:pt>
                <c:pt idx="233">
                  <c:v>-0.5838530248348438</c:v>
                </c:pt>
                <c:pt idx="234">
                  <c:v>-0.5838530248348438</c:v>
                </c:pt>
                <c:pt idx="235">
                  <c:v>-0.5838530248348438</c:v>
                </c:pt>
                <c:pt idx="236">
                  <c:v>-0.5838530248348438</c:v>
                </c:pt>
                <c:pt idx="237">
                  <c:v>-0.5838530248348438</c:v>
                </c:pt>
                <c:pt idx="238">
                  <c:v>-0.5838530248348438</c:v>
                </c:pt>
                <c:pt idx="239">
                  <c:v>-0.61235470344531628</c:v>
                </c:pt>
                <c:pt idx="240">
                  <c:v>-0.61235470344531617</c:v>
                </c:pt>
                <c:pt idx="241">
                  <c:v>-0.61235470344531617</c:v>
                </c:pt>
                <c:pt idx="242">
                  <c:v>-0.61235470344531617</c:v>
                </c:pt>
                <c:pt idx="243">
                  <c:v>-0.61235470344531617</c:v>
                </c:pt>
                <c:pt idx="244">
                  <c:v>-0.61235470344531617</c:v>
                </c:pt>
                <c:pt idx="245">
                  <c:v>-0.61235470344531617</c:v>
                </c:pt>
                <c:pt idx="246">
                  <c:v>-0.61235470344531617</c:v>
                </c:pt>
                <c:pt idx="247">
                  <c:v>-0.64085638205578865</c:v>
                </c:pt>
                <c:pt idx="248">
                  <c:v>-0.36398293269691384</c:v>
                </c:pt>
                <c:pt idx="249">
                  <c:v>-0.36398293269691379</c:v>
                </c:pt>
                <c:pt idx="250">
                  <c:v>-0.36398293269691379</c:v>
                </c:pt>
                <c:pt idx="251">
                  <c:v>-0.36398293269691379</c:v>
                </c:pt>
                <c:pt idx="252">
                  <c:v>-0.36398293269691379</c:v>
                </c:pt>
                <c:pt idx="253">
                  <c:v>-0.36398293269691373</c:v>
                </c:pt>
                <c:pt idx="254">
                  <c:v>-0.36941182386081334</c:v>
                </c:pt>
                <c:pt idx="255">
                  <c:v>-0.36941182386081334</c:v>
                </c:pt>
                <c:pt idx="256">
                  <c:v>-0.36941182386081328</c:v>
                </c:pt>
                <c:pt idx="257">
                  <c:v>-0.36941182386081328</c:v>
                </c:pt>
                <c:pt idx="258">
                  <c:v>-0.36941182386081328</c:v>
                </c:pt>
                <c:pt idx="259">
                  <c:v>-0.36941182386081328</c:v>
                </c:pt>
                <c:pt idx="260">
                  <c:v>-0.37484071502471289</c:v>
                </c:pt>
                <c:pt idx="261">
                  <c:v>-0.37484071502471283</c:v>
                </c:pt>
                <c:pt idx="262">
                  <c:v>-0.37484071502471283</c:v>
                </c:pt>
                <c:pt idx="263">
                  <c:v>-0.37484071502471283</c:v>
                </c:pt>
                <c:pt idx="264">
                  <c:v>-0.37484071502471283</c:v>
                </c:pt>
                <c:pt idx="265">
                  <c:v>-0.37484071502471278</c:v>
                </c:pt>
                <c:pt idx="266">
                  <c:v>-0.38026960618861239</c:v>
                </c:pt>
                <c:pt idx="267">
                  <c:v>-0.38026960618861233</c:v>
                </c:pt>
                <c:pt idx="268">
                  <c:v>-0.38026960618861233</c:v>
                </c:pt>
                <c:pt idx="269">
                  <c:v>-0.38026960618861233</c:v>
                </c:pt>
                <c:pt idx="270">
                  <c:v>-0.38026960618861233</c:v>
                </c:pt>
                <c:pt idx="271">
                  <c:v>-0.38026960618861227</c:v>
                </c:pt>
                <c:pt idx="272">
                  <c:v>-0.38569849735251188</c:v>
                </c:pt>
                <c:pt idx="273">
                  <c:v>-0.38569849735251183</c:v>
                </c:pt>
                <c:pt idx="274">
                  <c:v>-0.38569849735251183</c:v>
                </c:pt>
                <c:pt idx="275">
                  <c:v>-0.38569849735251183</c:v>
                </c:pt>
                <c:pt idx="276">
                  <c:v>-0.38569849735251183</c:v>
                </c:pt>
                <c:pt idx="277">
                  <c:v>-0.39112738851641138</c:v>
                </c:pt>
                <c:pt idx="278">
                  <c:v>-0.39112738851641132</c:v>
                </c:pt>
                <c:pt idx="279">
                  <c:v>-0.39112738851641132</c:v>
                </c:pt>
                <c:pt idx="280">
                  <c:v>-0.39112738851641132</c:v>
                </c:pt>
                <c:pt idx="281">
                  <c:v>-0.39112738851641127</c:v>
                </c:pt>
                <c:pt idx="282">
                  <c:v>-0.39655627968031087</c:v>
                </c:pt>
                <c:pt idx="283">
                  <c:v>-0.39655627968031082</c:v>
                </c:pt>
                <c:pt idx="284">
                  <c:v>-0.39655627968031082</c:v>
                </c:pt>
                <c:pt idx="285">
                  <c:v>-0.39655627968031082</c:v>
                </c:pt>
                <c:pt idx="286">
                  <c:v>-0.39655627968031076</c:v>
                </c:pt>
                <c:pt idx="287">
                  <c:v>-0.40198517084421043</c:v>
                </c:pt>
                <c:pt idx="288">
                  <c:v>-0.40198517084421037</c:v>
                </c:pt>
                <c:pt idx="289">
                  <c:v>-0.40198517084421037</c:v>
                </c:pt>
                <c:pt idx="290">
                  <c:v>-0.40198517084421037</c:v>
                </c:pt>
                <c:pt idx="291">
                  <c:v>-0.40741406200810992</c:v>
                </c:pt>
                <c:pt idx="292">
                  <c:v>-0.40741406200810987</c:v>
                </c:pt>
                <c:pt idx="293">
                  <c:v>-0.40741406200810987</c:v>
                </c:pt>
                <c:pt idx="294">
                  <c:v>-0.40741406200810987</c:v>
                </c:pt>
                <c:pt idx="295">
                  <c:v>-0.41284295317200942</c:v>
                </c:pt>
                <c:pt idx="296">
                  <c:v>-0.41284295317200936</c:v>
                </c:pt>
                <c:pt idx="297">
                  <c:v>-0.41284295317200936</c:v>
                </c:pt>
                <c:pt idx="298">
                  <c:v>-0.41284295317200936</c:v>
                </c:pt>
                <c:pt idx="299">
                  <c:v>-0.41827184433590892</c:v>
                </c:pt>
                <c:pt idx="300">
                  <c:v>-0.41827184433590886</c:v>
                </c:pt>
                <c:pt idx="301">
                  <c:v>-0.41827184433590886</c:v>
                </c:pt>
                <c:pt idx="302">
                  <c:v>-0.4182718443359088</c:v>
                </c:pt>
                <c:pt idx="303">
                  <c:v>-0.42370073549980841</c:v>
                </c:pt>
                <c:pt idx="304">
                  <c:v>-0.42370073549980836</c:v>
                </c:pt>
                <c:pt idx="305">
                  <c:v>-0.42370073549980836</c:v>
                </c:pt>
                <c:pt idx="306">
                  <c:v>-0.4237007354998083</c:v>
                </c:pt>
                <c:pt idx="307">
                  <c:v>-0.42912962666370791</c:v>
                </c:pt>
                <c:pt idx="308">
                  <c:v>-0.42912962666370785</c:v>
                </c:pt>
                <c:pt idx="309">
                  <c:v>-0.42912962666370785</c:v>
                </c:pt>
                <c:pt idx="310">
                  <c:v>-0.4345585178276074</c:v>
                </c:pt>
                <c:pt idx="311">
                  <c:v>-0.43455851782760735</c:v>
                </c:pt>
                <c:pt idx="312">
                  <c:v>-0.43455851782760735</c:v>
                </c:pt>
                <c:pt idx="313">
                  <c:v>-0.43998740899150696</c:v>
                </c:pt>
                <c:pt idx="314">
                  <c:v>-0.4399874089915069</c:v>
                </c:pt>
                <c:pt idx="315">
                  <c:v>-0.4399874089915069</c:v>
                </c:pt>
                <c:pt idx="316">
                  <c:v>-0.44541630015540645</c:v>
                </c:pt>
                <c:pt idx="317">
                  <c:v>-0.4454163001554064</c:v>
                </c:pt>
                <c:pt idx="318">
                  <c:v>-0.4454163001554064</c:v>
                </c:pt>
                <c:pt idx="319">
                  <c:v>-0.45084519131930595</c:v>
                </c:pt>
                <c:pt idx="320">
                  <c:v>-0.45084519131930589</c:v>
                </c:pt>
                <c:pt idx="321">
                  <c:v>-0.45084519131930589</c:v>
                </c:pt>
                <c:pt idx="322">
                  <c:v>-0.45627408248320545</c:v>
                </c:pt>
                <c:pt idx="323">
                  <c:v>-0.45627408248320539</c:v>
                </c:pt>
                <c:pt idx="324">
                  <c:v>-0.45627408248320539</c:v>
                </c:pt>
                <c:pt idx="325">
                  <c:v>-0.46170297364710494</c:v>
                </c:pt>
                <c:pt idx="326">
                  <c:v>-0.46170297364710489</c:v>
                </c:pt>
                <c:pt idx="327">
                  <c:v>-0.46170297364710483</c:v>
                </c:pt>
                <c:pt idx="328">
                  <c:v>-0.46713186481100438</c:v>
                </c:pt>
                <c:pt idx="329">
                  <c:v>-0.46713186481100438</c:v>
                </c:pt>
                <c:pt idx="330">
                  <c:v>-0.46713186481100433</c:v>
                </c:pt>
                <c:pt idx="331">
                  <c:v>-0.47256075597490388</c:v>
                </c:pt>
                <c:pt idx="332">
                  <c:v>-0.47256075597490388</c:v>
                </c:pt>
                <c:pt idx="333">
                  <c:v>-0.47798964713880343</c:v>
                </c:pt>
                <c:pt idx="334">
                  <c:v>-0.47798964713880343</c:v>
                </c:pt>
                <c:pt idx="335">
                  <c:v>-0.48341853830270293</c:v>
                </c:pt>
                <c:pt idx="336">
                  <c:v>-0.48341853830270293</c:v>
                </c:pt>
                <c:pt idx="337">
                  <c:v>-0.48884742946660242</c:v>
                </c:pt>
                <c:pt idx="338">
                  <c:v>-0.48884742946660242</c:v>
                </c:pt>
                <c:pt idx="339">
                  <c:v>-0.49427632063050192</c:v>
                </c:pt>
                <c:pt idx="340">
                  <c:v>-0.49427632063050192</c:v>
                </c:pt>
                <c:pt idx="341">
                  <c:v>-0.49970521179440142</c:v>
                </c:pt>
                <c:pt idx="342">
                  <c:v>-0.49970521179440142</c:v>
                </c:pt>
                <c:pt idx="343">
                  <c:v>-0.50513410295830097</c:v>
                </c:pt>
                <c:pt idx="344">
                  <c:v>-0.50513410295830097</c:v>
                </c:pt>
                <c:pt idx="345">
                  <c:v>-0.51056299412220041</c:v>
                </c:pt>
                <c:pt idx="346">
                  <c:v>-0.51056299412220041</c:v>
                </c:pt>
                <c:pt idx="347">
                  <c:v>-0.51599188528609996</c:v>
                </c:pt>
                <c:pt idx="348">
                  <c:v>-0.51599188528609996</c:v>
                </c:pt>
                <c:pt idx="349">
                  <c:v>-0.52142077644999951</c:v>
                </c:pt>
                <c:pt idx="350">
                  <c:v>-0.52142077644999951</c:v>
                </c:pt>
                <c:pt idx="351">
                  <c:v>-0.52684966761389895</c:v>
                </c:pt>
                <c:pt idx="352">
                  <c:v>-0.52684966761389895</c:v>
                </c:pt>
                <c:pt idx="353">
                  <c:v>-0.53227855877779851</c:v>
                </c:pt>
                <c:pt idx="354">
                  <c:v>-0.53227855877779851</c:v>
                </c:pt>
                <c:pt idx="355">
                  <c:v>-0.53770744994169795</c:v>
                </c:pt>
                <c:pt idx="356">
                  <c:v>-0.53770744994169795</c:v>
                </c:pt>
                <c:pt idx="357">
                  <c:v>-0.5431363411055975</c:v>
                </c:pt>
                <c:pt idx="358">
                  <c:v>-0.5431363411055975</c:v>
                </c:pt>
                <c:pt idx="359">
                  <c:v>-0.54856523226949694</c:v>
                </c:pt>
                <c:pt idx="360">
                  <c:v>-0.54856523226949694</c:v>
                </c:pt>
                <c:pt idx="361">
                  <c:v>-0.55399412343339649</c:v>
                </c:pt>
                <c:pt idx="362">
                  <c:v>-0.55399412343339649</c:v>
                </c:pt>
                <c:pt idx="363">
                  <c:v>-0.55942301459729593</c:v>
                </c:pt>
                <c:pt idx="364">
                  <c:v>-0.56485190576119548</c:v>
                </c:pt>
                <c:pt idx="365">
                  <c:v>-0.57028079692509503</c:v>
                </c:pt>
                <c:pt idx="366">
                  <c:v>-0.57570968808899448</c:v>
                </c:pt>
                <c:pt idx="367">
                  <c:v>-0.58113857925289403</c:v>
                </c:pt>
                <c:pt idx="368">
                  <c:v>-0.58656747041679358</c:v>
                </c:pt>
                <c:pt idx="369">
                  <c:v>-0.59199636158069302</c:v>
                </c:pt>
                <c:pt idx="370">
                  <c:v>-0.59742525274459257</c:v>
                </c:pt>
                <c:pt idx="371">
                  <c:v>-0.60285414390849201</c:v>
                </c:pt>
                <c:pt idx="372">
                  <c:v>-0.60828303507239156</c:v>
                </c:pt>
                <c:pt idx="373">
                  <c:v>-0.61371192623629101</c:v>
                </c:pt>
                <c:pt idx="374">
                  <c:v>-0.61914081740019056</c:v>
                </c:pt>
                <c:pt idx="375">
                  <c:v>-0.62456970856408989</c:v>
                </c:pt>
                <c:pt idx="376">
                  <c:v>-0.62999859972798944</c:v>
                </c:pt>
                <c:pt idx="377">
                  <c:v>-0.63542749089188899</c:v>
                </c:pt>
                <c:pt idx="378">
                  <c:v>-0.64085638205578843</c:v>
                </c:pt>
              </c:numCache>
            </c:numRef>
          </c:xVal>
          <c:yVal>
            <c:numRef>
              <c:f>plot!$P$33:$P$411</c:f>
              <c:numCache>
                <c:formatCode>General</c:formatCode>
                <c:ptCount val="379"/>
                <c:pt idx="0">
                  <c:v>-1.928779968365224E-2</c:v>
                </c:pt>
                <c:pt idx="1">
                  <c:v>-8.5175307579607729E-2</c:v>
                </c:pt>
                <c:pt idx="2">
                  <c:v>-0.10713781021159308</c:v>
                </c:pt>
                <c:pt idx="3">
                  <c:v>-0.10959761050637506</c:v>
                </c:pt>
                <c:pt idx="4">
                  <c:v>-0.10731351023264873</c:v>
                </c:pt>
                <c:pt idx="5">
                  <c:v>-0.10696211019053681</c:v>
                </c:pt>
                <c:pt idx="6">
                  <c:v>-9.3433208569234316E-2</c:v>
                </c:pt>
                <c:pt idx="7">
                  <c:v>-9.0797708253396114E-2</c:v>
                </c:pt>
                <c:pt idx="8">
                  <c:v>-7.9552906905819343E-2</c:v>
                </c:pt>
                <c:pt idx="9">
                  <c:v>-6.8835205621410711E-2</c:v>
                </c:pt>
                <c:pt idx="10">
                  <c:v>-5.2143703621101878E-2</c:v>
                </c:pt>
                <c:pt idx="11">
                  <c:v>-3.3343801368122927E-2</c:v>
                </c:pt>
                <c:pt idx="12">
                  <c:v>-2.7545700673278828E-2</c:v>
                </c:pt>
                <c:pt idx="13">
                  <c:v>-1.1029898694025653E-2</c:v>
                </c:pt>
                <c:pt idx="14">
                  <c:v>2.3233029062211807E-3</c:v>
                </c:pt>
                <c:pt idx="15">
                  <c:v>1.655500461174747E-2</c:v>
                </c:pt>
                <c:pt idx="16">
                  <c:v>4.343710783329735E-2</c:v>
                </c:pt>
                <c:pt idx="17">
                  <c:v>5.7317409496711824E-2</c:v>
                </c:pt>
                <c:pt idx="18">
                  <c:v>7.6468711791803229E-2</c:v>
                </c:pt>
                <c:pt idx="19">
                  <c:v>9.316021379211159E-2</c:v>
                </c:pt>
                <c:pt idx="20">
                  <c:v>9.8431214423787994E-2</c:v>
                </c:pt>
                <c:pt idx="21">
                  <c:v>0.10405361509757644</c:v>
                </c:pt>
                <c:pt idx="22">
                  <c:v>0.11213581606614675</c:v>
                </c:pt>
                <c:pt idx="23">
                  <c:v>0.11477131638198498</c:v>
                </c:pt>
                <c:pt idx="24">
                  <c:v>0.12601611772956173</c:v>
                </c:pt>
                <c:pt idx="25">
                  <c:v>0.1340983186981321</c:v>
                </c:pt>
                <c:pt idx="26">
                  <c:v>0.14780292034049083</c:v>
                </c:pt>
                <c:pt idx="27">
                  <c:v>0.15307392097216729</c:v>
                </c:pt>
                <c:pt idx="28">
                  <c:v>0.18364572463589057</c:v>
                </c:pt>
                <c:pt idx="29">
                  <c:v>0.18891672526756703</c:v>
                </c:pt>
                <c:pt idx="30">
                  <c:v>0.19981012657303185</c:v>
                </c:pt>
                <c:pt idx="31">
                  <c:v>0.20543252724681965</c:v>
                </c:pt>
                <c:pt idx="32">
                  <c:v>0.24092393150010807</c:v>
                </c:pt>
                <c:pt idx="33">
                  <c:v>0.24654633217389593</c:v>
                </c:pt>
                <c:pt idx="34">
                  <c:v>0.24918183248973413</c:v>
                </c:pt>
                <c:pt idx="35">
                  <c:v>0.25199303282662855</c:v>
                </c:pt>
                <c:pt idx="36">
                  <c:v>0.26271073411103713</c:v>
                </c:pt>
                <c:pt idx="37">
                  <c:v>0.26850883480588122</c:v>
                </c:pt>
                <c:pt idx="38">
                  <c:v>0.27676673579550787</c:v>
                </c:pt>
                <c:pt idx="39">
                  <c:v>0.2792265360902883</c:v>
                </c:pt>
                <c:pt idx="40">
                  <c:v>0.29047133743786813</c:v>
                </c:pt>
                <c:pt idx="41">
                  <c:v>0.29293113773264706</c:v>
                </c:pt>
                <c:pt idx="42">
                  <c:v>0.29855353840643695</c:v>
                </c:pt>
                <c:pt idx="43">
                  <c:v>0.30417593908022683</c:v>
                </c:pt>
                <c:pt idx="44">
                  <c:v>0.31770484070152627</c:v>
                </c:pt>
                <c:pt idx="45">
                  <c:v>0.32596274169115447</c:v>
                </c:pt>
                <c:pt idx="46">
                  <c:v>0.3342206426807825</c:v>
                </c:pt>
                <c:pt idx="47">
                  <c:v>0.3373832430597884</c:v>
                </c:pt>
                <c:pt idx="48">
                  <c:v>-0.13241136774759082</c:v>
                </c:pt>
                <c:pt idx="49">
                  <c:v>-0.14910286974789971</c:v>
                </c:pt>
                <c:pt idx="50">
                  <c:v>-0.14348046907411138</c:v>
                </c:pt>
                <c:pt idx="51">
                  <c:v>-0.12995156745280889</c:v>
                </c:pt>
                <c:pt idx="52">
                  <c:v>-0.10517786448392963</c:v>
                </c:pt>
                <c:pt idx="53">
                  <c:v>-7.7592961178155895E-2</c:v>
                </c:pt>
                <c:pt idx="54">
                  <c:v>-4.4912757261761971E-2</c:v>
                </c:pt>
                <c:pt idx="55">
                  <c:v>-2.2950254629777234E-2</c:v>
                </c:pt>
                <c:pt idx="56">
                  <c:v>1.5528049981460845E-2</c:v>
                </c:pt>
                <c:pt idx="57">
                  <c:v>4.8383953918910955E-2</c:v>
                </c:pt>
                <c:pt idx="58">
                  <c:v>7.2981956866733977E-2</c:v>
                </c:pt>
                <c:pt idx="59">
                  <c:v>8.1239857856360564E-2</c:v>
                </c:pt>
                <c:pt idx="60">
                  <c:v>8.6686558509092737E-2</c:v>
                </c:pt>
                <c:pt idx="61">
                  <c:v>8.949775884598718E-2</c:v>
                </c:pt>
                <c:pt idx="62">
                  <c:v>0.10601356082523983</c:v>
                </c:pt>
                <c:pt idx="63">
                  <c:v>0.12498916309927502</c:v>
                </c:pt>
                <c:pt idx="64">
                  <c:v>0.14431616541542211</c:v>
                </c:pt>
                <c:pt idx="65">
                  <c:v>0.15520956672088643</c:v>
                </c:pt>
                <c:pt idx="66">
                  <c:v>0.16627866804740687</c:v>
                </c:pt>
                <c:pt idx="67">
                  <c:v>0.18542997034249831</c:v>
                </c:pt>
                <c:pt idx="68">
                  <c:v>0.18806547065833654</c:v>
                </c:pt>
                <c:pt idx="69">
                  <c:v>0.19632337164796265</c:v>
                </c:pt>
                <c:pt idx="70">
                  <c:v>0.25395297855429361</c:v>
                </c:pt>
                <c:pt idx="71">
                  <c:v>0.27855098150211349</c:v>
                </c:pt>
                <c:pt idx="72">
                  <c:v>0.20458127263758924</c:v>
                </c:pt>
                <c:pt idx="73">
                  <c:v>0.22109707461684192</c:v>
                </c:pt>
                <c:pt idx="74">
                  <c:v>0.23199047592230668</c:v>
                </c:pt>
                <c:pt idx="75">
                  <c:v>0.25114177821739597</c:v>
                </c:pt>
                <c:pt idx="76">
                  <c:v>0.28680888249174169</c:v>
                </c:pt>
                <c:pt idx="77">
                  <c:v>0.3033246844709927</c:v>
                </c:pt>
                <c:pt idx="78">
                  <c:v>0.32247598676608724</c:v>
                </c:pt>
                <c:pt idx="79">
                  <c:v>0.34145158904012252</c:v>
                </c:pt>
                <c:pt idx="80">
                  <c:v>0.38555229432514515</c:v>
                </c:pt>
                <c:pt idx="81">
                  <c:v>0.4047035966202398</c:v>
                </c:pt>
                <c:pt idx="82">
                  <c:v>0.41823249824153907</c:v>
                </c:pt>
                <c:pt idx="83">
                  <c:v>0.4321127999049571</c:v>
                </c:pt>
                <c:pt idx="84">
                  <c:v>0.45407530253693884</c:v>
                </c:pt>
                <c:pt idx="85">
                  <c:v>0.4676042041582435</c:v>
                </c:pt>
                <c:pt idx="86">
                  <c:v>0.48429570615855388</c:v>
                </c:pt>
                <c:pt idx="87">
                  <c:v>0.50046010809569152</c:v>
                </c:pt>
                <c:pt idx="88">
                  <c:v>0.52540951108563005</c:v>
                </c:pt>
                <c:pt idx="89">
                  <c:v>0.54157391302276769</c:v>
                </c:pt>
                <c:pt idx="90">
                  <c:v>0.55826541502307814</c:v>
                </c:pt>
                <c:pt idx="91">
                  <c:v>0.57460551698127504</c:v>
                </c:pt>
                <c:pt idx="92">
                  <c:v>0.59937921995015442</c:v>
                </c:pt>
                <c:pt idx="93">
                  <c:v>0.61571932190835132</c:v>
                </c:pt>
                <c:pt idx="94">
                  <c:v>0.64031732485617643</c:v>
                </c:pt>
                <c:pt idx="95">
                  <c:v>0.65683312683542761</c:v>
                </c:pt>
                <c:pt idx="96">
                  <c:v>-0.18808102892625692</c:v>
                </c:pt>
                <c:pt idx="97">
                  <c:v>-0.17999882795768599</c:v>
                </c:pt>
                <c:pt idx="98">
                  <c:v>-0.15540082500986299</c:v>
                </c:pt>
                <c:pt idx="99">
                  <c:v>-0.11674682037756876</c:v>
                </c:pt>
                <c:pt idx="100">
                  <c:v>-7.0362014818816071E-2</c:v>
                </c:pt>
                <c:pt idx="101">
                  <c:v>-2.6437009554846042E-2</c:v>
                </c:pt>
                <c:pt idx="102">
                  <c:v>3.1192597351482915E-2</c:v>
                </c:pt>
                <c:pt idx="103">
                  <c:v>3.9274798320053761E-2</c:v>
                </c:pt>
                <c:pt idx="104">
                  <c:v>5.5790600299306464E-2</c:v>
                </c:pt>
                <c:pt idx="105">
                  <c:v>7.7753102931291784E-2</c:v>
                </c:pt>
                <c:pt idx="106">
                  <c:v>9.4268904910544488E-2</c:v>
                </c:pt>
                <c:pt idx="107">
                  <c:v>0.10779780653184745</c:v>
                </c:pt>
                <c:pt idx="108">
                  <c:v>0.15172281179581759</c:v>
                </c:pt>
                <c:pt idx="109">
                  <c:v>0.16823861377507029</c:v>
                </c:pt>
                <c:pt idx="110">
                  <c:v>0.23658592196580824</c:v>
                </c:pt>
                <c:pt idx="111">
                  <c:v>0.25872412461884925</c:v>
                </c:pt>
                <c:pt idx="112">
                  <c:v>0.18721421604910549</c:v>
                </c:pt>
                <c:pt idx="113">
                  <c:v>0.20109451771252199</c:v>
                </c:pt>
                <c:pt idx="114">
                  <c:v>0.22850372099723951</c:v>
                </c:pt>
                <c:pt idx="115">
                  <c:v>0.24484382295543641</c:v>
                </c:pt>
                <c:pt idx="116">
                  <c:v>0.26135962493468756</c:v>
                </c:pt>
                <c:pt idx="117">
                  <c:v>0.28332212756667441</c:v>
                </c:pt>
                <c:pt idx="118">
                  <c:v>0.31073133085139193</c:v>
                </c:pt>
                <c:pt idx="119">
                  <c:v>0.32707143280958884</c:v>
                </c:pt>
                <c:pt idx="120">
                  <c:v>0.31898923184101491</c:v>
                </c:pt>
                <c:pt idx="121">
                  <c:v>0.35166943575740872</c:v>
                </c:pt>
                <c:pt idx="122">
                  <c:v>0.37398333843150922</c:v>
                </c:pt>
                <c:pt idx="123">
                  <c:v>0.40104114167411309</c:v>
                </c:pt>
                <c:pt idx="124">
                  <c:v>0.46148194891733807</c:v>
                </c:pt>
                <c:pt idx="125">
                  <c:v>0.49433785285478604</c:v>
                </c:pt>
                <c:pt idx="126">
                  <c:v>0.51893585580261115</c:v>
                </c:pt>
                <c:pt idx="127">
                  <c:v>0.55477866009801102</c:v>
                </c:pt>
                <c:pt idx="128">
                  <c:v>-0.23004608846256366</c:v>
                </c:pt>
                <c:pt idx="129">
                  <c:v>-0.2026368851778462</c:v>
                </c:pt>
                <c:pt idx="130">
                  <c:v>-0.1534408792821996</c:v>
                </c:pt>
                <c:pt idx="131">
                  <c:v>-9.5635572354814485E-2</c:v>
                </c:pt>
                <c:pt idx="132">
                  <c:v>-2.7112564143020795E-2</c:v>
                </c:pt>
                <c:pt idx="133">
                  <c:v>1.2093912064092827E-4</c:v>
                </c:pt>
                <c:pt idx="134">
                  <c:v>3.5788043394984509E-2</c:v>
                </c:pt>
                <c:pt idx="135">
                  <c:v>4.4045944384611097E-2</c:v>
                </c:pt>
                <c:pt idx="136">
                  <c:v>7.6901848322060734E-2</c:v>
                </c:pt>
                <c:pt idx="137">
                  <c:v>0.10975775225951084</c:v>
                </c:pt>
                <c:pt idx="138">
                  <c:v>0.21693476510359833</c:v>
                </c:pt>
                <c:pt idx="139">
                  <c:v>0.24399256834620217</c:v>
                </c:pt>
                <c:pt idx="140">
                  <c:v>0.1454248565338544</c:v>
                </c:pt>
                <c:pt idx="141">
                  <c:v>0.17019855950273213</c:v>
                </c:pt>
                <c:pt idx="142">
                  <c:v>0.20850116409291597</c:v>
                </c:pt>
                <c:pt idx="143">
                  <c:v>0.24135706803036408</c:v>
                </c:pt>
                <c:pt idx="144">
                  <c:v>0.24961496901999214</c:v>
                </c:pt>
                <c:pt idx="145">
                  <c:v>0.28264657297849954</c:v>
                </c:pt>
                <c:pt idx="146">
                  <c:v>0.30706887590526527</c:v>
                </c:pt>
                <c:pt idx="147">
                  <c:v>0.34818268083234155</c:v>
                </c:pt>
                <c:pt idx="148">
                  <c:v>0.36487418283265205</c:v>
                </c:pt>
                <c:pt idx="149">
                  <c:v>0.40581228773866873</c:v>
                </c:pt>
                <c:pt idx="150">
                  <c:v>0.436032691360284</c:v>
                </c:pt>
                <c:pt idx="151">
                  <c:v>0.47433529595046253</c:v>
                </c:pt>
                <c:pt idx="152">
                  <c:v>-0.26375324700924435</c:v>
                </c:pt>
                <c:pt idx="153">
                  <c:v>-0.21982824174527366</c:v>
                </c:pt>
                <c:pt idx="154">
                  <c:v>-0.15130523353347997</c:v>
                </c:pt>
                <c:pt idx="155">
                  <c:v>-6.9253323700383784E-2</c:v>
                </c:pt>
                <c:pt idx="156">
                  <c:v>-2.5152618415357431E-2</c:v>
                </c:pt>
                <c:pt idx="157">
                  <c:v>-3.365815804428296E-3</c:v>
                </c:pt>
                <c:pt idx="158">
                  <c:v>3.5112488806809727E-2</c:v>
                </c:pt>
                <c:pt idx="159">
                  <c:v>6.2521692091527137E-2</c:v>
                </c:pt>
                <c:pt idx="160">
                  <c:v>7.8686094028668413E-2</c:v>
                </c:pt>
                <c:pt idx="161">
                  <c:v>0.11189339800822995</c:v>
                </c:pt>
                <c:pt idx="162">
                  <c:v>0.17760520588313125</c:v>
                </c:pt>
                <c:pt idx="163">
                  <c:v>0.21046110982057933</c:v>
                </c:pt>
                <c:pt idx="164">
                  <c:v>0.17742950586207185</c:v>
                </c:pt>
                <c:pt idx="165">
                  <c:v>0.21889471083126161</c:v>
                </c:pt>
                <c:pt idx="166">
                  <c:v>0.27072621704274485</c:v>
                </c:pt>
                <c:pt idx="167">
                  <c:v>0.31728672262255692</c:v>
                </c:pt>
                <c:pt idx="168">
                  <c:v>0.33116702428596978</c:v>
                </c:pt>
                <c:pt idx="169">
                  <c:v>0.37491632952888421</c:v>
                </c:pt>
                <c:pt idx="170">
                  <c:v>0.42147683510869099</c:v>
                </c:pt>
                <c:pt idx="171">
                  <c:v>-0.30290710620865724</c:v>
                </c:pt>
                <c:pt idx="172">
                  <c:v>-0.23174859768102526</c:v>
                </c:pt>
                <c:pt idx="173">
                  <c:v>-0.1382761864792961</c:v>
                </c:pt>
                <c:pt idx="174">
                  <c:v>-7.8186779278184737E-2</c:v>
                </c:pt>
                <c:pt idx="175">
                  <c:v>-2.8815073361482452E-2</c:v>
                </c:pt>
                <c:pt idx="176">
                  <c:v>-1.5110471719123691E-2</c:v>
                </c:pt>
                <c:pt idx="177">
                  <c:v>0.12211124472552147</c:v>
                </c:pt>
                <c:pt idx="178">
                  <c:v>0.14670924767334137</c:v>
                </c:pt>
                <c:pt idx="179">
                  <c:v>8.626844043012169E-2</c:v>
                </c:pt>
                <c:pt idx="180">
                  <c:v>0.12457104502030028</c:v>
                </c:pt>
                <c:pt idx="181">
                  <c:v>0.17130725062116647</c:v>
                </c:pt>
                <c:pt idx="182">
                  <c:v>0.220854656558925</c:v>
                </c:pt>
                <c:pt idx="183">
                  <c:v>0.22876115750643961</c:v>
                </c:pt>
                <c:pt idx="184">
                  <c:v>0.27830856344419813</c:v>
                </c:pt>
                <c:pt idx="185">
                  <c:v>0.34384467129804014</c:v>
                </c:pt>
                <c:pt idx="186">
                  <c:v>0.409907879215055</c:v>
                </c:pt>
                <c:pt idx="187">
                  <c:v>-0.33116756410260517</c:v>
                </c:pt>
                <c:pt idx="188">
                  <c:v>-0.24876425422739706</c:v>
                </c:pt>
                <c:pt idx="189">
                  <c:v>-0.12278733913033019</c:v>
                </c:pt>
                <c:pt idx="190">
                  <c:v>-9.8189336182506665E-2</c:v>
                </c:pt>
                <c:pt idx="191">
                  <c:v>-2.6855127633819045E-2</c:v>
                </c:pt>
                <c:pt idx="192">
                  <c:v>3.3585679609404277E-2</c:v>
                </c:pt>
                <c:pt idx="193">
                  <c:v>8.5592885841947006E-2</c:v>
                </c:pt>
                <c:pt idx="194">
                  <c:v>0.10737968845287446</c:v>
                </c:pt>
                <c:pt idx="195">
                  <c:v>0.10210868782119796</c:v>
                </c:pt>
                <c:pt idx="196">
                  <c:v>0.1541158940537406</c:v>
                </c:pt>
                <c:pt idx="197">
                  <c:v>0.20612310028627795</c:v>
                </c:pt>
                <c:pt idx="198">
                  <c:v>0.26375270719261046</c:v>
                </c:pt>
                <c:pt idx="199">
                  <c:v>0.28553950980353809</c:v>
                </c:pt>
                <c:pt idx="200">
                  <c:v>-0.3592523219754975</c:v>
                </c:pt>
                <c:pt idx="201">
                  <c:v>-0.2524267091735215</c:v>
                </c:pt>
                <c:pt idx="202">
                  <c:v>-0.14524969632943413</c:v>
                </c:pt>
                <c:pt idx="203">
                  <c:v>-0.11256949241304021</c:v>
                </c:pt>
                <c:pt idx="204">
                  <c:v>1.0771922368188441E-2</c:v>
                </c:pt>
                <c:pt idx="205">
                  <c:v>7.6483730243089784E-2</c:v>
                </c:pt>
                <c:pt idx="206">
                  <c:v>5.1885727295264659E-2</c:v>
                </c:pt>
                <c:pt idx="207">
                  <c:v>8.7552831569610245E-2</c:v>
                </c:pt>
                <c:pt idx="208">
                  <c:v>0.12304423582289653</c:v>
                </c:pt>
                <c:pt idx="209">
                  <c:v>0.18629624340301376</c:v>
                </c:pt>
                <c:pt idx="210">
                  <c:v>0.24919685094101746</c:v>
                </c:pt>
                <c:pt idx="211">
                  <c:v>0.32316655980554704</c:v>
                </c:pt>
                <c:pt idx="212">
                  <c:v>-0.39014828018528369</c:v>
                </c:pt>
                <c:pt idx="213">
                  <c:v>-0.26136016475132295</c:v>
                </c:pt>
                <c:pt idx="214">
                  <c:v>-0.17087465390754392</c:v>
                </c:pt>
                <c:pt idx="215">
                  <c:v>-0.13801874997009428</c:v>
                </c:pt>
                <c:pt idx="216">
                  <c:v>-2.2935236178493808E-2</c:v>
                </c:pt>
                <c:pt idx="217">
                  <c:v>3.7505571064731097E-2</c:v>
                </c:pt>
                <c:pt idx="218">
                  <c:v>4.5412072012245688E-2</c:v>
                </c:pt>
                <c:pt idx="219">
                  <c:v>0.10602857927652479</c:v>
                </c:pt>
                <c:pt idx="220">
                  <c:v>0.14977788451943924</c:v>
                </c:pt>
                <c:pt idx="221">
                  <c:v>0.22111209306812535</c:v>
                </c:pt>
                <c:pt idx="222">
                  <c:v>-0.42121993841612615</c:v>
                </c:pt>
                <c:pt idx="223">
                  <c:v>-0.26695531992906224</c:v>
                </c:pt>
                <c:pt idx="224">
                  <c:v>-0.19931081182254812</c:v>
                </c:pt>
                <c:pt idx="225">
                  <c:v>-0.15802130687441621</c:v>
                </c:pt>
                <c:pt idx="226">
                  <c:v>-5.9277895041009027E-2</c:v>
                </c:pt>
                <c:pt idx="227">
                  <c:v>-1.6482881346817496E-3</c:v>
                </c:pt>
                <c:pt idx="228">
                  <c:v>5.5805618750591479E-2</c:v>
                </c:pt>
                <c:pt idx="229">
                  <c:v>0.12169312664654686</c:v>
                </c:pt>
                <c:pt idx="230">
                  <c:v>0.1791470335318201</c:v>
                </c:pt>
                <c:pt idx="231">
                  <c:v>-0.49621660191093875</c:v>
                </c:pt>
                <c:pt idx="232">
                  <c:v>-0.2927559775282283</c:v>
                </c:pt>
                <c:pt idx="233">
                  <c:v>-0.22194886904270833</c:v>
                </c:pt>
                <c:pt idx="234">
                  <c:v>-0.18065936409457584</c:v>
                </c:pt>
                <c:pt idx="235">
                  <c:v>-8.4727152598063099E-2</c:v>
                </c:pt>
                <c:pt idx="236">
                  <c:v>-2.1650845039005238E-2</c:v>
                </c:pt>
                <c:pt idx="237">
                  <c:v>6.3036565109931303E-2</c:v>
                </c:pt>
                <c:pt idx="238">
                  <c:v>0.14280437466929966</c:v>
                </c:pt>
                <c:pt idx="239">
                  <c:v>-0.5239499597417191</c:v>
                </c:pt>
                <c:pt idx="240">
                  <c:v>-0.31855663512739429</c:v>
                </c:pt>
                <c:pt idx="241">
                  <c:v>-0.25284482725249446</c:v>
                </c:pt>
                <c:pt idx="242">
                  <c:v>-0.19767502064094766</c:v>
                </c:pt>
                <c:pt idx="243">
                  <c:v>-9.1200807881082049E-2</c:v>
                </c:pt>
                <c:pt idx="244">
                  <c:v>-1.9690899311341867E-2</c:v>
                </c:pt>
                <c:pt idx="245">
                  <c:v>7.6065612164115226E-2</c:v>
                </c:pt>
                <c:pt idx="246">
                  <c:v>0.17498472401857812</c:v>
                </c:pt>
                <c:pt idx="247">
                  <c:v>-0.55221041763566769</c:v>
                </c:pt>
                <c:pt idx="248">
                  <c:v>2.8087981405935797E-2</c:v>
                </c:pt>
                <c:pt idx="249">
                  <c:v>0.1048688906073556</c:v>
                </c:pt>
                <c:pt idx="250">
                  <c:v>0.16249849751368498</c:v>
                </c:pt>
                <c:pt idx="251">
                  <c:v>0.28302871195801749</c:v>
                </c:pt>
                <c:pt idx="252">
                  <c:v>0.36525632181217005</c:v>
                </c:pt>
                <c:pt idx="253">
                  <c:v>0.47225763463520165</c:v>
                </c:pt>
                <c:pt idx="254">
                  <c:v>-0.16297641854020575</c:v>
                </c:pt>
                <c:pt idx="255">
                  <c:v>2.344130380008444E-2</c:v>
                </c:pt>
                <c:pt idx="256">
                  <c:v>0.10566891365423688</c:v>
                </c:pt>
                <c:pt idx="257">
                  <c:v>0.17963862251876267</c:v>
                </c:pt>
                <c:pt idx="258">
                  <c:v>0.30842673795272557</c:v>
                </c:pt>
                <c:pt idx="259">
                  <c:v>0.40189914915445257</c:v>
                </c:pt>
                <c:pt idx="260">
                  <c:v>-0.15409419452475404</c:v>
                </c:pt>
                <c:pt idx="261">
                  <c:v>2.4241326846965755E-2</c:v>
                </c:pt>
                <c:pt idx="262">
                  <c:v>0.11455113766968852</c:v>
                </c:pt>
                <c:pt idx="263">
                  <c:v>0.19414324720800277</c:v>
                </c:pt>
                <c:pt idx="264">
                  <c:v>0.33400046396848238</c:v>
                </c:pt>
                <c:pt idx="265">
                  <c:v>0.44082607677046004</c:v>
                </c:pt>
                <c:pt idx="266">
                  <c:v>-0.14767177080408439</c:v>
                </c:pt>
                <c:pt idx="267">
                  <c:v>2.4865649872790802E-2</c:v>
                </c:pt>
                <c:pt idx="268">
                  <c:v>0.12360906170619594</c:v>
                </c:pt>
                <c:pt idx="269">
                  <c:v>0.21409457254997497</c:v>
                </c:pt>
                <c:pt idx="270">
                  <c:v>0.36220969030008277</c:v>
                </c:pt>
                <c:pt idx="271">
                  <c:v>0.48537540506025734</c:v>
                </c:pt>
                <c:pt idx="272">
                  <c:v>-0.1412493470834153</c:v>
                </c:pt>
                <c:pt idx="273">
                  <c:v>2.8476873256566032E-2</c:v>
                </c:pt>
                <c:pt idx="274">
                  <c:v>0.13249128572164756</c:v>
                </c:pt>
                <c:pt idx="275">
                  <c:v>0.23123469755505477</c:v>
                </c:pt>
                <c:pt idx="276">
                  <c:v>0.39323011696857546</c:v>
                </c:pt>
                <c:pt idx="277">
                  <c:v>-0.13254282308901927</c:v>
                </c:pt>
                <c:pt idx="278">
                  <c:v>2.3830195650714647E-2</c:v>
                </c:pt>
                <c:pt idx="279">
                  <c:v>0.1413735097370992</c:v>
                </c:pt>
                <c:pt idx="280">
                  <c:v>0.2485505225811887</c:v>
                </c:pt>
                <c:pt idx="281">
                  <c:v>0.42688604395290641</c:v>
                </c:pt>
                <c:pt idx="282">
                  <c:v>-0.12366059907356769</c:v>
                </c:pt>
                <c:pt idx="283">
                  <c:v>2.7265719013434164E-2</c:v>
                </c:pt>
                <c:pt idx="284">
                  <c:v>0.14779593345777042</c:v>
                </c:pt>
                <c:pt idx="285">
                  <c:v>0.2711373482389991</c:v>
                </c:pt>
                <c:pt idx="286">
                  <c:v>0.46317747125307551</c:v>
                </c:pt>
                <c:pt idx="287">
                  <c:v>-0.11442697501600457</c:v>
                </c:pt>
                <c:pt idx="288">
                  <c:v>3.0701242376153653E-2</c:v>
                </c:pt>
                <c:pt idx="289">
                  <c:v>0.15948935781011445</c:v>
                </c:pt>
                <c:pt idx="290">
                  <c:v>0.29126437360202539</c:v>
                </c:pt>
                <c:pt idx="291">
                  <c:v>-0.11099145165328506</c:v>
                </c:pt>
                <c:pt idx="292">
                  <c:v>2.8690065086140554E-2</c:v>
                </c:pt>
                <c:pt idx="293">
                  <c:v>0.16889868188873375</c:v>
                </c:pt>
                <c:pt idx="294">
                  <c:v>0.31367549923878163</c:v>
                </c:pt>
                <c:pt idx="295">
                  <c:v>-9.9298027300939451E-2</c:v>
                </c:pt>
                <c:pt idx="296">
                  <c:v>2.9665788154077499E-2</c:v>
                </c:pt>
                <c:pt idx="297">
                  <c:v>0.18305190653586192</c:v>
                </c:pt>
                <c:pt idx="298">
                  <c:v>0.33643802491764624</c:v>
                </c:pt>
                <c:pt idx="299">
                  <c:v>-8.1982202274805571E-2</c:v>
                </c:pt>
                <c:pt idx="300">
                  <c:v>3.5736811832635246E-2</c:v>
                </c:pt>
                <c:pt idx="301">
                  <c:v>0.19492103090926521</c:v>
                </c:pt>
                <c:pt idx="302">
                  <c:v>0.35920055059651063</c:v>
                </c:pt>
                <c:pt idx="303">
                  <c:v>-8.3993379564818144E-2</c:v>
                </c:pt>
                <c:pt idx="304">
                  <c:v>3.9172335195354221E-2</c:v>
                </c:pt>
                <c:pt idx="305">
                  <c:v>0.20924995557744749</c:v>
                </c:pt>
                <c:pt idx="306">
                  <c:v>0.39022097726500338</c:v>
                </c:pt>
                <c:pt idx="307">
                  <c:v>-8.618025687588704E-2</c:v>
                </c:pt>
                <c:pt idx="308">
                  <c:v>4.0323758284347505E-2</c:v>
                </c:pt>
                <c:pt idx="309">
                  <c:v>0.22094337992979146</c:v>
                </c:pt>
                <c:pt idx="310">
                  <c:v>-9.0826934481738369E-2</c:v>
                </c:pt>
                <c:pt idx="311">
                  <c:v>4.6394781962904696E-2</c:v>
                </c:pt>
                <c:pt idx="312">
                  <c:v>0.23825920495592545</c:v>
                </c:pt>
                <c:pt idx="313">
                  <c:v>-9.5473612087589782E-2</c:v>
                </c:pt>
                <c:pt idx="314">
                  <c:v>4.7019104988730298E-2</c:v>
                </c:pt>
                <c:pt idx="315">
                  <c:v>0.24977692928721529</c:v>
                </c:pt>
                <c:pt idx="316">
                  <c:v>-9.7309089356546641E-2</c:v>
                </c:pt>
                <c:pt idx="317">
                  <c:v>5.0806028393561187E-2</c:v>
                </c:pt>
                <c:pt idx="318">
                  <c:v>0.26428155397645692</c:v>
                </c:pt>
                <c:pt idx="319">
                  <c:v>-9.949596666761551E-2</c:v>
                </c:pt>
                <c:pt idx="320">
                  <c:v>5.143035141938631E-2</c:v>
                </c:pt>
                <c:pt idx="321">
                  <c:v>0.28159737900259085</c:v>
                </c:pt>
                <c:pt idx="322">
                  <c:v>-0.10414264427346692</c:v>
                </c:pt>
                <c:pt idx="323">
                  <c:v>6.0312575434837909E-2</c:v>
                </c:pt>
                <c:pt idx="324">
                  <c:v>0.2989132040287249</c:v>
                </c:pt>
                <c:pt idx="325">
                  <c:v>-0.11160052221621222</c:v>
                </c:pt>
                <c:pt idx="326">
                  <c:v>6.1112598481719245E-2</c:v>
                </c:pt>
                <c:pt idx="327">
                  <c:v>0.31605332903380468</c:v>
                </c:pt>
                <c:pt idx="328">
                  <c:v>0.22074544056311698</c:v>
                </c:pt>
                <c:pt idx="329">
                  <c:v>6.7359322181332698E-2</c:v>
                </c:pt>
                <c:pt idx="330">
                  <c:v>0.33618035439683103</c:v>
                </c:pt>
                <c:pt idx="331">
                  <c:v>0.22418096392583806</c:v>
                </c:pt>
                <c:pt idx="332">
                  <c:v>7.0970545565107859E-2</c:v>
                </c:pt>
                <c:pt idx="333">
                  <c:v>0.22234548665687751</c:v>
                </c:pt>
                <c:pt idx="334">
                  <c:v>7.9852769580559535E-2</c:v>
                </c:pt>
                <c:pt idx="335">
                  <c:v>0.22051000938792209</c:v>
                </c:pt>
                <c:pt idx="336">
                  <c:v>8.5923793259118822E-2</c:v>
                </c:pt>
                <c:pt idx="337">
                  <c:v>0.22113433241374567</c:v>
                </c:pt>
                <c:pt idx="338">
                  <c:v>8.9710716663948156E-2</c:v>
                </c:pt>
                <c:pt idx="339">
                  <c:v>0.22193435546062845</c:v>
                </c:pt>
                <c:pt idx="340">
                  <c:v>9.8592940679399832E-2</c:v>
                </c:pt>
                <c:pt idx="341">
                  <c:v>0.21711197783372141</c:v>
                </c:pt>
                <c:pt idx="342">
                  <c:v>0.10747516469485158</c:v>
                </c:pt>
                <c:pt idx="343">
                  <c:v>0.22371010157544838</c:v>
                </c:pt>
                <c:pt idx="344">
                  <c:v>0.11372188839446495</c:v>
                </c:pt>
                <c:pt idx="345">
                  <c:v>0.22433442460127184</c:v>
                </c:pt>
                <c:pt idx="346">
                  <c:v>0.12014431211513249</c:v>
                </c:pt>
                <c:pt idx="347">
                  <c:v>0.22478304760604115</c:v>
                </c:pt>
                <c:pt idx="348">
                  <c:v>0.12621533579369176</c:v>
                </c:pt>
                <c:pt idx="349">
                  <c:v>0.22329897037919411</c:v>
                </c:pt>
                <c:pt idx="350">
                  <c:v>0.13527325983019761</c:v>
                </c:pt>
                <c:pt idx="351">
                  <c:v>0.22111209306812535</c:v>
                </c:pt>
                <c:pt idx="352">
                  <c:v>0.1415199835298111</c:v>
                </c:pt>
                <c:pt idx="353">
                  <c:v>0.22735881676773878</c:v>
                </c:pt>
                <c:pt idx="354">
                  <c:v>0.14776670722942453</c:v>
                </c:pt>
                <c:pt idx="355">
                  <c:v>0.22815883981462154</c:v>
                </c:pt>
                <c:pt idx="356">
                  <c:v>0.15383773090798369</c:v>
                </c:pt>
                <c:pt idx="357">
                  <c:v>0.23440556351423497</c:v>
                </c:pt>
                <c:pt idx="358">
                  <c:v>0.16588255530244128</c:v>
                </c:pt>
                <c:pt idx="359">
                  <c:v>0.23485418651900442</c:v>
                </c:pt>
                <c:pt idx="360">
                  <c:v>0.17757597965478539</c:v>
                </c:pt>
                <c:pt idx="361">
                  <c:v>0.23565420956588723</c:v>
                </c:pt>
                <c:pt idx="362">
                  <c:v>0.18944510402818865</c:v>
                </c:pt>
                <c:pt idx="363">
                  <c:v>0.23944113297071656</c:v>
                </c:pt>
                <c:pt idx="364">
                  <c:v>0.23988975597548601</c:v>
                </c:pt>
                <c:pt idx="365">
                  <c:v>0.24086547904342287</c:v>
                </c:pt>
                <c:pt idx="366">
                  <c:v>0.24184120211135984</c:v>
                </c:pt>
                <c:pt idx="367">
                  <c:v>0.24773652576885985</c:v>
                </c:pt>
                <c:pt idx="368">
                  <c:v>0.25134774915263508</c:v>
                </c:pt>
                <c:pt idx="369">
                  <c:v>0.24933657186262564</c:v>
                </c:pt>
                <c:pt idx="370">
                  <c:v>0.25857019592018549</c:v>
                </c:pt>
                <c:pt idx="371">
                  <c:v>0.25901881892495493</c:v>
                </c:pt>
                <c:pt idx="372">
                  <c:v>0.26280574232978943</c:v>
                </c:pt>
                <c:pt idx="373">
                  <c:v>0.26624126569250522</c:v>
                </c:pt>
                <c:pt idx="374">
                  <c:v>0.27231228937106455</c:v>
                </c:pt>
                <c:pt idx="375">
                  <c:v>0.27047681210210939</c:v>
                </c:pt>
                <c:pt idx="376">
                  <c:v>0.27654783578066333</c:v>
                </c:pt>
                <c:pt idx="377">
                  <c:v>0.28033475918549799</c:v>
                </c:pt>
                <c:pt idx="378">
                  <c:v>0.28359458252715963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-0.27884277871339841</c:v>
                </c:pt>
                <c:pt idx="2">
                  <c:v>-0.25884931869667688</c:v>
                </c:pt>
                <c:pt idx="3">
                  <c:v>-0.23885585867995549</c:v>
                </c:pt>
                <c:pt idx="4">
                  <c:v>-0.21886239866323395</c:v>
                </c:pt>
                <c:pt idx="5">
                  <c:v>-0.19886893864651253</c:v>
                </c:pt>
                <c:pt idx="6">
                  <c:v>-0.17887547862979111</c:v>
                </c:pt>
                <c:pt idx="7">
                  <c:v>-0.15888201861306964</c:v>
                </c:pt>
                <c:pt idx="8">
                  <c:v>-0.13888855859634816</c:v>
                </c:pt>
                <c:pt idx="9">
                  <c:v>-0.11889509857962674</c:v>
                </c:pt>
                <c:pt idx="10">
                  <c:v>-9.8901638562905264E-2</c:v>
                </c:pt>
                <c:pt idx="11">
                  <c:v>-7.8908178546183816E-2</c:v>
                </c:pt>
                <c:pt idx="12">
                  <c:v>-5.8914718529462375E-2</c:v>
                </c:pt>
                <c:pt idx="13">
                  <c:v>-3.8921258512740899E-2</c:v>
                </c:pt>
                <c:pt idx="14">
                  <c:v>-1.8927798496019478E-2</c:v>
                </c:pt>
                <c:pt idx="15">
                  <c:v>1.0656615207019992E-3</c:v>
                </c:pt>
                <c:pt idx="16">
                  <c:v>2.1059121537423446E-2</c:v>
                </c:pt>
                <c:pt idx="17">
                  <c:v>4.1052581554144922E-2</c:v>
                </c:pt>
                <c:pt idx="18">
                  <c:v>6.1046041570866356E-2</c:v>
                </c:pt>
                <c:pt idx="19">
                  <c:v>8.1039501587587784E-2</c:v>
                </c:pt>
                <c:pt idx="20">
                  <c:v>0.10103296160430927</c:v>
                </c:pt>
                <c:pt idx="21">
                  <c:v>0.12102642162103069</c:v>
                </c:pt>
                <c:pt idx="22">
                  <c:v>0.1410198816377522</c:v>
                </c:pt>
                <c:pt idx="23">
                  <c:v>0.16101334165447362</c:v>
                </c:pt>
                <c:pt idx="24">
                  <c:v>0.18100680167119504</c:v>
                </c:pt>
                <c:pt idx="25">
                  <c:v>0.20100026168791651</c:v>
                </c:pt>
                <c:pt idx="26">
                  <c:v>0.22099372170463802</c:v>
                </c:pt>
                <c:pt idx="27">
                  <c:v>0.24098718172135949</c:v>
                </c:pt>
                <c:pt idx="28">
                  <c:v>0.26098064173808089</c:v>
                </c:pt>
                <c:pt idx="29">
                  <c:v>0.28097410175480236</c:v>
                </c:pt>
                <c:pt idx="30">
                  <c:v>0.30096756177152384</c:v>
                </c:pt>
                <c:pt idx="31">
                  <c:v>0.3209610217882452</c:v>
                </c:pt>
                <c:pt idx="32">
                  <c:v>0.34095448180496674</c:v>
                </c:pt>
                <c:pt idx="33">
                  <c:v>0.36094794182168816</c:v>
                </c:pt>
                <c:pt idx="34">
                  <c:v>0.38094140183840969</c:v>
                </c:pt>
                <c:pt idx="35">
                  <c:v>0.40093486185513105</c:v>
                </c:pt>
                <c:pt idx="36">
                  <c:v>0.42092832187185253</c:v>
                </c:pt>
                <c:pt idx="37">
                  <c:v>0.44092178188857395</c:v>
                </c:pt>
                <c:pt idx="38">
                  <c:v>0.46091524190529537</c:v>
                </c:pt>
                <c:pt idx="39">
                  <c:v>0.4809087019220169</c:v>
                </c:pt>
                <c:pt idx="40">
                  <c:v>0.50090216193873827</c:v>
                </c:pt>
                <c:pt idx="41">
                  <c:v>0.5208956219554598</c:v>
                </c:pt>
                <c:pt idx="42">
                  <c:v>0.54088908197218111</c:v>
                </c:pt>
                <c:pt idx="43">
                  <c:v>0.56088254198890264</c:v>
                </c:pt>
                <c:pt idx="44">
                  <c:v>0.58087600200562417</c:v>
                </c:pt>
                <c:pt idx="45">
                  <c:v>0.60086946202234559</c:v>
                </c:pt>
                <c:pt idx="46">
                  <c:v>0.62086292203906701</c:v>
                </c:pt>
                <c:pt idx="47">
                  <c:v>0.64085638205578843</c:v>
                </c:pt>
                <c:pt idx="48">
                  <c:v>-0.3273379173405922</c:v>
                </c:pt>
                <c:pt idx="49">
                  <c:v>-0.30734445732387078</c:v>
                </c:pt>
                <c:pt idx="50">
                  <c:v>-0.2873509973071493</c:v>
                </c:pt>
                <c:pt idx="51">
                  <c:v>-0.26735753729042788</c:v>
                </c:pt>
                <c:pt idx="52">
                  <c:v>-0.24736407727370635</c:v>
                </c:pt>
                <c:pt idx="53">
                  <c:v>-0.22737061725698493</c:v>
                </c:pt>
                <c:pt idx="54">
                  <c:v>-0.20737715724026351</c:v>
                </c:pt>
                <c:pt idx="55">
                  <c:v>-0.18738369722354203</c:v>
                </c:pt>
                <c:pt idx="56">
                  <c:v>-0.16739023720682056</c:v>
                </c:pt>
                <c:pt idx="57">
                  <c:v>-0.14739677719009914</c:v>
                </c:pt>
                <c:pt idx="58">
                  <c:v>-0.12740331717337766</c:v>
                </c:pt>
                <c:pt idx="59">
                  <c:v>-0.10740985715665621</c:v>
                </c:pt>
                <c:pt idx="60">
                  <c:v>-8.7416397139934765E-2</c:v>
                </c:pt>
                <c:pt idx="61">
                  <c:v>-6.7422937123213289E-2</c:v>
                </c:pt>
                <c:pt idx="62">
                  <c:v>-4.7429477106491875E-2</c:v>
                </c:pt>
                <c:pt idx="63">
                  <c:v>-2.7436017089770399E-2</c:v>
                </c:pt>
                <c:pt idx="64">
                  <c:v>-7.4425570730489504E-3</c:v>
                </c:pt>
                <c:pt idx="65">
                  <c:v>1.2550902943672526E-2</c:v>
                </c:pt>
                <c:pt idx="66">
                  <c:v>3.2544362960393959E-2</c:v>
                </c:pt>
                <c:pt idx="67">
                  <c:v>5.253782297711538E-2</c:v>
                </c:pt>
                <c:pt idx="68">
                  <c:v>7.2531282993836876E-2</c:v>
                </c:pt>
                <c:pt idx="69">
                  <c:v>9.2524743010558297E-2</c:v>
                </c:pt>
                <c:pt idx="70">
                  <c:v>0.11251820302727979</c:v>
                </c:pt>
                <c:pt idx="71">
                  <c:v>0.13251166304400122</c:v>
                </c:pt>
                <c:pt idx="72">
                  <c:v>0.15250512306072264</c:v>
                </c:pt>
                <c:pt idx="73">
                  <c:v>0.17249858307744415</c:v>
                </c:pt>
                <c:pt idx="74">
                  <c:v>0.19249204309416562</c:v>
                </c:pt>
                <c:pt idx="75">
                  <c:v>0.2124855031108871</c:v>
                </c:pt>
                <c:pt idx="76">
                  <c:v>0.23247896312760846</c:v>
                </c:pt>
                <c:pt idx="77">
                  <c:v>0.25247242314432994</c:v>
                </c:pt>
                <c:pt idx="78">
                  <c:v>0.27246588316105141</c:v>
                </c:pt>
                <c:pt idx="79">
                  <c:v>0.29245934317777283</c:v>
                </c:pt>
                <c:pt idx="80">
                  <c:v>0.31245280319449431</c:v>
                </c:pt>
                <c:pt idx="81">
                  <c:v>0.33244626321121579</c:v>
                </c:pt>
                <c:pt idx="82">
                  <c:v>0.35243972322793726</c:v>
                </c:pt>
                <c:pt idx="83">
                  <c:v>0.37243318324465863</c:v>
                </c:pt>
                <c:pt idx="84">
                  <c:v>0.39242664326138016</c:v>
                </c:pt>
                <c:pt idx="85">
                  <c:v>0.41242010327810158</c:v>
                </c:pt>
                <c:pt idx="86">
                  <c:v>0.432413563294823</c:v>
                </c:pt>
                <c:pt idx="87">
                  <c:v>0.45240702331154448</c:v>
                </c:pt>
                <c:pt idx="88">
                  <c:v>0.47240048332826595</c:v>
                </c:pt>
                <c:pt idx="89">
                  <c:v>0.49239394334498743</c:v>
                </c:pt>
                <c:pt idx="90">
                  <c:v>0.51238740336170874</c:v>
                </c:pt>
                <c:pt idx="91">
                  <c:v>0.53238086337843027</c:v>
                </c:pt>
                <c:pt idx="92">
                  <c:v>0.5523743233951518</c:v>
                </c:pt>
                <c:pt idx="93">
                  <c:v>0.57236778341187322</c:v>
                </c:pt>
                <c:pt idx="94">
                  <c:v>0.59236124342859464</c:v>
                </c:pt>
                <c:pt idx="95">
                  <c:v>0.61235470344531606</c:v>
                </c:pt>
                <c:pt idx="96">
                  <c:v>-0.35583959595106457</c:v>
                </c:pt>
                <c:pt idx="97">
                  <c:v>-0.33584613593434315</c:v>
                </c:pt>
                <c:pt idx="98">
                  <c:v>-0.31585267591762173</c:v>
                </c:pt>
                <c:pt idx="99">
                  <c:v>-0.29585921590090031</c:v>
                </c:pt>
                <c:pt idx="100">
                  <c:v>-0.27586575588417878</c:v>
                </c:pt>
                <c:pt idx="101">
                  <c:v>-0.25587229586745736</c:v>
                </c:pt>
                <c:pt idx="102">
                  <c:v>-0.23587883585073591</c:v>
                </c:pt>
                <c:pt idx="103">
                  <c:v>-0.21588537583401443</c:v>
                </c:pt>
                <c:pt idx="104">
                  <c:v>-0.19589191581729296</c:v>
                </c:pt>
                <c:pt idx="105">
                  <c:v>-0.17589845580057153</c:v>
                </c:pt>
                <c:pt idx="106">
                  <c:v>-0.15590499578385006</c:v>
                </c:pt>
                <c:pt idx="107">
                  <c:v>-0.13591153576712861</c:v>
                </c:pt>
                <c:pt idx="108">
                  <c:v>-0.11591807575040716</c:v>
                </c:pt>
                <c:pt idx="109">
                  <c:v>-9.5924615733685686E-2</c:v>
                </c:pt>
                <c:pt idx="110">
                  <c:v>-7.5931155716964266E-2</c:v>
                </c:pt>
                <c:pt idx="111">
                  <c:v>-5.5937695700242797E-2</c:v>
                </c:pt>
                <c:pt idx="112">
                  <c:v>-3.5944235683521349E-2</c:v>
                </c:pt>
                <c:pt idx="113">
                  <c:v>-1.5950775666799873E-2</c:v>
                </c:pt>
                <c:pt idx="114">
                  <c:v>4.0426843499215626E-3</c:v>
                </c:pt>
                <c:pt idx="115">
                  <c:v>2.4036144366642982E-2</c:v>
                </c:pt>
                <c:pt idx="116">
                  <c:v>4.4029604383364472E-2</c:v>
                </c:pt>
                <c:pt idx="117">
                  <c:v>6.4023064400085899E-2</c:v>
                </c:pt>
                <c:pt idx="118">
                  <c:v>8.4016524416807389E-2</c:v>
                </c:pt>
                <c:pt idx="119">
                  <c:v>0.10400998443352882</c:v>
                </c:pt>
                <c:pt idx="120">
                  <c:v>0.12400344445025024</c:v>
                </c:pt>
                <c:pt idx="121">
                  <c:v>0.14399690446697172</c:v>
                </c:pt>
                <c:pt idx="122">
                  <c:v>0.16399036448369322</c:v>
                </c:pt>
                <c:pt idx="123">
                  <c:v>0.1839838245004147</c:v>
                </c:pt>
                <c:pt idx="124">
                  <c:v>0.20397728451713609</c:v>
                </c:pt>
                <c:pt idx="125">
                  <c:v>0.22397074453385757</c:v>
                </c:pt>
                <c:pt idx="126">
                  <c:v>0.24396420455057904</c:v>
                </c:pt>
                <c:pt idx="127">
                  <c:v>0.26395766456730041</c:v>
                </c:pt>
                <c:pt idx="128">
                  <c:v>-0.38434127456153699</c:v>
                </c:pt>
                <c:pt idx="129">
                  <c:v>-0.36434781454481557</c:v>
                </c:pt>
                <c:pt idx="130">
                  <c:v>-0.3443543545280941</c:v>
                </c:pt>
                <c:pt idx="131">
                  <c:v>-0.32436089451137268</c:v>
                </c:pt>
                <c:pt idx="132">
                  <c:v>-0.30436743449465115</c:v>
                </c:pt>
                <c:pt idx="133">
                  <c:v>-0.28437397447792973</c:v>
                </c:pt>
                <c:pt idx="134">
                  <c:v>-0.2643805144612083</c:v>
                </c:pt>
                <c:pt idx="135">
                  <c:v>-0.24438705444448683</c:v>
                </c:pt>
                <c:pt idx="136">
                  <c:v>-0.22439359442776535</c:v>
                </c:pt>
                <c:pt idx="137">
                  <c:v>-0.20440013441104393</c:v>
                </c:pt>
                <c:pt idx="138">
                  <c:v>-0.18440667439432246</c:v>
                </c:pt>
                <c:pt idx="139">
                  <c:v>-0.16441321437760104</c:v>
                </c:pt>
                <c:pt idx="140">
                  <c:v>-0.14441975436087956</c:v>
                </c:pt>
                <c:pt idx="141">
                  <c:v>-0.1244262943441581</c:v>
                </c:pt>
                <c:pt idx="142">
                  <c:v>-0.10443283432743668</c:v>
                </c:pt>
                <c:pt idx="143">
                  <c:v>-8.4439374310715201E-2</c:v>
                </c:pt>
                <c:pt idx="144">
                  <c:v>-6.4445914293993753E-2</c:v>
                </c:pt>
                <c:pt idx="145">
                  <c:v>-4.4452454277272284E-2</c:v>
                </c:pt>
                <c:pt idx="146">
                  <c:v>-2.445899426055085E-2</c:v>
                </c:pt>
                <c:pt idx="147">
                  <c:v>-4.4655342438294282E-3</c:v>
                </c:pt>
                <c:pt idx="148">
                  <c:v>1.5527925772892063E-2</c:v>
                </c:pt>
                <c:pt idx="149">
                  <c:v>3.5521385789613488E-2</c:v>
                </c:pt>
                <c:pt idx="150">
                  <c:v>5.5514845806334971E-2</c:v>
                </c:pt>
                <c:pt idx="151">
                  <c:v>7.5508305823056412E-2</c:v>
                </c:pt>
                <c:pt idx="152">
                  <c:v>-0.41284295317200942</c:v>
                </c:pt>
                <c:pt idx="153">
                  <c:v>-0.392849493155288</c:v>
                </c:pt>
                <c:pt idx="154">
                  <c:v>-0.37285603313856652</c:v>
                </c:pt>
                <c:pt idx="155">
                  <c:v>-0.3528625731218451</c:v>
                </c:pt>
                <c:pt idx="156">
                  <c:v>-0.33286911310512357</c:v>
                </c:pt>
                <c:pt idx="157">
                  <c:v>-0.31287565308840215</c:v>
                </c:pt>
                <c:pt idx="158">
                  <c:v>-0.29288219307168073</c:v>
                </c:pt>
                <c:pt idx="159">
                  <c:v>-0.27288873305495925</c:v>
                </c:pt>
                <c:pt idx="160">
                  <c:v>-0.25289527303823778</c:v>
                </c:pt>
                <c:pt idx="161">
                  <c:v>-0.23290181302151636</c:v>
                </c:pt>
                <c:pt idx="162">
                  <c:v>-0.21290835300479488</c:v>
                </c:pt>
                <c:pt idx="163">
                  <c:v>-0.19291489298807341</c:v>
                </c:pt>
                <c:pt idx="164">
                  <c:v>-0.17292143297135198</c:v>
                </c:pt>
                <c:pt idx="165">
                  <c:v>-0.15292797295463051</c:v>
                </c:pt>
                <c:pt idx="166">
                  <c:v>-0.13293451293790909</c:v>
                </c:pt>
                <c:pt idx="167">
                  <c:v>-0.1129410529211876</c:v>
                </c:pt>
                <c:pt idx="168">
                  <c:v>-9.294759290446615E-2</c:v>
                </c:pt>
                <c:pt idx="169">
                  <c:v>-7.2954132887744674E-2</c:v>
                </c:pt>
                <c:pt idx="170">
                  <c:v>-5.2960672871023247E-2</c:v>
                </c:pt>
                <c:pt idx="171">
                  <c:v>-0.44134463178248179</c:v>
                </c:pt>
                <c:pt idx="172">
                  <c:v>-0.42135117176576037</c:v>
                </c:pt>
                <c:pt idx="173">
                  <c:v>-0.40135771174903895</c:v>
                </c:pt>
                <c:pt idx="174">
                  <c:v>-0.38136425173231753</c:v>
                </c:pt>
                <c:pt idx="175">
                  <c:v>-0.361370791715596</c:v>
                </c:pt>
                <c:pt idx="176">
                  <c:v>-0.34137733169887458</c:v>
                </c:pt>
                <c:pt idx="177">
                  <c:v>-0.32138387168215315</c:v>
                </c:pt>
                <c:pt idx="178">
                  <c:v>-0.30139041166543162</c:v>
                </c:pt>
                <c:pt idx="179">
                  <c:v>-0.2813969516487102</c:v>
                </c:pt>
                <c:pt idx="180">
                  <c:v>-0.26140349163198878</c:v>
                </c:pt>
                <c:pt idx="181">
                  <c:v>-0.24141003161526728</c:v>
                </c:pt>
                <c:pt idx="182">
                  <c:v>-0.22141657159854583</c:v>
                </c:pt>
                <c:pt idx="183">
                  <c:v>-0.20142311158182438</c:v>
                </c:pt>
                <c:pt idx="184">
                  <c:v>-0.18142965156510291</c:v>
                </c:pt>
                <c:pt idx="185">
                  <c:v>-0.16143619154838149</c:v>
                </c:pt>
                <c:pt idx="186">
                  <c:v>-0.14144273153166001</c:v>
                </c:pt>
                <c:pt idx="187">
                  <c:v>-0.46984631039295421</c:v>
                </c:pt>
                <c:pt idx="188">
                  <c:v>-0.44985285037623279</c:v>
                </c:pt>
                <c:pt idx="189">
                  <c:v>-0.42985939035951132</c:v>
                </c:pt>
                <c:pt idx="190">
                  <c:v>-0.4098659303427899</c:v>
                </c:pt>
                <c:pt idx="191">
                  <c:v>-0.38987247032606837</c:v>
                </c:pt>
                <c:pt idx="192">
                  <c:v>-0.36987901030934695</c:v>
                </c:pt>
                <c:pt idx="193">
                  <c:v>-0.34988555029262552</c:v>
                </c:pt>
                <c:pt idx="194">
                  <c:v>-0.32989209027590405</c:v>
                </c:pt>
                <c:pt idx="195">
                  <c:v>-0.30989863025918257</c:v>
                </c:pt>
                <c:pt idx="196">
                  <c:v>-0.28990517024246115</c:v>
                </c:pt>
                <c:pt idx="197">
                  <c:v>-0.26991171022573968</c:v>
                </c:pt>
                <c:pt idx="198">
                  <c:v>-0.24991825020901823</c:v>
                </c:pt>
                <c:pt idx="199">
                  <c:v>-0.22992479019229678</c:v>
                </c:pt>
                <c:pt idx="200">
                  <c:v>-0.49834798900342664</c:v>
                </c:pt>
                <c:pt idx="201">
                  <c:v>-0.47835452898670522</c:v>
                </c:pt>
                <c:pt idx="202">
                  <c:v>-0.45836106896998374</c:v>
                </c:pt>
                <c:pt idx="203">
                  <c:v>-0.43836760895326232</c:v>
                </c:pt>
                <c:pt idx="204">
                  <c:v>-0.41837414893654079</c:v>
                </c:pt>
                <c:pt idx="205">
                  <c:v>-0.39838068891981937</c:v>
                </c:pt>
                <c:pt idx="206">
                  <c:v>-0.37838722890309795</c:v>
                </c:pt>
                <c:pt idx="207">
                  <c:v>-0.35839376888637647</c:v>
                </c:pt>
                <c:pt idx="208">
                  <c:v>-0.338400308869655</c:v>
                </c:pt>
                <c:pt idx="209">
                  <c:v>-0.31840684885293358</c:v>
                </c:pt>
                <c:pt idx="210">
                  <c:v>-0.2984133888362121</c:v>
                </c:pt>
                <c:pt idx="211">
                  <c:v>-0.27841992881949063</c:v>
                </c:pt>
                <c:pt idx="212">
                  <c:v>-0.52684966761389906</c:v>
                </c:pt>
                <c:pt idx="213">
                  <c:v>-0.50685620759717764</c:v>
                </c:pt>
                <c:pt idx="214">
                  <c:v>-0.48686274758045611</c:v>
                </c:pt>
                <c:pt idx="215">
                  <c:v>-0.46686928756373469</c:v>
                </c:pt>
                <c:pt idx="216">
                  <c:v>-0.44687582754701316</c:v>
                </c:pt>
                <c:pt idx="217">
                  <c:v>-0.42688236753029174</c:v>
                </c:pt>
                <c:pt idx="218">
                  <c:v>-0.40688890751357032</c:v>
                </c:pt>
                <c:pt idx="219">
                  <c:v>-0.38689544749684884</c:v>
                </c:pt>
                <c:pt idx="220">
                  <c:v>-0.36690198748012737</c:v>
                </c:pt>
                <c:pt idx="221">
                  <c:v>-0.34690852746340595</c:v>
                </c:pt>
                <c:pt idx="222">
                  <c:v>-0.55535134622437143</c:v>
                </c:pt>
                <c:pt idx="223">
                  <c:v>-0.53535788620765001</c:v>
                </c:pt>
                <c:pt idx="224">
                  <c:v>-0.51536442619092859</c:v>
                </c:pt>
                <c:pt idx="225">
                  <c:v>-0.49537096617420712</c:v>
                </c:pt>
                <c:pt idx="226">
                  <c:v>-0.47537750615748559</c:v>
                </c:pt>
                <c:pt idx="227">
                  <c:v>-0.45538404614076416</c:v>
                </c:pt>
                <c:pt idx="228">
                  <c:v>-0.43539058612404274</c:v>
                </c:pt>
                <c:pt idx="229">
                  <c:v>-0.41539712610732127</c:v>
                </c:pt>
                <c:pt idx="230">
                  <c:v>-0.39540366609059979</c:v>
                </c:pt>
                <c:pt idx="231">
                  <c:v>-0.58385302483484391</c:v>
                </c:pt>
                <c:pt idx="232">
                  <c:v>-0.56385956481812249</c:v>
                </c:pt>
                <c:pt idx="233">
                  <c:v>-0.54386610480140096</c:v>
                </c:pt>
                <c:pt idx="234">
                  <c:v>-0.52387264478467954</c:v>
                </c:pt>
                <c:pt idx="235">
                  <c:v>-0.50387918476795801</c:v>
                </c:pt>
                <c:pt idx="236">
                  <c:v>-0.48388572475123653</c:v>
                </c:pt>
                <c:pt idx="237">
                  <c:v>-0.46389226473451511</c:v>
                </c:pt>
                <c:pt idx="238">
                  <c:v>-0.44389880471779369</c:v>
                </c:pt>
                <c:pt idx="239">
                  <c:v>-0.61235470344531628</c:v>
                </c:pt>
                <c:pt idx="240">
                  <c:v>-0.59236124342859486</c:v>
                </c:pt>
                <c:pt idx="241">
                  <c:v>-0.57236778341187333</c:v>
                </c:pt>
                <c:pt idx="242">
                  <c:v>-0.55237432339515191</c:v>
                </c:pt>
                <c:pt idx="243">
                  <c:v>-0.53238086337843038</c:v>
                </c:pt>
                <c:pt idx="244">
                  <c:v>-0.51238740336170896</c:v>
                </c:pt>
                <c:pt idx="245">
                  <c:v>-0.49239394334498748</c:v>
                </c:pt>
                <c:pt idx="246">
                  <c:v>-0.47240048332826606</c:v>
                </c:pt>
                <c:pt idx="247">
                  <c:v>-0.64085638205578865</c:v>
                </c:pt>
                <c:pt idx="248">
                  <c:v>-0.34398947268019242</c:v>
                </c:pt>
                <c:pt idx="249">
                  <c:v>-0.32399601266347094</c:v>
                </c:pt>
                <c:pt idx="250">
                  <c:v>-0.30400255264674952</c:v>
                </c:pt>
                <c:pt idx="251">
                  <c:v>-0.28400909263002799</c:v>
                </c:pt>
                <c:pt idx="252">
                  <c:v>-0.26401563261330657</c:v>
                </c:pt>
                <c:pt idx="253">
                  <c:v>-0.24402217259658515</c:v>
                </c:pt>
                <c:pt idx="254">
                  <c:v>-0.36941182386081334</c:v>
                </c:pt>
                <c:pt idx="255">
                  <c:v>-0.34941836384409192</c:v>
                </c:pt>
                <c:pt idx="256">
                  <c:v>-0.3294249038273705</c:v>
                </c:pt>
                <c:pt idx="257">
                  <c:v>-0.30943144381064908</c:v>
                </c:pt>
                <c:pt idx="258">
                  <c:v>-0.28943798379392754</c:v>
                </c:pt>
                <c:pt idx="259">
                  <c:v>-0.26944452377720612</c:v>
                </c:pt>
                <c:pt idx="260">
                  <c:v>-0.37484071502471289</c:v>
                </c:pt>
                <c:pt idx="261">
                  <c:v>-0.35484725500799147</c:v>
                </c:pt>
                <c:pt idx="262">
                  <c:v>-0.33485379499126999</c:v>
                </c:pt>
                <c:pt idx="263">
                  <c:v>-0.31486033497454857</c:v>
                </c:pt>
                <c:pt idx="264">
                  <c:v>-0.29486687495782704</c:v>
                </c:pt>
                <c:pt idx="265">
                  <c:v>-0.27487341494110562</c:v>
                </c:pt>
                <c:pt idx="266">
                  <c:v>-0.38026960618861239</c:v>
                </c:pt>
                <c:pt idx="267">
                  <c:v>-0.36027614617189097</c:v>
                </c:pt>
                <c:pt idx="268">
                  <c:v>-0.34028268615516949</c:v>
                </c:pt>
                <c:pt idx="269">
                  <c:v>-0.32028922613844807</c:v>
                </c:pt>
                <c:pt idx="270">
                  <c:v>-0.30029576612172654</c:v>
                </c:pt>
                <c:pt idx="271">
                  <c:v>-0.28030230610500512</c:v>
                </c:pt>
                <c:pt idx="272">
                  <c:v>-0.38569849735251188</c:v>
                </c:pt>
                <c:pt idx="273">
                  <c:v>-0.36570503733579046</c:v>
                </c:pt>
                <c:pt idx="274">
                  <c:v>-0.34571157731906899</c:v>
                </c:pt>
                <c:pt idx="275">
                  <c:v>-0.32571811730234757</c:v>
                </c:pt>
                <c:pt idx="276">
                  <c:v>-0.30572465728562603</c:v>
                </c:pt>
                <c:pt idx="277">
                  <c:v>-0.39112738851641138</c:v>
                </c:pt>
                <c:pt idx="278">
                  <c:v>-0.37113392849968996</c:v>
                </c:pt>
                <c:pt idx="279">
                  <c:v>-0.35114046848296848</c:v>
                </c:pt>
                <c:pt idx="280">
                  <c:v>-0.33114700846624706</c:v>
                </c:pt>
                <c:pt idx="281">
                  <c:v>-0.31115354844952553</c:v>
                </c:pt>
                <c:pt idx="282">
                  <c:v>-0.39655627968031087</c:v>
                </c:pt>
                <c:pt idx="283">
                  <c:v>-0.37656281966358945</c:v>
                </c:pt>
                <c:pt idx="284">
                  <c:v>-0.35656935964686798</c:v>
                </c:pt>
                <c:pt idx="285">
                  <c:v>-0.33657589963014656</c:v>
                </c:pt>
                <c:pt idx="286">
                  <c:v>-0.31658243961342503</c:v>
                </c:pt>
                <c:pt idx="287">
                  <c:v>-0.40198517084421043</c:v>
                </c:pt>
                <c:pt idx="288">
                  <c:v>-0.38199171082748901</c:v>
                </c:pt>
                <c:pt idx="289">
                  <c:v>-0.36199825081076747</c:v>
                </c:pt>
                <c:pt idx="290">
                  <c:v>-0.34200479079404605</c:v>
                </c:pt>
                <c:pt idx="291">
                  <c:v>-0.40741406200810992</c:v>
                </c:pt>
                <c:pt idx="292">
                  <c:v>-0.3874206019913885</c:v>
                </c:pt>
                <c:pt idx="293">
                  <c:v>-0.36742714197466703</c:v>
                </c:pt>
                <c:pt idx="294">
                  <c:v>-0.34743368195794561</c:v>
                </c:pt>
                <c:pt idx="295">
                  <c:v>-0.41284295317200942</c:v>
                </c:pt>
                <c:pt idx="296">
                  <c:v>-0.392849493155288</c:v>
                </c:pt>
                <c:pt idx="297">
                  <c:v>-0.37285603313856652</c:v>
                </c:pt>
                <c:pt idx="298">
                  <c:v>-0.3528625731218451</c:v>
                </c:pt>
                <c:pt idx="299">
                  <c:v>-0.41827184433590892</c:v>
                </c:pt>
                <c:pt idx="300">
                  <c:v>-0.3982783843191875</c:v>
                </c:pt>
                <c:pt idx="301">
                  <c:v>-0.37828492430246602</c:v>
                </c:pt>
                <c:pt idx="302">
                  <c:v>-0.3582914642857446</c:v>
                </c:pt>
                <c:pt idx="303">
                  <c:v>-0.42370073549980841</c:v>
                </c:pt>
                <c:pt idx="304">
                  <c:v>-0.40370727548308699</c:v>
                </c:pt>
                <c:pt idx="305">
                  <c:v>-0.38371381546636552</c:v>
                </c:pt>
                <c:pt idx="306">
                  <c:v>-0.36372035544964409</c:v>
                </c:pt>
                <c:pt idx="307">
                  <c:v>-0.42912962666370791</c:v>
                </c:pt>
                <c:pt idx="308">
                  <c:v>-0.40913616664698649</c:v>
                </c:pt>
                <c:pt idx="309">
                  <c:v>-0.38914270663026501</c:v>
                </c:pt>
                <c:pt idx="310">
                  <c:v>-0.4345585178276074</c:v>
                </c:pt>
                <c:pt idx="311">
                  <c:v>-0.41456505781088598</c:v>
                </c:pt>
                <c:pt idx="312">
                  <c:v>-0.39457159779416451</c:v>
                </c:pt>
                <c:pt idx="313">
                  <c:v>-0.43998740899150696</c:v>
                </c:pt>
                <c:pt idx="314">
                  <c:v>-0.41999394897478554</c:v>
                </c:pt>
                <c:pt idx="315">
                  <c:v>-0.400000488958064</c:v>
                </c:pt>
                <c:pt idx="316">
                  <c:v>-0.44541630015540645</c:v>
                </c:pt>
                <c:pt idx="317">
                  <c:v>-0.42542284013868503</c:v>
                </c:pt>
                <c:pt idx="318">
                  <c:v>-0.40542938012196356</c:v>
                </c:pt>
                <c:pt idx="319">
                  <c:v>-0.45084519131930595</c:v>
                </c:pt>
                <c:pt idx="320">
                  <c:v>-0.43085173130258453</c:v>
                </c:pt>
                <c:pt idx="321">
                  <c:v>-0.41085827128586305</c:v>
                </c:pt>
                <c:pt idx="322">
                  <c:v>-0.45627408248320545</c:v>
                </c:pt>
                <c:pt idx="323">
                  <c:v>-0.43628062246648402</c:v>
                </c:pt>
                <c:pt idx="324">
                  <c:v>-0.41628716244976255</c:v>
                </c:pt>
                <c:pt idx="325">
                  <c:v>-0.46170297364710494</c:v>
                </c:pt>
                <c:pt idx="326">
                  <c:v>-0.44170951363038352</c:v>
                </c:pt>
                <c:pt idx="327">
                  <c:v>-0.42171605361366205</c:v>
                </c:pt>
                <c:pt idx="328">
                  <c:v>-0.46713186481100444</c:v>
                </c:pt>
                <c:pt idx="329">
                  <c:v>-0.44713840479428302</c:v>
                </c:pt>
                <c:pt idx="330">
                  <c:v>-0.42714494477756154</c:v>
                </c:pt>
                <c:pt idx="331">
                  <c:v>-0.47256075597490393</c:v>
                </c:pt>
                <c:pt idx="332">
                  <c:v>-0.45256729595818251</c:v>
                </c:pt>
                <c:pt idx="333">
                  <c:v>-0.47798964713880349</c:v>
                </c:pt>
                <c:pt idx="334">
                  <c:v>-0.45799618712208207</c:v>
                </c:pt>
                <c:pt idx="335">
                  <c:v>-0.48341853830270298</c:v>
                </c:pt>
                <c:pt idx="336">
                  <c:v>-0.46342507828598156</c:v>
                </c:pt>
                <c:pt idx="337">
                  <c:v>-0.48884742946660248</c:v>
                </c:pt>
                <c:pt idx="338">
                  <c:v>-0.46885396944988106</c:v>
                </c:pt>
                <c:pt idx="339">
                  <c:v>-0.49427632063050198</c:v>
                </c:pt>
                <c:pt idx="340">
                  <c:v>-0.47428286061378055</c:v>
                </c:pt>
                <c:pt idx="341">
                  <c:v>-0.49970521179440147</c:v>
                </c:pt>
                <c:pt idx="342">
                  <c:v>-0.47971175177768005</c:v>
                </c:pt>
                <c:pt idx="343">
                  <c:v>-0.50513410295830108</c:v>
                </c:pt>
                <c:pt idx="344">
                  <c:v>-0.48514064294157955</c:v>
                </c:pt>
                <c:pt idx="345">
                  <c:v>-0.51056299412220052</c:v>
                </c:pt>
                <c:pt idx="346">
                  <c:v>-0.4905695341054791</c:v>
                </c:pt>
                <c:pt idx="347">
                  <c:v>-0.51599188528610007</c:v>
                </c:pt>
                <c:pt idx="348">
                  <c:v>-0.4959984252693786</c:v>
                </c:pt>
                <c:pt idx="349">
                  <c:v>-0.52142077644999962</c:v>
                </c:pt>
                <c:pt idx="350">
                  <c:v>-0.5014273164332782</c:v>
                </c:pt>
                <c:pt idx="351">
                  <c:v>-0.52684966761389906</c:v>
                </c:pt>
                <c:pt idx="352">
                  <c:v>-0.50685620759717764</c:v>
                </c:pt>
                <c:pt idx="353">
                  <c:v>-0.53227855877779862</c:v>
                </c:pt>
                <c:pt idx="354">
                  <c:v>-0.5122850987610772</c:v>
                </c:pt>
                <c:pt idx="355">
                  <c:v>-0.53770744994169806</c:v>
                </c:pt>
                <c:pt idx="356">
                  <c:v>-0.51771398992497664</c:v>
                </c:pt>
                <c:pt idx="357">
                  <c:v>-0.54313634110559761</c:v>
                </c:pt>
                <c:pt idx="358">
                  <c:v>-0.52314288108887619</c:v>
                </c:pt>
                <c:pt idx="359">
                  <c:v>-0.54856523226949705</c:v>
                </c:pt>
                <c:pt idx="360">
                  <c:v>-0.52857177225277563</c:v>
                </c:pt>
                <c:pt idx="361">
                  <c:v>-0.5539941234333966</c:v>
                </c:pt>
                <c:pt idx="362">
                  <c:v>-0.53400066341667518</c:v>
                </c:pt>
                <c:pt idx="363">
                  <c:v>-0.55942301459729604</c:v>
                </c:pt>
                <c:pt idx="364">
                  <c:v>-0.56485190576119559</c:v>
                </c:pt>
                <c:pt idx="365">
                  <c:v>-0.57028079692509515</c:v>
                </c:pt>
                <c:pt idx="366">
                  <c:v>-0.57570968808899459</c:v>
                </c:pt>
                <c:pt idx="367">
                  <c:v>-0.58113857925289414</c:v>
                </c:pt>
                <c:pt idx="368">
                  <c:v>-0.58656747041679369</c:v>
                </c:pt>
                <c:pt idx="369">
                  <c:v>-0.59199636158069313</c:v>
                </c:pt>
                <c:pt idx="370">
                  <c:v>-0.59742525274459268</c:v>
                </c:pt>
                <c:pt idx="371">
                  <c:v>-0.60285414390849212</c:v>
                </c:pt>
                <c:pt idx="372">
                  <c:v>-0.60828303507239168</c:v>
                </c:pt>
                <c:pt idx="373">
                  <c:v>-0.61371192623629112</c:v>
                </c:pt>
                <c:pt idx="374">
                  <c:v>-0.61914081740019067</c:v>
                </c:pt>
                <c:pt idx="375">
                  <c:v>-0.62456970856409011</c:v>
                </c:pt>
                <c:pt idx="376">
                  <c:v>-0.62999859972798966</c:v>
                </c:pt>
                <c:pt idx="377">
                  <c:v>-0.63542749089188921</c:v>
                </c:pt>
                <c:pt idx="378">
                  <c:v>-0.64085638205578865</c:v>
                </c:pt>
              </c:numCache>
            </c:numRef>
          </c:xVal>
          <c:yVal>
            <c:numRef>
              <c:f>plot!$R$33:$R$411</c:f>
              <c:numCache>
                <c:formatCode>General</c:formatCode>
                <c:ptCount val="379"/>
                <c:pt idx="0">
                  <c:v>-0.11258451086432519</c:v>
                </c:pt>
                <c:pt idx="1">
                  <c:v>-0.1162230230273642</c:v>
                </c:pt>
                <c:pt idx="2">
                  <c:v>-0.11986153519040327</c:v>
                </c:pt>
                <c:pt idx="3">
                  <c:v>-0.12350004735344228</c:v>
                </c:pt>
                <c:pt idx="4">
                  <c:v>-0.12713855951648129</c:v>
                </c:pt>
                <c:pt idx="5">
                  <c:v>-0.13077707167952035</c:v>
                </c:pt>
                <c:pt idx="6">
                  <c:v>-0.13441558384255936</c:v>
                </c:pt>
                <c:pt idx="7">
                  <c:v>-0.13805409600559843</c:v>
                </c:pt>
                <c:pt idx="8">
                  <c:v>-0.14169260816863744</c:v>
                </c:pt>
                <c:pt idx="9">
                  <c:v>-0.14533112033167644</c:v>
                </c:pt>
                <c:pt idx="10">
                  <c:v>-0.14896963249471551</c:v>
                </c:pt>
                <c:pt idx="11">
                  <c:v>-0.15260814465775452</c:v>
                </c:pt>
                <c:pt idx="12">
                  <c:v>-0.15624665682079358</c:v>
                </c:pt>
                <c:pt idx="13">
                  <c:v>-0.15988516898383259</c:v>
                </c:pt>
                <c:pt idx="14">
                  <c:v>-0.1635236811468716</c:v>
                </c:pt>
                <c:pt idx="15">
                  <c:v>-0.16716219330991067</c:v>
                </c:pt>
                <c:pt idx="16">
                  <c:v>-0.17080070547294968</c:v>
                </c:pt>
                <c:pt idx="17">
                  <c:v>-0.17443921763598874</c:v>
                </c:pt>
                <c:pt idx="18">
                  <c:v>-0.17807772979902775</c:v>
                </c:pt>
                <c:pt idx="19">
                  <c:v>-0.18171624196206676</c:v>
                </c:pt>
                <c:pt idx="20">
                  <c:v>-0.1853547541251058</c:v>
                </c:pt>
                <c:pt idx="21">
                  <c:v>-0.18899326628814483</c:v>
                </c:pt>
                <c:pt idx="22">
                  <c:v>-0.19263177845118387</c:v>
                </c:pt>
                <c:pt idx="23">
                  <c:v>-0.19627029061422291</c:v>
                </c:pt>
                <c:pt idx="24">
                  <c:v>-0.19990880277726192</c:v>
                </c:pt>
                <c:pt idx="25">
                  <c:v>-0.20354731494030096</c:v>
                </c:pt>
                <c:pt idx="26">
                  <c:v>-0.20718582710333999</c:v>
                </c:pt>
                <c:pt idx="27">
                  <c:v>-0.21082433926637903</c:v>
                </c:pt>
                <c:pt idx="28">
                  <c:v>-0.21446285142941804</c:v>
                </c:pt>
                <c:pt idx="29">
                  <c:v>-0.21810136359245708</c:v>
                </c:pt>
                <c:pt idx="30">
                  <c:v>-0.22173987575549611</c:v>
                </c:pt>
                <c:pt idx="31">
                  <c:v>-0.22537838791853515</c:v>
                </c:pt>
                <c:pt idx="32">
                  <c:v>-0.22901690008157416</c:v>
                </c:pt>
                <c:pt idx="33">
                  <c:v>-0.2326554122446132</c:v>
                </c:pt>
                <c:pt idx="34">
                  <c:v>-0.23629392440765223</c:v>
                </c:pt>
                <c:pt idx="35">
                  <c:v>-0.23993243657069124</c:v>
                </c:pt>
                <c:pt idx="36">
                  <c:v>-0.24357094873373031</c:v>
                </c:pt>
                <c:pt idx="37">
                  <c:v>-0.24720946089676932</c:v>
                </c:pt>
                <c:pt idx="38">
                  <c:v>-0.25084797305980833</c:v>
                </c:pt>
                <c:pt idx="39">
                  <c:v>-0.25448648522284739</c:v>
                </c:pt>
                <c:pt idx="40">
                  <c:v>-0.25812499738588646</c:v>
                </c:pt>
                <c:pt idx="41">
                  <c:v>-0.26176350954892547</c:v>
                </c:pt>
                <c:pt idx="42">
                  <c:v>-0.26540202171196448</c:v>
                </c:pt>
                <c:pt idx="43">
                  <c:v>-0.26904053387500348</c:v>
                </c:pt>
                <c:pt idx="44">
                  <c:v>-0.27267904603804255</c:v>
                </c:pt>
                <c:pt idx="45">
                  <c:v>-0.27631755820108161</c:v>
                </c:pt>
                <c:pt idx="46">
                  <c:v>-0.27995607036412062</c:v>
                </c:pt>
                <c:pt idx="47">
                  <c:v>-0.28359458252715963</c:v>
                </c:pt>
                <c:pt idx="48">
                  <c:v>-0.15173837006373797</c:v>
                </c:pt>
                <c:pt idx="49">
                  <c:v>-0.15537688222677704</c:v>
                </c:pt>
                <c:pt idx="50">
                  <c:v>-0.15901539438981604</c:v>
                </c:pt>
                <c:pt idx="51">
                  <c:v>-0.16265390655285511</c:v>
                </c:pt>
                <c:pt idx="52">
                  <c:v>-0.16629241871589412</c:v>
                </c:pt>
                <c:pt idx="53">
                  <c:v>-0.16993093087893313</c:v>
                </c:pt>
                <c:pt idx="54">
                  <c:v>-0.17356944304197219</c:v>
                </c:pt>
                <c:pt idx="55">
                  <c:v>-0.1772079552050112</c:v>
                </c:pt>
                <c:pt idx="56">
                  <c:v>-0.18084646736805027</c:v>
                </c:pt>
                <c:pt idx="57">
                  <c:v>-0.18448497953108928</c:v>
                </c:pt>
                <c:pt idx="58">
                  <c:v>-0.18812349169412829</c:v>
                </c:pt>
                <c:pt idx="59">
                  <c:v>-0.19176200385716735</c:v>
                </c:pt>
                <c:pt idx="60">
                  <c:v>-0.19540051602020636</c:v>
                </c:pt>
                <c:pt idx="61">
                  <c:v>-0.1990390281832454</c:v>
                </c:pt>
                <c:pt idx="62">
                  <c:v>-0.20267754034628443</c:v>
                </c:pt>
                <c:pt idx="63">
                  <c:v>-0.20631605250932347</c:v>
                </c:pt>
                <c:pt idx="64">
                  <c:v>-0.20995456467236248</c:v>
                </c:pt>
                <c:pt idx="65">
                  <c:v>-0.21359307683540152</c:v>
                </c:pt>
                <c:pt idx="66">
                  <c:v>-0.21723158899844056</c:v>
                </c:pt>
                <c:pt idx="67">
                  <c:v>-0.22087010116147957</c:v>
                </c:pt>
                <c:pt idx="68">
                  <c:v>-0.2245086133245186</c:v>
                </c:pt>
                <c:pt idx="69">
                  <c:v>-0.22814712548755764</c:v>
                </c:pt>
                <c:pt idx="70">
                  <c:v>-0.23178563765059668</c:v>
                </c:pt>
                <c:pt idx="71">
                  <c:v>-0.23542414981363571</c:v>
                </c:pt>
                <c:pt idx="72">
                  <c:v>-0.23906266197667472</c:v>
                </c:pt>
                <c:pt idx="73">
                  <c:v>-0.24270117413971376</c:v>
                </c:pt>
                <c:pt idx="74">
                  <c:v>-0.2463396863027528</c:v>
                </c:pt>
                <c:pt idx="75">
                  <c:v>-0.24997819846579183</c:v>
                </c:pt>
                <c:pt idx="76">
                  <c:v>-0.25361671062883084</c:v>
                </c:pt>
                <c:pt idx="77">
                  <c:v>-0.25725522279186985</c:v>
                </c:pt>
                <c:pt idx="78">
                  <c:v>-0.26089373495490892</c:v>
                </c:pt>
                <c:pt idx="79">
                  <c:v>-0.26453224711794793</c:v>
                </c:pt>
                <c:pt idx="80">
                  <c:v>-0.26817075928098699</c:v>
                </c:pt>
                <c:pt idx="81">
                  <c:v>-0.271809271444026</c:v>
                </c:pt>
                <c:pt idx="82">
                  <c:v>-0.27544778360706501</c:v>
                </c:pt>
                <c:pt idx="83">
                  <c:v>-0.27908629577010408</c:v>
                </c:pt>
                <c:pt idx="84">
                  <c:v>-0.28272480793314309</c:v>
                </c:pt>
                <c:pt idx="85">
                  <c:v>-0.28636332009618215</c:v>
                </c:pt>
                <c:pt idx="86">
                  <c:v>-0.29000183225922116</c:v>
                </c:pt>
                <c:pt idx="87">
                  <c:v>-0.29364034442226017</c:v>
                </c:pt>
                <c:pt idx="88">
                  <c:v>-0.29727885658529923</c:v>
                </c:pt>
                <c:pt idx="89">
                  <c:v>-0.30091736874833824</c:v>
                </c:pt>
                <c:pt idx="90">
                  <c:v>-0.30455588091137731</c:v>
                </c:pt>
                <c:pt idx="91">
                  <c:v>-0.30819439307441632</c:v>
                </c:pt>
                <c:pt idx="92">
                  <c:v>-0.31183290523745533</c:v>
                </c:pt>
                <c:pt idx="93">
                  <c:v>-0.31547141740049439</c:v>
                </c:pt>
                <c:pt idx="94">
                  <c:v>-0.3191099295635334</c:v>
                </c:pt>
                <c:pt idx="95">
                  <c:v>-0.32274844172657247</c:v>
                </c:pt>
                <c:pt idx="96">
                  <c:v>-0.19089222926315083</c:v>
                </c:pt>
                <c:pt idx="97">
                  <c:v>-0.19453074142618987</c:v>
                </c:pt>
                <c:pt idx="98">
                  <c:v>-0.19816925358922888</c:v>
                </c:pt>
                <c:pt idx="99">
                  <c:v>-0.20180776575226791</c:v>
                </c:pt>
                <c:pt idx="100">
                  <c:v>-0.20544627791530695</c:v>
                </c:pt>
                <c:pt idx="101">
                  <c:v>-0.20908479007834596</c:v>
                </c:pt>
                <c:pt idx="102">
                  <c:v>-0.21272330224138503</c:v>
                </c:pt>
                <c:pt idx="103">
                  <c:v>-0.21636181440442404</c:v>
                </c:pt>
                <c:pt idx="104">
                  <c:v>-0.22000032656746307</c:v>
                </c:pt>
                <c:pt idx="105">
                  <c:v>-0.22363883873050211</c:v>
                </c:pt>
                <c:pt idx="106">
                  <c:v>-0.22727735089354112</c:v>
                </c:pt>
                <c:pt idx="107">
                  <c:v>-0.23091586305658018</c:v>
                </c:pt>
                <c:pt idx="108">
                  <c:v>-0.23455437521961919</c:v>
                </c:pt>
                <c:pt idx="109">
                  <c:v>-0.23819288738265823</c:v>
                </c:pt>
                <c:pt idx="110">
                  <c:v>-0.24183139954569727</c:v>
                </c:pt>
                <c:pt idx="111">
                  <c:v>-0.2454699117087363</c:v>
                </c:pt>
                <c:pt idx="112">
                  <c:v>-0.24910842387177531</c:v>
                </c:pt>
                <c:pt idx="113">
                  <c:v>-0.25274693603481435</c:v>
                </c:pt>
                <c:pt idx="114">
                  <c:v>-0.25638544819785336</c:v>
                </c:pt>
                <c:pt idx="115">
                  <c:v>-0.26002396036089237</c:v>
                </c:pt>
                <c:pt idx="116">
                  <c:v>-0.26366247252393143</c:v>
                </c:pt>
                <c:pt idx="117">
                  <c:v>-0.2673009846869705</c:v>
                </c:pt>
                <c:pt idx="118">
                  <c:v>-0.27093949685000951</c:v>
                </c:pt>
                <c:pt idx="119">
                  <c:v>-0.27457800901304852</c:v>
                </c:pt>
                <c:pt idx="120">
                  <c:v>-0.27821652117608753</c:v>
                </c:pt>
                <c:pt idx="121">
                  <c:v>-0.28185503333912659</c:v>
                </c:pt>
                <c:pt idx="122">
                  <c:v>-0.28549354550216566</c:v>
                </c:pt>
                <c:pt idx="123">
                  <c:v>-0.28913205766520467</c:v>
                </c:pt>
                <c:pt idx="124">
                  <c:v>-0.29277056982824368</c:v>
                </c:pt>
                <c:pt idx="125">
                  <c:v>-0.29640908199128269</c:v>
                </c:pt>
                <c:pt idx="126">
                  <c:v>-0.30004759415432175</c:v>
                </c:pt>
                <c:pt idx="127">
                  <c:v>-0.30368610631736076</c:v>
                </c:pt>
                <c:pt idx="128">
                  <c:v>-0.23004608846256366</c:v>
                </c:pt>
                <c:pt idx="129">
                  <c:v>-0.2336846006256027</c:v>
                </c:pt>
                <c:pt idx="130">
                  <c:v>-0.23732311278864171</c:v>
                </c:pt>
                <c:pt idx="131">
                  <c:v>-0.24096162495168075</c:v>
                </c:pt>
                <c:pt idx="132">
                  <c:v>-0.24460013711471978</c:v>
                </c:pt>
                <c:pt idx="133">
                  <c:v>-0.24823864927775879</c:v>
                </c:pt>
                <c:pt idx="134">
                  <c:v>-0.25187716144079786</c:v>
                </c:pt>
                <c:pt idx="135">
                  <c:v>-0.25551567360383687</c:v>
                </c:pt>
                <c:pt idx="136">
                  <c:v>-0.25915418576687588</c:v>
                </c:pt>
                <c:pt idx="137">
                  <c:v>-0.26279269792991494</c:v>
                </c:pt>
                <c:pt idx="138">
                  <c:v>-0.26643121009295395</c:v>
                </c:pt>
                <c:pt idx="139">
                  <c:v>-0.27006972225599302</c:v>
                </c:pt>
                <c:pt idx="140">
                  <c:v>-0.27370823441903203</c:v>
                </c:pt>
                <c:pt idx="141">
                  <c:v>-0.27734674658207104</c:v>
                </c:pt>
                <c:pt idx="142">
                  <c:v>-0.2809852587451101</c:v>
                </c:pt>
                <c:pt idx="143">
                  <c:v>-0.28462377090814917</c:v>
                </c:pt>
                <c:pt idx="144">
                  <c:v>-0.28826228307118817</c:v>
                </c:pt>
                <c:pt idx="145">
                  <c:v>-0.29190079523422718</c:v>
                </c:pt>
                <c:pt idx="146">
                  <c:v>-0.29553930739726619</c:v>
                </c:pt>
                <c:pt idx="147">
                  <c:v>-0.2991778195603052</c:v>
                </c:pt>
                <c:pt idx="148">
                  <c:v>-0.30281633172334427</c:v>
                </c:pt>
                <c:pt idx="149">
                  <c:v>-0.30645484388638333</c:v>
                </c:pt>
                <c:pt idx="150">
                  <c:v>-0.31009335604942234</c:v>
                </c:pt>
                <c:pt idx="151">
                  <c:v>-0.31373186821246135</c:v>
                </c:pt>
                <c:pt idx="152">
                  <c:v>-0.26919994766197647</c:v>
                </c:pt>
                <c:pt idx="153">
                  <c:v>-0.27283845982501553</c:v>
                </c:pt>
                <c:pt idx="154">
                  <c:v>-0.27647697198805454</c:v>
                </c:pt>
                <c:pt idx="155">
                  <c:v>-0.28011548415109355</c:v>
                </c:pt>
                <c:pt idx="156">
                  <c:v>-0.28375399631413262</c:v>
                </c:pt>
                <c:pt idx="157">
                  <c:v>-0.28739250847717163</c:v>
                </c:pt>
                <c:pt idx="158">
                  <c:v>-0.29103102064021069</c:v>
                </c:pt>
                <c:pt idx="159">
                  <c:v>-0.2946695328032497</c:v>
                </c:pt>
                <c:pt idx="160">
                  <c:v>-0.29830804496628871</c:v>
                </c:pt>
                <c:pt idx="161">
                  <c:v>-0.30194655712932778</c:v>
                </c:pt>
                <c:pt idx="162">
                  <c:v>-0.30558506929236678</c:v>
                </c:pt>
                <c:pt idx="163">
                  <c:v>-0.30922358145540585</c:v>
                </c:pt>
                <c:pt idx="164">
                  <c:v>-0.31286209361844486</c:v>
                </c:pt>
                <c:pt idx="165">
                  <c:v>-0.31650060578148387</c:v>
                </c:pt>
                <c:pt idx="166">
                  <c:v>-0.32013911794452288</c:v>
                </c:pt>
                <c:pt idx="167">
                  <c:v>-0.32377763010756194</c:v>
                </c:pt>
                <c:pt idx="168">
                  <c:v>-0.32741614227060101</c:v>
                </c:pt>
                <c:pt idx="169">
                  <c:v>-0.33105465443364002</c:v>
                </c:pt>
                <c:pt idx="170">
                  <c:v>-0.33469316659667903</c:v>
                </c:pt>
                <c:pt idx="171">
                  <c:v>-0.30835380686138936</c:v>
                </c:pt>
                <c:pt idx="172">
                  <c:v>-0.31199231902442837</c:v>
                </c:pt>
                <c:pt idx="173">
                  <c:v>-0.31563083118746738</c:v>
                </c:pt>
                <c:pt idx="174">
                  <c:v>-0.31926934335050638</c:v>
                </c:pt>
                <c:pt idx="175">
                  <c:v>-0.32290785551354545</c:v>
                </c:pt>
                <c:pt idx="176">
                  <c:v>-0.32654636767658446</c:v>
                </c:pt>
                <c:pt idx="177">
                  <c:v>-0.33018487983962352</c:v>
                </c:pt>
                <c:pt idx="178">
                  <c:v>-0.33382339200266253</c:v>
                </c:pt>
                <c:pt idx="179">
                  <c:v>-0.33746190416570154</c:v>
                </c:pt>
                <c:pt idx="180">
                  <c:v>-0.34110041632874061</c:v>
                </c:pt>
                <c:pt idx="181">
                  <c:v>-0.34473892849177962</c:v>
                </c:pt>
                <c:pt idx="182">
                  <c:v>-0.34837744065481868</c:v>
                </c:pt>
                <c:pt idx="183">
                  <c:v>-0.35201595281785769</c:v>
                </c:pt>
                <c:pt idx="184">
                  <c:v>-0.3556544649808967</c:v>
                </c:pt>
                <c:pt idx="185">
                  <c:v>-0.35929297714393577</c:v>
                </c:pt>
                <c:pt idx="186">
                  <c:v>-0.36293148930697477</c:v>
                </c:pt>
                <c:pt idx="187">
                  <c:v>-0.34750766606080213</c:v>
                </c:pt>
                <c:pt idx="188">
                  <c:v>-0.35114617822384114</c:v>
                </c:pt>
                <c:pt idx="189">
                  <c:v>-0.35478469038688021</c:v>
                </c:pt>
                <c:pt idx="190">
                  <c:v>-0.35842320254991922</c:v>
                </c:pt>
                <c:pt idx="191">
                  <c:v>-0.36206171471295823</c:v>
                </c:pt>
                <c:pt idx="192">
                  <c:v>-0.36570022687599729</c:v>
                </c:pt>
                <c:pt idx="193">
                  <c:v>-0.3693387390390363</c:v>
                </c:pt>
                <c:pt idx="194">
                  <c:v>-0.37297725120207537</c:v>
                </c:pt>
                <c:pt idx="195">
                  <c:v>-0.37661576336511438</c:v>
                </c:pt>
                <c:pt idx="196">
                  <c:v>-0.38025427552815338</c:v>
                </c:pt>
                <c:pt idx="197">
                  <c:v>-0.38389278769119245</c:v>
                </c:pt>
                <c:pt idx="198">
                  <c:v>-0.38753129985423146</c:v>
                </c:pt>
                <c:pt idx="199">
                  <c:v>-0.39116981201727052</c:v>
                </c:pt>
                <c:pt idx="200">
                  <c:v>-0.38666152526021497</c:v>
                </c:pt>
                <c:pt idx="201">
                  <c:v>-0.39030003742325398</c:v>
                </c:pt>
                <c:pt idx="202">
                  <c:v>-0.39393854958629304</c:v>
                </c:pt>
                <c:pt idx="203">
                  <c:v>-0.39757706174933205</c:v>
                </c:pt>
                <c:pt idx="204">
                  <c:v>-0.40121557391237112</c:v>
                </c:pt>
                <c:pt idx="205">
                  <c:v>-0.40485408607541012</c:v>
                </c:pt>
                <c:pt idx="206">
                  <c:v>-0.40849259823844913</c:v>
                </c:pt>
                <c:pt idx="207">
                  <c:v>-0.4121311104014882</c:v>
                </c:pt>
                <c:pt idx="208">
                  <c:v>-0.41576962256452721</c:v>
                </c:pt>
                <c:pt idx="209">
                  <c:v>-0.41940813472756627</c:v>
                </c:pt>
                <c:pt idx="210">
                  <c:v>-0.42304664689060528</c:v>
                </c:pt>
                <c:pt idx="211">
                  <c:v>-0.42668515905364429</c:v>
                </c:pt>
                <c:pt idx="212">
                  <c:v>-0.42581538445962774</c:v>
                </c:pt>
                <c:pt idx="213">
                  <c:v>-0.42945389662266675</c:v>
                </c:pt>
                <c:pt idx="214">
                  <c:v>-0.43309240878570582</c:v>
                </c:pt>
                <c:pt idx="215">
                  <c:v>-0.43673092094874483</c:v>
                </c:pt>
                <c:pt idx="216">
                  <c:v>-0.44036943311178389</c:v>
                </c:pt>
                <c:pt idx="217">
                  <c:v>-0.4440079452748229</c:v>
                </c:pt>
                <c:pt idx="218">
                  <c:v>-0.44764645743786191</c:v>
                </c:pt>
                <c:pt idx="219">
                  <c:v>-0.45128496960090098</c:v>
                </c:pt>
                <c:pt idx="220">
                  <c:v>-0.45492348176393999</c:v>
                </c:pt>
                <c:pt idx="221">
                  <c:v>-0.45856199392697905</c:v>
                </c:pt>
                <c:pt idx="222">
                  <c:v>-0.46496924365904058</c:v>
                </c:pt>
                <c:pt idx="223">
                  <c:v>-0.46860775582207964</c:v>
                </c:pt>
                <c:pt idx="224">
                  <c:v>-0.47224626798511865</c:v>
                </c:pt>
                <c:pt idx="225">
                  <c:v>-0.47588478014815772</c:v>
                </c:pt>
                <c:pt idx="226">
                  <c:v>-0.47952329231119672</c:v>
                </c:pt>
                <c:pt idx="227">
                  <c:v>-0.48316180447423573</c:v>
                </c:pt>
                <c:pt idx="228">
                  <c:v>-0.4868003166372748</c:v>
                </c:pt>
                <c:pt idx="229">
                  <c:v>-0.49043882880031381</c:v>
                </c:pt>
                <c:pt idx="230">
                  <c:v>-0.49407734096335287</c:v>
                </c:pt>
                <c:pt idx="231">
                  <c:v>-0.50412310285845341</c:v>
                </c:pt>
                <c:pt idx="232">
                  <c:v>-0.50776161502149242</c:v>
                </c:pt>
                <c:pt idx="233">
                  <c:v>-0.51140012718453154</c:v>
                </c:pt>
                <c:pt idx="234">
                  <c:v>-0.51503863934757055</c:v>
                </c:pt>
                <c:pt idx="235">
                  <c:v>-0.51867715151060956</c:v>
                </c:pt>
                <c:pt idx="236">
                  <c:v>-0.52231566367364857</c:v>
                </c:pt>
                <c:pt idx="237">
                  <c:v>-0.52595417583668758</c:v>
                </c:pt>
                <c:pt idx="238">
                  <c:v>-0.52959268799972659</c:v>
                </c:pt>
                <c:pt idx="239">
                  <c:v>-0.54327696205786624</c:v>
                </c:pt>
                <c:pt idx="240">
                  <c:v>-0.54691547422090525</c:v>
                </c:pt>
                <c:pt idx="241">
                  <c:v>-0.55055398638394426</c:v>
                </c:pt>
                <c:pt idx="242">
                  <c:v>-0.55419249854698327</c:v>
                </c:pt>
                <c:pt idx="243">
                  <c:v>-0.55783101071002239</c:v>
                </c:pt>
                <c:pt idx="244">
                  <c:v>-0.5614695228730614</c:v>
                </c:pt>
                <c:pt idx="245">
                  <c:v>-0.56510803503610041</c:v>
                </c:pt>
                <c:pt idx="246">
                  <c:v>-0.56874654719913942</c:v>
                </c:pt>
                <c:pt idx="247">
                  <c:v>-0.58243082125727907</c:v>
                </c:pt>
                <c:pt idx="248">
                  <c:v>-0.2057175583403078</c:v>
                </c:pt>
                <c:pt idx="249">
                  <c:v>-0.20935607050334687</c:v>
                </c:pt>
                <c:pt idx="250">
                  <c:v>-0.21299458266638588</c:v>
                </c:pt>
                <c:pt idx="251">
                  <c:v>-0.21663309482942492</c:v>
                </c:pt>
                <c:pt idx="252">
                  <c:v>-0.22027160699246395</c:v>
                </c:pt>
                <c:pt idx="253">
                  <c:v>-0.22391011915550296</c:v>
                </c:pt>
                <c:pt idx="254">
                  <c:v>-0.2095369241200141</c:v>
                </c:pt>
                <c:pt idx="255">
                  <c:v>-0.21317543628305313</c:v>
                </c:pt>
                <c:pt idx="256">
                  <c:v>-0.21681394844609214</c:v>
                </c:pt>
                <c:pt idx="257">
                  <c:v>-0.22045246060913118</c:v>
                </c:pt>
                <c:pt idx="258">
                  <c:v>-0.22409097277217022</c:v>
                </c:pt>
                <c:pt idx="259">
                  <c:v>-0.22772948493520923</c:v>
                </c:pt>
                <c:pt idx="260">
                  <c:v>-0.2169948020627594</c:v>
                </c:pt>
                <c:pt idx="261">
                  <c:v>-0.2206333142257984</c:v>
                </c:pt>
                <c:pt idx="262">
                  <c:v>-0.22427182638883747</c:v>
                </c:pt>
                <c:pt idx="263">
                  <c:v>-0.22791033855187648</c:v>
                </c:pt>
                <c:pt idx="264">
                  <c:v>-0.23154885071491552</c:v>
                </c:pt>
                <c:pt idx="265">
                  <c:v>-0.23518736287795455</c:v>
                </c:pt>
                <c:pt idx="266">
                  <c:v>-0.22445268000550467</c:v>
                </c:pt>
                <c:pt idx="267">
                  <c:v>-0.2280911921685437</c:v>
                </c:pt>
                <c:pt idx="268">
                  <c:v>-0.23172970433158274</c:v>
                </c:pt>
                <c:pt idx="269">
                  <c:v>-0.23536821649462175</c:v>
                </c:pt>
                <c:pt idx="270">
                  <c:v>-0.23900672865766082</c:v>
                </c:pt>
                <c:pt idx="271">
                  <c:v>-0.24264524082069983</c:v>
                </c:pt>
                <c:pt idx="272">
                  <c:v>-0.23191055794825</c:v>
                </c:pt>
                <c:pt idx="273">
                  <c:v>-0.23554907011128901</c:v>
                </c:pt>
                <c:pt idx="274">
                  <c:v>-0.23918758227432804</c:v>
                </c:pt>
                <c:pt idx="275">
                  <c:v>-0.24282609443736708</c:v>
                </c:pt>
                <c:pt idx="276">
                  <c:v>-0.24646460660040609</c:v>
                </c:pt>
                <c:pt idx="277">
                  <c:v>-0.23936843589099527</c:v>
                </c:pt>
                <c:pt idx="278">
                  <c:v>-0.24300694805403431</c:v>
                </c:pt>
                <c:pt idx="279">
                  <c:v>-0.24664546021707334</c:v>
                </c:pt>
                <c:pt idx="280">
                  <c:v>-0.25028397238011235</c:v>
                </c:pt>
                <c:pt idx="281">
                  <c:v>-0.25392248454315142</c:v>
                </c:pt>
                <c:pt idx="282">
                  <c:v>-0.2468263138337406</c:v>
                </c:pt>
                <c:pt idx="283">
                  <c:v>-0.25046482599677961</c:v>
                </c:pt>
                <c:pt idx="284">
                  <c:v>-0.25410333815981867</c:v>
                </c:pt>
                <c:pt idx="285">
                  <c:v>-0.25774185032285768</c:v>
                </c:pt>
                <c:pt idx="286">
                  <c:v>-0.26138036248589669</c:v>
                </c:pt>
                <c:pt idx="287">
                  <c:v>-0.25428419177648587</c:v>
                </c:pt>
                <c:pt idx="288">
                  <c:v>-0.25792270393952488</c:v>
                </c:pt>
                <c:pt idx="289">
                  <c:v>-0.26156121610256394</c:v>
                </c:pt>
                <c:pt idx="290">
                  <c:v>-0.26519972826560295</c:v>
                </c:pt>
                <c:pt idx="291">
                  <c:v>-0.2617420697192312</c:v>
                </c:pt>
                <c:pt idx="292">
                  <c:v>-0.26538058188227021</c:v>
                </c:pt>
                <c:pt idx="293">
                  <c:v>-0.26901909404530921</c:v>
                </c:pt>
                <c:pt idx="294">
                  <c:v>-0.27265760620834828</c:v>
                </c:pt>
                <c:pt idx="295">
                  <c:v>-0.26919994766197647</c:v>
                </c:pt>
                <c:pt idx="296">
                  <c:v>-0.27283845982501553</c:v>
                </c:pt>
                <c:pt idx="297">
                  <c:v>-0.27647697198805454</c:v>
                </c:pt>
                <c:pt idx="298">
                  <c:v>-0.28011548415109355</c:v>
                </c:pt>
                <c:pt idx="299">
                  <c:v>-0.2766578256047218</c:v>
                </c:pt>
                <c:pt idx="300">
                  <c:v>-0.28029633776776081</c:v>
                </c:pt>
                <c:pt idx="301">
                  <c:v>-0.28393484993079987</c:v>
                </c:pt>
                <c:pt idx="302">
                  <c:v>-0.28757336209383888</c:v>
                </c:pt>
                <c:pt idx="303">
                  <c:v>-0.28411570354746707</c:v>
                </c:pt>
                <c:pt idx="304">
                  <c:v>-0.28775421571050608</c:v>
                </c:pt>
                <c:pt idx="305">
                  <c:v>-0.29139272787354514</c:v>
                </c:pt>
                <c:pt idx="306">
                  <c:v>-0.29503124003658415</c:v>
                </c:pt>
                <c:pt idx="307">
                  <c:v>-0.2915735814902124</c:v>
                </c:pt>
                <c:pt idx="308">
                  <c:v>-0.29521209365325141</c:v>
                </c:pt>
                <c:pt idx="309">
                  <c:v>-0.29885060581629042</c:v>
                </c:pt>
                <c:pt idx="310">
                  <c:v>-0.29903145943295767</c:v>
                </c:pt>
                <c:pt idx="311">
                  <c:v>-0.30266997159599673</c:v>
                </c:pt>
                <c:pt idx="312">
                  <c:v>-0.30630848375903574</c:v>
                </c:pt>
                <c:pt idx="313">
                  <c:v>-0.30648933737570294</c:v>
                </c:pt>
                <c:pt idx="314">
                  <c:v>-0.31012784953874201</c:v>
                </c:pt>
                <c:pt idx="315">
                  <c:v>-0.31376636170178107</c:v>
                </c:pt>
                <c:pt idx="316">
                  <c:v>-0.31394721531844827</c:v>
                </c:pt>
                <c:pt idx="317">
                  <c:v>-0.31758572748148728</c:v>
                </c:pt>
                <c:pt idx="318">
                  <c:v>-0.32122423964452634</c:v>
                </c:pt>
                <c:pt idx="319">
                  <c:v>-0.3214050932611936</c:v>
                </c:pt>
                <c:pt idx="320">
                  <c:v>-0.32504360542423261</c:v>
                </c:pt>
                <c:pt idx="321">
                  <c:v>-0.32868211758727162</c:v>
                </c:pt>
                <c:pt idx="322">
                  <c:v>-0.32886297120393887</c:v>
                </c:pt>
                <c:pt idx="323">
                  <c:v>-0.33250148336697788</c:v>
                </c:pt>
                <c:pt idx="324">
                  <c:v>-0.33613999553001694</c:v>
                </c:pt>
                <c:pt idx="325">
                  <c:v>-0.33632084914668414</c:v>
                </c:pt>
                <c:pt idx="326">
                  <c:v>-0.33995936130972321</c:v>
                </c:pt>
                <c:pt idx="327">
                  <c:v>-0.34359787347276222</c:v>
                </c:pt>
                <c:pt idx="328">
                  <c:v>-0.34377872708942947</c:v>
                </c:pt>
                <c:pt idx="329">
                  <c:v>-0.34741723925246848</c:v>
                </c:pt>
                <c:pt idx="330">
                  <c:v>-0.35105575141550754</c:v>
                </c:pt>
                <c:pt idx="331">
                  <c:v>-0.3512366050321748</c:v>
                </c:pt>
                <c:pt idx="332">
                  <c:v>-0.35487511719521381</c:v>
                </c:pt>
                <c:pt idx="333">
                  <c:v>-0.35869448297492013</c:v>
                </c:pt>
                <c:pt idx="334">
                  <c:v>-0.36233299513795914</c:v>
                </c:pt>
                <c:pt idx="335">
                  <c:v>-0.36615236091766534</c:v>
                </c:pt>
                <c:pt idx="336">
                  <c:v>-0.36979087308070441</c:v>
                </c:pt>
                <c:pt idx="337">
                  <c:v>-0.37361023886041067</c:v>
                </c:pt>
                <c:pt idx="338">
                  <c:v>-0.37724875102344974</c:v>
                </c:pt>
                <c:pt idx="339">
                  <c:v>-0.381068116803156</c:v>
                </c:pt>
                <c:pt idx="340">
                  <c:v>-0.38470662896619501</c:v>
                </c:pt>
                <c:pt idx="341">
                  <c:v>-0.38852599474590127</c:v>
                </c:pt>
                <c:pt idx="342">
                  <c:v>-0.39216450690894034</c:v>
                </c:pt>
                <c:pt idx="343">
                  <c:v>-0.39598387268864654</c:v>
                </c:pt>
                <c:pt idx="344">
                  <c:v>-0.39962238485168561</c:v>
                </c:pt>
                <c:pt idx="345">
                  <c:v>-0.40344175063139187</c:v>
                </c:pt>
                <c:pt idx="346">
                  <c:v>-0.40708026279443094</c:v>
                </c:pt>
                <c:pt idx="347">
                  <c:v>-0.4108996285741372</c:v>
                </c:pt>
                <c:pt idx="348">
                  <c:v>-0.41453814073717621</c:v>
                </c:pt>
                <c:pt idx="349">
                  <c:v>-0.41835750651688247</c:v>
                </c:pt>
                <c:pt idx="350">
                  <c:v>-0.42199601867992154</c:v>
                </c:pt>
                <c:pt idx="351">
                  <c:v>-0.42581538445962774</c:v>
                </c:pt>
                <c:pt idx="352">
                  <c:v>-0.42945389662266675</c:v>
                </c:pt>
                <c:pt idx="353">
                  <c:v>-0.43327326240237307</c:v>
                </c:pt>
                <c:pt idx="354">
                  <c:v>-0.43691177456541208</c:v>
                </c:pt>
                <c:pt idx="355">
                  <c:v>-0.44073114034511834</c:v>
                </c:pt>
                <c:pt idx="356">
                  <c:v>-0.44436965250815741</c:v>
                </c:pt>
                <c:pt idx="357">
                  <c:v>-0.44818901828786367</c:v>
                </c:pt>
                <c:pt idx="358">
                  <c:v>-0.45182753045090274</c:v>
                </c:pt>
                <c:pt idx="359">
                  <c:v>-0.45564689623060894</c:v>
                </c:pt>
                <c:pt idx="360">
                  <c:v>-0.45928540839364795</c:v>
                </c:pt>
                <c:pt idx="361">
                  <c:v>-0.46310477417335427</c:v>
                </c:pt>
                <c:pt idx="362">
                  <c:v>-0.46674328633639328</c:v>
                </c:pt>
                <c:pt idx="363">
                  <c:v>-0.47056265211609954</c:v>
                </c:pt>
                <c:pt idx="364">
                  <c:v>-0.47802053005884487</c:v>
                </c:pt>
                <c:pt idx="365">
                  <c:v>-0.48547840800159014</c:v>
                </c:pt>
                <c:pt idx="366">
                  <c:v>-0.49293628594433547</c:v>
                </c:pt>
                <c:pt idx="367">
                  <c:v>-0.5003941638870808</c:v>
                </c:pt>
                <c:pt idx="368">
                  <c:v>-0.50785204182982602</c:v>
                </c:pt>
                <c:pt idx="369">
                  <c:v>-0.51530991977257135</c:v>
                </c:pt>
                <c:pt idx="370">
                  <c:v>-0.52276779771531667</c:v>
                </c:pt>
                <c:pt idx="371">
                  <c:v>-0.53022567565806189</c:v>
                </c:pt>
                <c:pt idx="372">
                  <c:v>-0.53768355360080733</c:v>
                </c:pt>
                <c:pt idx="373">
                  <c:v>-0.54514143154355255</c:v>
                </c:pt>
                <c:pt idx="374">
                  <c:v>-0.55259930948629787</c:v>
                </c:pt>
                <c:pt idx="375">
                  <c:v>-0.5600571874290432</c:v>
                </c:pt>
                <c:pt idx="376">
                  <c:v>-0.56751506537178842</c:v>
                </c:pt>
                <c:pt idx="377">
                  <c:v>-0.57497294331453375</c:v>
                </c:pt>
                <c:pt idx="378">
                  <c:v>-0.58243082125727907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{F0CEC4AC-934D-4D64-B112-68700CAEC21A}</c15:txfldGUID>
                      <c15:f>plot!$AC$9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{E0951135-F464-454D-A788-F6CEB6EF5CAD}</c15:txfldGUID>
                      <c15:f>plot!$AC$10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{8FAB1DFB-F648-4E4C-85F3-A4AB3CC8EA8F}</c15:txfldGUID>
                      <c15:f>plot!$AC$11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{91D1E47F-D8E5-4D17-9A47-E477D0CB1EB8}</c15:txfldGUID>
                      <c15:f>plot!$AC$12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{D3DAC5F9-FB39-4EB5-BFE5-6D970FB84566}</c15:txfldGUID>
                      <c15:f>plot!$AC$13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{4B532D8D-167D-435C-9C60-AF74F3FFCABC}</c15:txfldGUID>
                      <c15:f>plot!$AC$14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{D11C719A-0BFC-46FB-8B71-ECE18E637A2B}</c15:txfldGUID>
                      <c15:f>plot!$AC$15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{E9D5C73A-E261-40AF-87AA-9FF803EBABBF}</c15:txfldGUID>
                      <c15:f>plot!$AC$16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{D0B08F41-471E-459F-970C-6AA400E193F0}</c15:txfldGUID>
                      <c15:f>plot!$AC$17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{2E035C3A-6779-4552-9B57-C1956E53C1A7}</c15:txfldGUID>
                      <c15:f>plot!$AC$18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{B3850CAA-EFFE-4C3D-B02D-C6C74FB52023}</c15:txfldGUID>
                      <c15:f>plot!$AC$19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{9FA2D35B-9554-49F9-9BE7-A6C36F55DF98}</c15:txfldGUID>
                      <c15:f>plot!$AC$20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{4E08DEA4-F36D-46DD-BB98-66D24DF3820D}</c15:txfldGUID>
                      <c15:f>plot!$AC$21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{612C347B-DFB2-4C46-A6FB-4312EBF65311}</c15:txfldGUID>
                      <c15:f>plot!$AC$22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{C2715813-BB6A-4F22-8EEB-0B63AFBD6198}</c15:txfldGUID>
                      <c15:f>plot!$AC$23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{273FC6FE-B7CE-48FB-A78B-5C0ED95F0074}</c15:txfldGUID>
                      <c15:f>plot!$AC$24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{B0ABE0CB-6BA4-41C7-9600-17ECE5AED4F7}</c15:txfldGUID>
                      <c15:f>plot!$AC$25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{A4E4D749-59E6-4D2B-AE5F-169010FCC10A}</c15:txfldGUID>
                      <c15:f>plot!$AC$26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{2BA7EE71-BEAE-49BC-8155-16F1397A755D}</c15:txfldGUID>
                      <c15:f>plot!$AC$27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{2028166A-712D-446B-84DE-B81C9C788AD9}</c15:txfldGUID>
                      <c15:f>plot!$AC$28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{1BC9E9F4-7A6D-4B44-A806-8B2A95228A7B}</c15:txfldGUID>
                      <c15:f>plot!$AC$29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-0.41093159186349193</c:v>
                </c:pt>
                <c:pt idx="1">
                  <c:v>-0.4451336061960588</c:v>
                </c:pt>
                <c:pt idx="2">
                  <c:v>-0.41093159186349193</c:v>
                </c:pt>
                <c:pt idx="3">
                  <c:v>-0.16101334165447378</c:v>
                </c:pt>
                <c:pt idx="4">
                  <c:v>-0.19521535598704065</c:v>
                </c:pt>
                <c:pt idx="5">
                  <c:v>-0.16101334165447378</c:v>
                </c:pt>
                <c:pt idx="6">
                  <c:v>8.8904908554544387E-2</c:v>
                </c:pt>
                <c:pt idx="7">
                  <c:v>5.4702894221977515E-2</c:v>
                </c:pt>
                <c:pt idx="8">
                  <c:v>8.8904908554544387E-2</c:v>
                </c:pt>
                <c:pt idx="9">
                  <c:v>8.8904908554544387E-2</c:v>
                </c:pt>
                <c:pt idx="10">
                  <c:v>5.4702894221977515E-2</c:v>
                </c:pt>
                <c:pt idx="11">
                  <c:v>8.8904908554544387E-2</c:v>
                </c:pt>
                <c:pt idx="12">
                  <c:v>8.8904908554544387E-2</c:v>
                </c:pt>
                <c:pt idx="13">
                  <c:v>5.4702894221977515E-2</c:v>
                </c:pt>
                <c:pt idx="14">
                  <c:v>8.8904908554544387E-2</c:v>
                </c:pt>
                <c:pt idx="15">
                  <c:v>8.8904908554544387E-2</c:v>
                </c:pt>
                <c:pt idx="16">
                  <c:v>5.4702894221977515E-2</c:v>
                </c:pt>
                <c:pt idx="17">
                  <c:v>8.8904908554544387E-2</c:v>
                </c:pt>
                <c:pt idx="18">
                  <c:v>8.8904908554544387E-2</c:v>
                </c:pt>
                <c:pt idx="19">
                  <c:v>5.4702894221977515E-2</c:v>
                </c:pt>
                <c:pt idx="20">
                  <c:v>8.8904908554544387E-2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-0.62427371113222785</c:v>
                </c:pt>
                <c:pt idx="1">
                  <c:v>-0.67125834217152325</c:v>
                </c:pt>
                <c:pt idx="2">
                  <c:v>-0.62427371113222785</c:v>
                </c:pt>
                <c:pt idx="3">
                  <c:v>-0.66975511317021574</c:v>
                </c:pt>
                <c:pt idx="4">
                  <c:v>-0.71673974420951114</c:v>
                </c:pt>
                <c:pt idx="5">
                  <c:v>-0.66975511317021574</c:v>
                </c:pt>
                <c:pt idx="6">
                  <c:v>-0.71523651520820364</c:v>
                </c:pt>
                <c:pt idx="7">
                  <c:v>-0.76222114624749904</c:v>
                </c:pt>
                <c:pt idx="8">
                  <c:v>-0.71523651520820364</c:v>
                </c:pt>
                <c:pt idx="9">
                  <c:v>-0.71523651520820364</c:v>
                </c:pt>
                <c:pt idx="10">
                  <c:v>-0.76222114624749904</c:v>
                </c:pt>
                <c:pt idx="11">
                  <c:v>-0.71523651520820364</c:v>
                </c:pt>
                <c:pt idx="12">
                  <c:v>-0.71523651520820364</c:v>
                </c:pt>
                <c:pt idx="13">
                  <c:v>-0.76222114624749904</c:v>
                </c:pt>
                <c:pt idx="14">
                  <c:v>-0.71523651520820364</c:v>
                </c:pt>
                <c:pt idx="15">
                  <c:v>-0.71523651520820364</c:v>
                </c:pt>
                <c:pt idx="16">
                  <c:v>-0.76222114624749904</c:v>
                </c:pt>
                <c:pt idx="17">
                  <c:v>-0.71523651520820364</c:v>
                </c:pt>
                <c:pt idx="18">
                  <c:v>-0.71523651520820364</c:v>
                </c:pt>
                <c:pt idx="19">
                  <c:v>-0.76222114624749904</c:v>
                </c:pt>
                <c:pt idx="20">
                  <c:v>-0.71523651520820364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{76F502A1-A841-4C42-869A-43B6CE8DC811}</c15:txfldGUID>
                      <c15:f>plot!$AH$9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0,3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{F2B89087-9BFB-4AC1-ADBF-8C34A8548B10}</c15:txfldGUID>
                      <c15:f>plot!$AH$10</c15:f>
                      <c15:dlblFieldTableCache>
                        <c:ptCount val="1"/>
                        <c:pt idx="0">
                          <c:v>0,3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{E5E22BE4-2045-4ACE-B7F1-26D70CB6EFA4}</c15:txfldGUID>
                      <c15:f>plot!$AH$11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{BAEFB59A-2D1F-4139-AF3B-1C439A3D551E}</c15:txfldGUID>
                      <c15:f>plot!$AH$12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0,6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{0C7C588F-3C8A-4646-8BC4-992D89B66476}</c15:txfldGUID>
                      <c15:f>plot!$AH$13</c15:f>
                      <c15:dlblFieldTableCache>
                        <c:ptCount val="1"/>
                        <c:pt idx="0">
                          <c:v>0,6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{9F09B5C6-DC2C-4C3F-8B41-7886BC41CB52}</c15:txfldGUID>
                      <c15:f>plot!$AH$14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{44F6123E-59F0-4B4D-A33C-E81564B62D92}</c15:txfldGUID>
                      <c15:f>plot!$AH$15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0,9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{86221183-A617-40E5-BF63-FD59A99EE252}</c15:txfldGUID>
                      <c15:f>plot!$AH$16</c15:f>
                      <c15:dlblFieldTableCache>
                        <c:ptCount val="1"/>
                        <c:pt idx="0">
                          <c:v>0,9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{B6F8764F-6D6A-4BEA-A6C8-536D0F6D66F5}</c15:txfldGUID>
                      <c15:f>plot!$AH$17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{288CFA19-12D8-4C1C-9DF7-2973A48F5E2D}</c15:txfldGUID>
                      <c15:f>plot!$AH$18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1,2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{0C98E902-815F-44AC-806B-59466B1E98B3}</c15:txfldGUID>
                      <c15:f>plot!$AH$19</c15:f>
                      <c15:dlblFieldTableCache>
                        <c:ptCount val="1"/>
                        <c:pt idx="0">
                          <c:v>1,2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{F737C18E-78E6-4F5B-8FB4-EE470B8C9319}</c15:txfldGUID>
                      <c15:f>plot!$AH$20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{9C5686BA-8A63-4EDF-9AE7-7532DABC9A9D}</c15:txfldGUID>
                      <c15:f>plot!$AH$21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1,5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{ADA07AC0-18BF-482C-879C-69FBE6238FA5}</c15:txfldGUID>
                      <c15:f>plot!$AH$22</c15:f>
                      <c15:dlblFieldTableCache>
                        <c:ptCount val="1"/>
                        <c:pt idx="0">
                          <c:v>1,5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{D4F32169-E97D-48E1-A3F1-F136E420C868}</c15:txfldGUID>
                      <c15:f>plot!$AH$23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{FAACB832-8571-466C-8218-0F6E76CB9863}</c15:txfldGUID>
                      <c15:f>plot!$AH$24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1,8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{7A317D89-5459-4DFD-A0DD-3294AE6D1106}</c15:txfldGUID>
                      <c15:f>plot!$AH$25</c15:f>
                      <c15:dlblFieldTableCache>
                        <c:ptCount val="1"/>
                        <c:pt idx="0">
                          <c:v>1,8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{A86A9EA3-64A2-4F44-BF60-13194F6BD4C8}</c15:txfldGUID>
                      <c15:f>plot!$AH$26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{AF1263A3-EFA7-446A-9DEA-055AF1E407CD}</c15:txfldGUID>
                      <c15:f>plot!$AH$27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1,8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{61C5F243-04AB-495F-A3C7-AAC82617F2C7}</c15:txfldGUID>
                      <c15:f>plot!$AH$28</c15:f>
                      <c15:dlblFieldTableCache>
                        <c:ptCount val="1"/>
                        <c:pt idx="0">
                          <c:v>1,8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{6D6F40AD-7B71-4531-8CB5-F9B90E94E1FE}</c15:txfldGUID>
                      <c15:f>plot!$AH$29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0.64085638205578843</c:v>
                </c:pt>
                <c:pt idx="1">
                  <c:v>0.73482564413437934</c:v>
                </c:pt>
                <c:pt idx="2">
                  <c:v>0.64085638205578843</c:v>
                </c:pt>
                <c:pt idx="3">
                  <c:v>0.64085638205578854</c:v>
                </c:pt>
                <c:pt idx="4">
                  <c:v>0.73482564413437945</c:v>
                </c:pt>
                <c:pt idx="5">
                  <c:v>0.64085638205578854</c:v>
                </c:pt>
                <c:pt idx="6">
                  <c:v>0.64085638205578854</c:v>
                </c:pt>
                <c:pt idx="7">
                  <c:v>0.73482564413437945</c:v>
                </c:pt>
                <c:pt idx="8">
                  <c:v>0.64085638205578854</c:v>
                </c:pt>
                <c:pt idx="9">
                  <c:v>0.64085638205578854</c:v>
                </c:pt>
                <c:pt idx="10">
                  <c:v>0.73482564413437945</c:v>
                </c:pt>
                <c:pt idx="11">
                  <c:v>0.64085638205578854</c:v>
                </c:pt>
                <c:pt idx="12">
                  <c:v>0.64085638205578854</c:v>
                </c:pt>
                <c:pt idx="13">
                  <c:v>0.73482564413437945</c:v>
                </c:pt>
                <c:pt idx="14">
                  <c:v>0.64085638205578854</c:v>
                </c:pt>
                <c:pt idx="15">
                  <c:v>0.64085638205578854</c:v>
                </c:pt>
                <c:pt idx="16">
                  <c:v>0.73482564413437945</c:v>
                </c:pt>
                <c:pt idx="17">
                  <c:v>0.64085638205578854</c:v>
                </c:pt>
                <c:pt idx="18">
                  <c:v>0.64085638205578854</c:v>
                </c:pt>
                <c:pt idx="19">
                  <c:v>0.73482564413437945</c:v>
                </c:pt>
                <c:pt idx="20">
                  <c:v>0.64085638205578854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-0.26251058000045385</c:v>
                </c:pt>
                <c:pt idx="1">
                  <c:v>-0.27961158716673729</c:v>
                </c:pt>
                <c:pt idx="2">
                  <c:v>-0.26251058000045385</c:v>
                </c:pt>
                <c:pt idx="3">
                  <c:v>-0.10438056105016075</c:v>
                </c:pt>
                <c:pt idx="4">
                  <c:v>-0.12148156821644418</c:v>
                </c:pt>
                <c:pt idx="5">
                  <c:v>-0.10438056105016075</c:v>
                </c:pt>
                <c:pt idx="6">
                  <c:v>5.3749457900132358E-2</c:v>
                </c:pt>
                <c:pt idx="7">
                  <c:v>3.6648450733848925E-2</c:v>
                </c:pt>
                <c:pt idx="8">
                  <c:v>5.3749457900132358E-2</c:v>
                </c:pt>
                <c:pt idx="9">
                  <c:v>0.21187947685042546</c:v>
                </c:pt>
                <c:pt idx="10">
                  <c:v>0.19477846968414203</c:v>
                </c:pt>
                <c:pt idx="11">
                  <c:v>0.21187947685042546</c:v>
                </c:pt>
                <c:pt idx="12">
                  <c:v>0.37000949580071862</c:v>
                </c:pt>
                <c:pt idx="13">
                  <c:v>0.35290848863443514</c:v>
                </c:pt>
                <c:pt idx="14">
                  <c:v>0.37000949580071862</c:v>
                </c:pt>
                <c:pt idx="15">
                  <c:v>0.52813951475101173</c:v>
                </c:pt>
                <c:pt idx="16">
                  <c:v>0.51103850758472835</c:v>
                </c:pt>
                <c:pt idx="17">
                  <c:v>0.52813951475101173</c:v>
                </c:pt>
                <c:pt idx="18">
                  <c:v>0.52813951475101173</c:v>
                </c:pt>
                <c:pt idx="19">
                  <c:v>0.51103850758472835</c:v>
                </c:pt>
                <c:pt idx="20">
                  <c:v>0.52813951475101173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{ED3A4CE6-0CB3-4FCE-82A5-C9021E8485E8}</c15:txfldGUID>
                      <c15:f>plot!$B$33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{904E1C82-4E7E-4002-8645-A9197CA61962}</c15:txfldGUID>
                      <c15:f>plot!$B$34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{B01E7E8D-CDF9-4FB3-BB0A-BA586635C89E}</c15:txfldGUID>
                      <c15:f>plot!$B$35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{25A7C813-4F62-46B3-A484-0A8032991DFC}</c15:txfldGUID>
                      <c15:f>plot!$B$36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{EEC601A2-B6E4-40FB-B6E7-3F0CFCD79D35}</c15:txfldGUID>
                      <c15:f>plot!$B$37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{F8778715-7D8B-456C-8745-D14FAAC87506}</c15:txfldGUID>
                      <c15:f>plot!$B$38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{2AA6E02B-C12E-4C8B-8BEC-33A84B17F807}</c15:txfldGUID>
                      <c15:f>plot!$B$39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plot!$G$33:$G$411</c:f>
                <c:numCache>
                  <c:formatCode>General</c:formatCode>
                  <c:ptCount val="379"/>
                  <c:pt idx="0">
                    <c:v>9.3296711180672953E-2</c:v>
                  </c:pt>
                  <c:pt idx="1">
                    <c:v>2.7409203284717465E-2</c:v>
                  </c:pt>
                  <c:pt idx="2">
                    <c:v>5.4467006527321171E-3</c:v>
                  </c:pt>
                  <c:pt idx="3">
                    <c:v>2.9869003579501285E-3</c:v>
                  </c:pt>
                  <c:pt idx="4">
                    <c:v>5.271000631676459E-3</c:v>
                  </c:pt>
                  <c:pt idx="5">
                    <c:v>5.6224006737883858E-3</c:v>
                  </c:pt>
                  <c:pt idx="6">
                    <c:v>1.9151302295090877E-2</c:v>
                  </c:pt>
                  <c:pt idx="7">
                    <c:v>2.1786802610929079E-2</c:v>
                  </c:pt>
                  <c:pt idx="8">
                    <c:v>3.3031603958505851E-2</c:v>
                  </c:pt>
                  <c:pt idx="9">
                    <c:v>4.3749305242914482E-2</c:v>
                  </c:pt>
                  <c:pt idx="10">
                    <c:v>6.0440807243223316E-2</c:v>
                  </c:pt>
                  <c:pt idx="11">
                    <c:v>7.9240709496202266E-2</c:v>
                  </c:pt>
                  <c:pt idx="12">
                    <c:v>8.5038810191046366E-2</c:v>
                  </c:pt>
                  <c:pt idx="13">
                    <c:v>0.10155461217029954</c:v>
                  </c:pt>
                  <c:pt idx="14">
                    <c:v>0.11490781377054637</c:v>
                  </c:pt>
                  <c:pt idx="15">
                    <c:v>0.12913951547607266</c:v>
                  </c:pt>
                  <c:pt idx="16">
                    <c:v>0.15602161869762254</c:v>
                  </c:pt>
                  <c:pt idx="17">
                    <c:v>0.16990192036103702</c:v>
                  </c:pt>
                  <c:pt idx="18">
                    <c:v>0.18905322265612842</c:v>
                  </c:pt>
                  <c:pt idx="19">
                    <c:v>0.20574472465643678</c:v>
                  </c:pt>
                  <c:pt idx="20">
                    <c:v>0.21101572528811319</c:v>
                  </c:pt>
                  <c:pt idx="21">
                    <c:v>0.21663812596190163</c:v>
                  </c:pt>
                  <c:pt idx="22">
                    <c:v>0.22472032693047195</c:v>
                  </c:pt>
                  <c:pt idx="23">
                    <c:v>0.22735582724631018</c:v>
                  </c:pt>
                  <c:pt idx="24">
                    <c:v>0.23860062859388692</c:v>
                  </c:pt>
                  <c:pt idx="25">
                    <c:v>0.2466828295624573</c:v>
                  </c:pt>
                  <c:pt idx="26">
                    <c:v>0.260387431204816</c:v>
                  </c:pt>
                  <c:pt idx="27">
                    <c:v>0.26565843183649251</c:v>
                  </c:pt>
                  <c:pt idx="28">
                    <c:v>0.29623023550021577</c:v>
                  </c:pt>
                  <c:pt idx="29">
                    <c:v>0.30150123613189223</c:v>
                  </c:pt>
                  <c:pt idx="30">
                    <c:v>0.31239463743735707</c:v>
                  </c:pt>
                  <c:pt idx="31">
                    <c:v>0.31801703811114485</c:v>
                  </c:pt>
                  <c:pt idx="32">
                    <c:v>0.35350844236443324</c:v>
                  </c:pt>
                  <c:pt idx="33">
                    <c:v>0.35913084303822113</c:v>
                  </c:pt>
                  <c:pt idx="34">
                    <c:v>0.36176634335405933</c:v>
                  </c:pt>
                  <c:pt idx="35">
                    <c:v>0.36457754369095374</c:v>
                  </c:pt>
                  <c:pt idx="36">
                    <c:v>0.37529524497536237</c:v>
                  </c:pt>
                  <c:pt idx="37">
                    <c:v>0.38109334567020642</c:v>
                  </c:pt>
                  <c:pt idx="38">
                    <c:v>0.38935124665983301</c:v>
                  </c:pt>
                  <c:pt idx="39">
                    <c:v>0.3918110469546135</c:v>
                  </c:pt>
                  <c:pt idx="40">
                    <c:v>0.40305584830219338</c:v>
                  </c:pt>
                  <c:pt idx="41">
                    <c:v>0.40551564859697226</c:v>
                  </c:pt>
                  <c:pt idx="42">
                    <c:v>0.41113804927076214</c:v>
                  </c:pt>
                  <c:pt idx="43">
                    <c:v>0.41676044994455202</c:v>
                  </c:pt>
                  <c:pt idx="44">
                    <c:v>0.43028935156585146</c:v>
                  </c:pt>
                  <c:pt idx="45">
                    <c:v>0.43854725255547966</c:v>
                  </c:pt>
                  <c:pt idx="46">
                    <c:v>0.44680515354510775</c:v>
                  </c:pt>
                  <c:pt idx="47">
                    <c:v>0.44996775392411359</c:v>
                  </c:pt>
                  <c:pt idx="48">
                    <c:v>1.9327002316147146E-2</c:v>
                  </c:pt>
                  <c:pt idx="49">
                    <c:v>2.6355003158382573E-3</c:v>
                  </c:pt>
                  <c:pt idx="50">
                    <c:v>8.2579009896265876E-3</c:v>
                  </c:pt>
                  <c:pt idx="51">
                    <c:v>2.1786802610929079E-2</c:v>
                  </c:pt>
                  <c:pt idx="52">
                    <c:v>4.6560505579808342E-2</c:v>
                  </c:pt>
                  <c:pt idx="53">
                    <c:v>7.4145408885582076E-2</c:v>
                  </c:pt>
                  <c:pt idx="54">
                    <c:v>0.106825612801976</c:v>
                  </c:pt>
                  <c:pt idx="55">
                    <c:v>0.12878811543396074</c:v>
                  </c:pt>
                  <c:pt idx="56">
                    <c:v>0.16726642004519882</c:v>
                  </c:pt>
                  <c:pt idx="57">
                    <c:v>0.20012232398264893</c:v>
                  </c:pt>
                  <c:pt idx="58">
                    <c:v>0.22472032693047195</c:v>
                  </c:pt>
                  <c:pt idx="59">
                    <c:v>0.23297822792009854</c:v>
                  </c:pt>
                  <c:pt idx="60">
                    <c:v>0.23842492857283071</c:v>
                  </c:pt>
                  <c:pt idx="61">
                    <c:v>0.24123612890972515</c:v>
                  </c:pt>
                  <c:pt idx="62">
                    <c:v>0.2577519308889778</c:v>
                  </c:pt>
                  <c:pt idx="63">
                    <c:v>0.27672753316301302</c:v>
                  </c:pt>
                  <c:pt idx="64">
                    <c:v>0.29605453547916005</c:v>
                  </c:pt>
                  <c:pt idx="65">
                    <c:v>0.3069479367846244</c:v>
                  </c:pt>
                  <c:pt idx="66">
                    <c:v>0.31801703811114485</c:v>
                  </c:pt>
                  <c:pt idx="67">
                    <c:v>0.33716834040623628</c:v>
                  </c:pt>
                  <c:pt idx="68">
                    <c:v>0.33980384072207448</c:v>
                  </c:pt>
                  <c:pt idx="69">
                    <c:v>0.34806174171170062</c:v>
                  </c:pt>
                  <c:pt idx="70">
                    <c:v>0.40569134861803158</c:v>
                  </c:pt>
                  <c:pt idx="71">
                    <c:v>0.43028935156585146</c:v>
                  </c:pt>
                  <c:pt idx="72">
                    <c:v>0.35631964270132721</c:v>
                  </c:pt>
                  <c:pt idx="73">
                    <c:v>0.37283544468057989</c:v>
                  </c:pt>
                  <c:pt idx="74">
                    <c:v>0.38372884598604462</c:v>
                  </c:pt>
                  <c:pt idx="75">
                    <c:v>0.40288014828113394</c:v>
                  </c:pt>
                  <c:pt idx="76">
                    <c:v>0.43854725255547966</c:v>
                  </c:pt>
                  <c:pt idx="77">
                    <c:v>0.45506305453473067</c:v>
                  </c:pt>
                  <c:pt idx="78">
                    <c:v>0.47421435682982521</c:v>
                  </c:pt>
                  <c:pt idx="79">
                    <c:v>0.49318995910386043</c:v>
                  </c:pt>
                  <c:pt idx="80">
                    <c:v>0.53729066438888318</c:v>
                  </c:pt>
                  <c:pt idx="81">
                    <c:v>0.55644196668397772</c:v>
                  </c:pt>
                  <c:pt idx="82">
                    <c:v>0.56997086830527699</c:v>
                  </c:pt>
                  <c:pt idx="83">
                    <c:v>0.58385116996869502</c:v>
                  </c:pt>
                  <c:pt idx="84">
                    <c:v>0.60581367260067687</c:v>
                  </c:pt>
                  <c:pt idx="85">
                    <c:v>0.61934257422198147</c:v>
                  </c:pt>
                  <c:pt idx="86">
                    <c:v>0.6360340762222918</c:v>
                  </c:pt>
                  <c:pt idx="87">
                    <c:v>0.65219847815942944</c:v>
                  </c:pt>
                  <c:pt idx="88">
                    <c:v>0.67714788114936808</c:v>
                  </c:pt>
                  <c:pt idx="89">
                    <c:v>0.69331228308650572</c:v>
                  </c:pt>
                  <c:pt idx="90">
                    <c:v>0.71000378508681616</c:v>
                  </c:pt>
                  <c:pt idx="91">
                    <c:v>0.72634388704501296</c:v>
                  </c:pt>
                  <c:pt idx="92">
                    <c:v>0.75111759001389233</c:v>
                  </c:pt>
                  <c:pt idx="93">
                    <c:v>0.76745769197208924</c:v>
                  </c:pt>
                  <c:pt idx="94">
                    <c:v>0.79205569491991445</c:v>
                  </c:pt>
                  <c:pt idx="95">
                    <c:v>0.80857149689916563</c:v>
                  </c:pt>
                  <c:pt idx="96">
                    <c:v>2.8112003368939154E-3</c:v>
                  </c:pt>
                  <c:pt idx="97">
                    <c:v>1.0893401305464845E-2</c:v>
                  </c:pt>
                  <c:pt idx="98">
                    <c:v>3.5491404253287839E-2</c:v>
                  </c:pt>
                  <c:pt idx="99">
                    <c:v>7.4145408885582076E-2</c:v>
                  </c:pt>
                  <c:pt idx="100">
                    <c:v>0.12053021444433476</c:v>
                  </c:pt>
                  <c:pt idx="101">
                    <c:v>0.16445521970830479</c:v>
                  </c:pt>
                  <c:pt idx="102">
                    <c:v>0.22208482661463375</c:v>
                  </c:pt>
                  <c:pt idx="103">
                    <c:v>0.23016702758320459</c:v>
                  </c:pt>
                  <c:pt idx="104">
                    <c:v>0.2466828295624573</c:v>
                  </c:pt>
                  <c:pt idx="105">
                    <c:v>0.26864533219444264</c:v>
                  </c:pt>
                  <c:pt idx="106">
                    <c:v>0.28516113417369532</c:v>
                  </c:pt>
                  <c:pt idx="107">
                    <c:v>0.29869003579499831</c:v>
                  </c:pt>
                  <c:pt idx="108">
                    <c:v>0.34261504105896845</c:v>
                  </c:pt>
                  <c:pt idx="109">
                    <c:v>0.35913084303822113</c:v>
                  </c:pt>
                  <c:pt idx="110">
                    <c:v>0.42747815122895905</c:v>
                  </c:pt>
                  <c:pt idx="111">
                    <c:v>0.44961635388200011</c:v>
                  </c:pt>
                  <c:pt idx="112">
                    <c:v>0.37810644531225635</c:v>
                  </c:pt>
                  <c:pt idx="113">
                    <c:v>0.39198674697567282</c:v>
                  </c:pt>
                  <c:pt idx="114">
                    <c:v>0.41939595026039034</c:v>
                  </c:pt>
                  <c:pt idx="115">
                    <c:v>0.43573605221858724</c:v>
                  </c:pt>
                  <c:pt idx="116">
                    <c:v>0.45225185419783842</c:v>
                  </c:pt>
                  <c:pt idx="117">
                    <c:v>0.47421435682982527</c:v>
                  </c:pt>
                  <c:pt idx="118">
                    <c:v>0.50162356011454268</c:v>
                  </c:pt>
                  <c:pt idx="119">
                    <c:v>0.51796366207273969</c:v>
                  </c:pt>
                  <c:pt idx="120">
                    <c:v>0.50988146110416566</c:v>
                  </c:pt>
                  <c:pt idx="121">
                    <c:v>0.54256166502055958</c:v>
                  </c:pt>
                  <c:pt idx="122">
                    <c:v>0.56487556769466007</c:v>
                  </c:pt>
                  <c:pt idx="123">
                    <c:v>0.59193337093726395</c:v>
                  </c:pt>
                  <c:pt idx="124">
                    <c:v>0.65237417818048882</c:v>
                  </c:pt>
                  <c:pt idx="125">
                    <c:v>0.68523008211793679</c:v>
                  </c:pt>
                  <c:pt idx="126">
                    <c:v>0.709828085065762</c:v>
                  </c:pt>
                  <c:pt idx="127">
                    <c:v>0.74567088936116188</c:v>
                  </c:pt>
                  <c:pt idx="128">
                    <c:v>0</c:v>
                  </c:pt>
                  <c:pt idx="129">
                    <c:v>2.7409203284717465E-2</c:v>
                  </c:pt>
                  <c:pt idx="130">
                    <c:v>7.6605209180364064E-2</c:v>
                  </c:pt>
                  <c:pt idx="131">
                    <c:v>0.13441051610774918</c:v>
                  </c:pt>
                  <c:pt idx="132">
                    <c:v>0.20293352431954287</c:v>
                  </c:pt>
                  <c:pt idx="133">
                    <c:v>0.23016702758320459</c:v>
                  </c:pt>
                  <c:pt idx="134">
                    <c:v>0.26583413185754817</c:v>
                  </c:pt>
                  <c:pt idx="135">
                    <c:v>0.27409203284717476</c:v>
                  </c:pt>
                  <c:pt idx="136">
                    <c:v>0.3069479367846244</c:v>
                  </c:pt>
                  <c:pt idx="137">
                    <c:v>0.33980384072207448</c:v>
                  </c:pt>
                  <c:pt idx="138">
                    <c:v>0.44698085356616202</c:v>
                  </c:pt>
                  <c:pt idx="139">
                    <c:v>0.47403865680876583</c:v>
                  </c:pt>
                  <c:pt idx="140">
                    <c:v>0.37547094499641809</c:v>
                  </c:pt>
                  <c:pt idx="141">
                    <c:v>0.4002446479652958</c:v>
                  </c:pt>
                  <c:pt idx="142">
                    <c:v>0.43854725255547966</c:v>
                  </c:pt>
                  <c:pt idx="143">
                    <c:v>0.47140315649292774</c:v>
                  </c:pt>
                  <c:pt idx="144">
                    <c:v>0.47966105748255583</c:v>
                  </c:pt>
                  <c:pt idx="145">
                    <c:v>0.51269266144106318</c:v>
                  </c:pt>
                  <c:pt idx="146">
                    <c:v>0.53711496436782891</c:v>
                  </c:pt>
                  <c:pt idx="147">
                    <c:v>0.57822876929490519</c:v>
                  </c:pt>
                  <c:pt idx="148">
                    <c:v>0.59492027129521574</c:v>
                  </c:pt>
                  <c:pt idx="149">
                    <c:v>0.63585837620123242</c:v>
                  </c:pt>
                  <c:pt idx="150">
                    <c:v>0.66607877982284758</c:v>
                  </c:pt>
                  <c:pt idx="151">
                    <c:v>0.70438138441302622</c:v>
                  </c:pt>
                  <c:pt idx="152">
                    <c:v>5.4467006527321171E-3</c:v>
                  </c:pt>
                  <c:pt idx="153">
                    <c:v>4.937170591670284E-2</c:v>
                  </c:pt>
                  <c:pt idx="154">
                    <c:v>0.1178947141284965</c:v>
                  </c:pt>
                  <c:pt idx="155">
                    <c:v>0.19994662396159268</c:v>
                  </c:pt>
                  <c:pt idx="156">
                    <c:v>0.24404732924661904</c:v>
                  </c:pt>
                  <c:pt idx="157">
                    <c:v>0.26583413185754817</c:v>
                  </c:pt>
                  <c:pt idx="158">
                    <c:v>0.30431243646878625</c:v>
                  </c:pt>
                  <c:pt idx="159">
                    <c:v>0.33172163975350361</c:v>
                  </c:pt>
                  <c:pt idx="160">
                    <c:v>0.34788604169064485</c:v>
                  </c:pt>
                  <c:pt idx="161">
                    <c:v>0.38109334567020642</c:v>
                  </c:pt>
                  <c:pt idx="162">
                    <c:v>0.44680515354510775</c:v>
                  </c:pt>
                  <c:pt idx="163">
                    <c:v>0.47966105748255583</c:v>
                  </c:pt>
                  <c:pt idx="164">
                    <c:v>0.44662945352404837</c:v>
                  </c:pt>
                  <c:pt idx="165">
                    <c:v>0.48809465849323808</c:v>
                  </c:pt>
                  <c:pt idx="166">
                    <c:v>0.53992616470472132</c:v>
                  </c:pt>
                  <c:pt idx="167">
                    <c:v>0.58648667028453338</c:v>
                  </c:pt>
                  <c:pt idx="168">
                    <c:v>0.6003669719479463</c:v>
                  </c:pt>
                  <c:pt idx="169">
                    <c:v>0.64411627719086073</c:v>
                  </c:pt>
                  <c:pt idx="170">
                    <c:v>0.69067678277066746</c:v>
                  </c:pt>
                  <c:pt idx="171">
                    <c:v>5.4467006527321171E-3</c:v>
                  </c:pt>
                  <c:pt idx="172">
                    <c:v>7.6605209180364092E-2</c:v>
                  </c:pt>
                  <c:pt idx="173">
                    <c:v>0.17007762038209323</c:v>
                  </c:pt>
                  <c:pt idx="174">
                    <c:v>0.23016702758320456</c:v>
                  </c:pt>
                  <c:pt idx="175">
                    <c:v>0.27953873349990688</c:v>
                  </c:pt>
                  <c:pt idx="176">
                    <c:v>0.29324333514226564</c:v>
                  </c:pt>
                  <c:pt idx="177">
                    <c:v>0.43046505158691084</c:v>
                  </c:pt>
                  <c:pt idx="178">
                    <c:v>0.45506305453473067</c:v>
                  </c:pt>
                  <c:pt idx="179">
                    <c:v>0.39462224729151096</c:v>
                  </c:pt>
                  <c:pt idx="180">
                    <c:v>0.43292485188168961</c:v>
                  </c:pt>
                  <c:pt idx="181">
                    <c:v>0.47966105748255583</c:v>
                  </c:pt>
                  <c:pt idx="182">
                    <c:v>0.52920846342031436</c:v>
                  </c:pt>
                  <c:pt idx="183">
                    <c:v>0.53711496436782891</c:v>
                  </c:pt>
                  <c:pt idx="184">
                    <c:v>0.58666237030558743</c:v>
                  </c:pt>
                  <c:pt idx="185">
                    <c:v>0.65219847815942944</c:v>
                  </c:pt>
                  <c:pt idx="186">
                    <c:v>0.71826168607644436</c:v>
                  </c:pt>
                  <c:pt idx="187">
                    <c:v>1.6340101958196962E-2</c:v>
                  </c:pt>
                  <c:pt idx="188">
                    <c:v>9.874341183340507E-2</c:v>
                  </c:pt>
                  <c:pt idx="189">
                    <c:v>0.22472032693047195</c:v>
                  </c:pt>
                  <c:pt idx="190">
                    <c:v>0.24931832987829547</c:v>
                  </c:pt>
                  <c:pt idx="191">
                    <c:v>0.32065253842698305</c:v>
                  </c:pt>
                  <c:pt idx="192">
                    <c:v>0.38109334567020642</c:v>
                  </c:pt>
                  <c:pt idx="193">
                    <c:v>0.4331005519027491</c:v>
                  </c:pt>
                  <c:pt idx="194">
                    <c:v>0.45488735451367662</c:v>
                  </c:pt>
                  <c:pt idx="195">
                    <c:v>0.44961635388200011</c:v>
                  </c:pt>
                  <c:pt idx="196">
                    <c:v>0.50162356011454268</c:v>
                  </c:pt>
                  <c:pt idx="197">
                    <c:v>0.55363076634708008</c:v>
                  </c:pt>
                  <c:pt idx="198">
                    <c:v>0.61126037325341254</c:v>
                  </c:pt>
                  <c:pt idx="199">
                    <c:v>0.63304717586434023</c:v>
                  </c:pt>
                  <c:pt idx="200">
                    <c:v>2.7409203284717465E-2</c:v>
                  </c:pt>
                  <c:pt idx="201">
                    <c:v>0.13423481608669346</c:v>
                  </c:pt>
                  <c:pt idx="202">
                    <c:v>0.24141182893078084</c:v>
                  </c:pt>
                  <c:pt idx="203">
                    <c:v>0.27409203284717476</c:v>
                  </c:pt>
                  <c:pt idx="204">
                    <c:v>0.39743344762840344</c:v>
                  </c:pt>
                  <c:pt idx="205">
                    <c:v>0.46314525550330476</c:v>
                  </c:pt>
                  <c:pt idx="206">
                    <c:v>0.43854725255547961</c:v>
                  </c:pt>
                  <c:pt idx="207">
                    <c:v>0.47421435682982521</c:v>
                  </c:pt>
                  <c:pt idx="208">
                    <c:v>0.5097057610831115</c:v>
                  </c:pt>
                  <c:pt idx="209">
                    <c:v>0.57295776866322878</c:v>
                  </c:pt>
                  <c:pt idx="210">
                    <c:v>0.63585837620123242</c:v>
                  </c:pt>
                  <c:pt idx="211">
                    <c:v>0.709828085065762</c:v>
                  </c:pt>
                  <c:pt idx="212">
                    <c:v>3.5667104274344053E-2</c:v>
                  </c:pt>
                  <c:pt idx="213">
                    <c:v>0.16445521970830479</c:v>
                  </c:pt>
                  <c:pt idx="214">
                    <c:v>0.25494073055208388</c:v>
                  </c:pt>
                  <c:pt idx="215">
                    <c:v>0.28779663448953346</c:v>
                  </c:pt>
                  <c:pt idx="216">
                    <c:v>0.40288014828113394</c:v>
                  </c:pt>
                  <c:pt idx="217">
                    <c:v>0.46332095552435887</c:v>
                  </c:pt>
                  <c:pt idx="218">
                    <c:v>0.47122745647187342</c:v>
                  </c:pt>
                  <c:pt idx="219">
                    <c:v>0.5318439637361525</c:v>
                  </c:pt>
                  <c:pt idx="220">
                    <c:v>0.57559326897906704</c:v>
                  </c:pt>
                  <c:pt idx="221">
                    <c:v>0.64692747752775315</c:v>
                  </c:pt>
                  <c:pt idx="222">
                    <c:v>4.3749305242914427E-2</c:v>
                  </c:pt>
                  <c:pt idx="223">
                    <c:v>0.19801392372997839</c:v>
                  </c:pt>
                  <c:pt idx="224">
                    <c:v>0.26565843183649246</c:v>
                  </c:pt>
                  <c:pt idx="225">
                    <c:v>0.3069479367846244</c:v>
                  </c:pt>
                  <c:pt idx="226">
                    <c:v>0.40569134861803158</c:v>
                  </c:pt>
                  <c:pt idx="227">
                    <c:v>0.46332095552435881</c:v>
                  </c:pt>
                  <c:pt idx="228">
                    <c:v>0.52077486240963211</c:v>
                  </c:pt>
                  <c:pt idx="229">
                    <c:v>0.58666237030558743</c:v>
                  </c:pt>
                  <c:pt idx="230">
                    <c:v>0.64411627719086073</c:v>
                  </c:pt>
                  <c:pt idx="231">
                    <c:v>7.9065009475146608E-3</c:v>
                  </c:pt>
                  <c:pt idx="232">
                    <c:v>0.21136712533022511</c:v>
                  </c:pt>
                  <c:pt idx="233">
                    <c:v>0.28217423381574513</c:v>
                  </c:pt>
                  <c:pt idx="234">
                    <c:v>0.32346373876387763</c:v>
                  </c:pt>
                  <c:pt idx="235">
                    <c:v>0.41939595026039034</c:v>
                  </c:pt>
                  <c:pt idx="236">
                    <c:v>0.48247225781944819</c:v>
                  </c:pt>
                  <c:pt idx="237">
                    <c:v>0.56715966796838468</c:v>
                  </c:pt>
                  <c:pt idx="238">
                    <c:v>0.64692747752775304</c:v>
                  </c:pt>
                  <c:pt idx="239">
                    <c:v>1.9327002316147146E-2</c:v>
                  </c:pt>
                  <c:pt idx="240">
                    <c:v>0.22472032693047195</c:v>
                  </c:pt>
                  <c:pt idx="241">
                    <c:v>0.29043213480537172</c:v>
                  </c:pt>
                  <c:pt idx="242">
                    <c:v>0.34560194141691852</c:v>
                  </c:pt>
                  <c:pt idx="243">
                    <c:v>0.45207615417678421</c:v>
                  </c:pt>
                  <c:pt idx="244">
                    <c:v>0.52358606274652442</c:v>
                  </c:pt>
                  <c:pt idx="245">
                    <c:v>0.61934257422198147</c:v>
                  </c:pt>
                  <c:pt idx="246">
                    <c:v>0.71826168607644436</c:v>
                  </c:pt>
                  <c:pt idx="247">
                    <c:v>3.022040362161138E-2</c:v>
                  </c:pt>
                  <c:pt idx="248">
                    <c:v>0.23016702758320459</c:v>
                  </c:pt>
                  <c:pt idx="249">
                    <c:v>0.3069479367846244</c:v>
                  </c:pt>
                  <c:pt idx="250">
                    <c:v>0.36457754369095374</c:v>
                  </c:pt>
                  <c:pt idx="251">
                    <c:v>0.48510775813528628</c:v>
                  </c:pt>
                  <c:pt idx="252">
                    <c:v>0.56733536798943884</c:v>
                  </c:pt>
                  <c:pt idx="253">
                    <c:v>0.67433668081247045</c:v>
                  </c:pt>
                  <c:pt idx="254">
                    <c:v>4.6560505579808342E-2</c:v>
                  </c:pt>
                  <c:pt idx="255">
                    <c:v>0.23297822792009854</c:v>
                  </c:pt>
                  <c:pt idx="256">
                    <c:v>0.31520583777425099</c:v>
                  </c:pt>
                  <c:pt idx="257">
                    <c:v>0.38917554663877674</c:v>
                  </c:pt>
                  <c:pt idx="258">
                    <c:v>0.51796366207273969</c:v>
                  </c:pt>
                  <c:pt idx="259">
                    <c:v>0.6114360732744667</c:v>
                  </c:pt>
                  <c:pt idx="260">
                    <c:v>6.290060753800536E-2</c:v>
                  </c:pt>
                  <c:pt idx="261">
                    <c:v>0.24123612890972515</c:v>
                  </c:pt>
                  <c:pt idx="262">
                    <c:v>0.33154593973244795</c:v>
                  </c:pt>
                  <c:pt idx="263">
                    <c:v>0.41113804927076214</c:v>
                  </c:pt>
                  <c:pt idx="264">
                    <c:v>0.55099526603124183</c:v>
                  </c:pt>
                  <c:pt idx="265">
                    <c:v>0.65782087883321938</c:v>
                  </c:pt>
                  <c:pt idx="266">
                    <c:v>7.6780909201420278E-2</c:v>
                  </c:pt>
                  <c:pt idx="267">
                    <c:v>0.24931832987829547</c:v>
                  </c:pt>
                  <c:pt idx="268">
                    <c:v>0.34806174171170062</c:v>
                  </c:pt>
                  <c:pt idx="269">
                    <c:v>0.43854725255547966</c:v>
                  </c:pt>
                  <c:pt idx="270">
                    <c:v>0.58666237030558743</c:v>
                  </c:pt>
                  <c:pt idx="271">
                    <c:v>0.709828085065762</c:v>
                  </c:pt>
                  <c:pt idx="272">
                    <c:v>9.0661210864834696E-2</c:v>
                  </c:pt>
                  <c:pt idx="273">
                    <c:v>0.260387431204816</c:v>
                  </c:pt>
                  <c:pt idx="274">
                    <c:v>0.36440184366989758</c:v>
                  </c:pt>
                  <c:pt idx="275">
                    <c:v>0.46314525550330476</c:v>
                  </c:pt>
                  <c:pt idx="276">
                    <c:v>0.62514067491682546</c:v>
                  </c:pt>
                  <c:pt idx="277">
                    <c:v>0.106825612801976</c:v>
                  </c:pt>
                  <c:pt idx="278">
                    <c:v>0.26319863154170992</c:v>
                  </c:pt>
                  <c:pt idx="279">
                    <c:v>0.38074194562809449</c:v>
                  </c:pt>
                  <c:pt idx="280">
                    <c:v>0.48791895847218397</c:v>
                  </c:pt>
                  <c:pt idx="281">
                    <c:v>0.66625447984390163</c:v>
                  </c:pt>
                  <c:pt idx="282">
                    <c:v>0.12316571476017291</c:v>
                  </c:pt>
                  <c:pt idx="283">
                    <c:v>0.27409203284717476</c:v>
                  </c:pt>
                  <c:pt idx="284">
                    <c:v>0.39462224729151107</c:v>
                  </c:pt>
                  <c:pt idx="285">
                    <c:v>0.51796366207273969</c:v>
                  </c:pt>
                  <c:pt idx="286">
                    <c:v>0.71000378508681616</c:v>
                  </c:pt>
                  <c:pt idx="287">
                    <c:v>0.1398572167604813</c:v>
                  </c:pt>
                  <c:pt idx="288">
                    <c:v>0.28498543415263949</c:v>
                  </c:pt>
                  <c:pt idx="289">
                    <c:v>0.41377354958660029</c:v>
                  </c:pt>
                  <c:pt idx="290">
                    <c:v>0.54554856537851126</c:v>
                  </c:pt>
                  <c:pt idx="291">
                    <c:v>0.15075061806594614</c:v>
                  </c:pt>
                  <c:pt idx="292">
                    <c:v>0.29043213480537178</c:v>
                  </c:pt>
                  <c:pt idx="293">
                    <c:v>0.43064075160796489</c:v>
                  </c:pt>
                  <c:pt idx="294">
                    <c:v>0.57541756895801277</c:v>
                  </c:pt>
                  <c:pt idx="295">
                    <c:v>0.16990192036103702</c:v>
                  </c:pt>
                  <c:pt idx="296">
                    <c:v>0.29886573581605402</c:v>
                  </c:pt>
                  <c:pt idx="297">
                    <c:v>0.45225185419783842</c:v>
                  </c:pt>
                  <c:pt idx="298">
                    <c:v>0.60563797257962271</c:v>
                  </c:pt>
                  <c:pt idx="299">
                    <c:v>0.19467562332991623</c:v>
                  </c:pt>
                  <c:pt idx="300">
                    <c:v>0.31239463743735707</c:v>
                  </c:pt>
                  <c:pt idx="301">
                    <c:v>0.47157885651398707</c:v>
                  </c:pt>
                  <c:pt idx="302">
                    <c:v>0.63585837620123242</c:v>
                  </c:pt>
                  <c:pt idx="303">
                    <c:v>0.20012232398264893</c:v>
                  </c:pt>
                  <c:pt idx="304">
                    <c:v>0.32328803874282125</c:v>
                  </c:pt>
                  <c:pt idx="305">
                    <c:v>0.49336565912491459</c:v>
                  </c:pt>
                  <c:pt idx="306">
                    <c:v>0.67433668081247045</c:v>
                  </c:pt>
                  <c:pt idx="307">
                    <c:v>0.20539332461432536</c:v>
                  </c:pt>
                  <c:pt idx="308">
                    <c:v>0.33189733977455987</c:v>
                  </c:pt>
                  <c:pt idx="309">
                    <c:v>0.5125169614200038</c:v>
                  </c:pt>
                  <c:pt idx="310">
                    <c:v>0.2082045249512193</c:v>
                  </c:pt>
                  <c:pt idx="311">
                    <c:v>0.34542624139586242</c:v>
                  </c:pt>
                  <c:pt idx="312">
                    <c:v>0.53729066438888307</c:v>
                  </c:pt>
                  <c:pt idx="313">
                    <c:v>0.21101572528811316</c:v>
                  </c:pt>
                  <c:pt idx="314">
                    <c:v>0.35350844236443324</c:v>
                  </c:pt>
                  <c:pt idx="315">
                    <c:v>0.55626626666291834</c:v>
                  </c:pt>
                  <c:pt idx="316">
                    <c:v>0.21663812596190163</c:v>
                  </c:pt>
                  <c:pt idx="317">
                    <c:v>0.36475324371200946</c:v>
                  </c:pt>
                  <c:pt idx="318">
                    <c:v>0.5782287692949053</c:v>
                  </c:pt>
                  <c:pt idx="319">
                    <c:v>0.22190912659357809</c:v>
                  </c:pt>
                  <c:pt idx="320">
                    <c:v>0.37283544468057989</c:v>
                  </c:pt>
                  <c:pt idx="321">
                    <c:v>0.60300247226378434</c:v>
                  </c:pt>
                  <c:pt idx="322">
                    <c:v>0.22472032693047195</c:v>
                  </c:pt>
                  <c:pt idx="323">
                    <c:v>0.38917554663877674</c:v>
                  </c:pt>
                  <c:pt idx="324">
                    <c:v>0.62777617523266382</c:v>
                  </c:pt>
                  <c:pt idx="325">
                    <c:v>0.22472032693047192</c:v>
                  </c:pt>
                  <c:pt idx="326">
                    <c:v>0.39743344762840344</c:v>
                  </c:pt>
                  <c:pt idx="327">
                    <c:v>0.65237417818048882</c:v>
                  </c:pt>
                  <c:pt idx="328">
                    <c:v>0.56452416765254643</c:v>
                  </c:pt>
                  <c:pt idx="329">
                    <c:v>0.41113804927076214</c:v>
                  </c:pt>
                  <c:pt idx="330">
                    <c:v>0.6799590814862605</c:v>
                  </c:pt>
                  <c:pt idx="331">
                    <c:v>0.57541756895801288</c:v>
                  </c:pt>
                  <c:pt idx="332">
                    <c:v>0.42220715059728264</c:v>
                  </c:pt>
                  <c:pt idx="333">
                    <c:v>0.5810399696317976</c:v>
                  </c:pt>
                  <c:pt idx="334">
                    <c:v>0.43854725255547966</c:v>
                  </c:pt>
                  <c:pt idx="335">
                    <c:v>0.58666237030558743</c:v>
                  </c:pt>
                  <c:pt idx="336">
                    <c:v>0.45207615417678421</c:v>
                  </c:pt>
                  <c:pt idx="337">
                    <c:v>0.59474457127415636</c:v>
                  </c:pt>
                  <c:pt idx="338">
                    <c:v>0.46332095552435887</c:v>
                  </c:pt>
                  <c:pt idx="339">
                    <c:v>0.60300247226378445</c:v>
                  </c:pt>
                  <c:pt idx="340">
                    <c:v>0.47966105748255583</c:v>
                  </c:pt>
                  <c:pt idx="341">
                    <c:v>0.60563797257962271</c:v>
                  </c:pt>
                  <c:pt idx="342">
                    <c:v>0.49600115944075285</c:v>
                  </c:pt>
                  <c:pt idx="343">
                    <c:v>0.61969397426409489</c:v>
                  </c:pt>
                  <c:pt idx="344">
                    <c:v>0.5097057610831115</c:v>
                  </c:pt>
                  <c:pt idx="345">
                    <c:v>0.62777617523266371</c:v>
                  </c:pt>
                  <c:pt idx="346">
                    <c:v>0.52358606274652442</c:v>
                  </c:pt>
                  <c:pt idx="347">
                    <c:v>0.63568267618017837</c:v>
                  </c:pt>
                  <c:pt idx="348">
                    <c:v>0.53711496436782891</c:v>
                  </c:pt>
                  <c:pt idx="349">
                    <c:v>0.64165647689607663</c:v>
                  </c:pt>
                  <c:pt idx="350">
                    <c:v>0.55363076634708008</c:v>
                  </c:pt>
                  <c:pt idx="351">
                    <c:v>0.64692747752775315</c:v>
                  </c:pt>
                  <c:pt idx="352">
                    <c:v>0.56733536798943884</c:v>
                  </c:pt>
                  <c:pt idx="353">
                    <c:v>0.66063207917011191</c:v>
                  </c:pt>
                  <c:pt idx="354">
                    <c:v>0.5810399696317976</c:v>
                  </c:pt>
                  <c:pt idx="355">
                    <c:v>0.66888998015973988</c:v>
                  </c:pt>
                  <c:pt idx="356">
                    <c:v>0.59456887125310209</c:v>
                  </c:pt>
                  <c:pt idx="357">
                    <c:v>0.68259458180209864</c:v>
                  </c:pt>
                  <c:pt idx="358">
                    <c:v>0.61407157359030506</c:v>
                  </c:pt>
                  <c:pt idx="359">
                    <c:v>0.69050108274961342</c:v>
                  </c:pt>
                  <c:pt idx="360">
                    <c:v>0.63322287588539428</c:v>
                  </c:pt>
                  <c:pt idx="361">
                    <c:v>0.6987589837392415</c:v>
                  </c:pt>
                  <c:pt idx="362">
                    <c:v>0.65254987820154287</c:v>
                  </c:pt>
                  <c:pt idx="363">
                    <c:v>0.71000378508681616</c:v>
                  </c:pt>
                  <c:pt idx="364">
                    <c:v>0.71791028603433094</c:v>
                  </c:pt>
                  <c:pt idx="365">
                    <c:v>0.72634388704501296</c:v>
                  </c:pt>
                  <c:pt idx="366">
                    <c:v>0.73477748805569532</c:v>
                  </c:pt>
                  <c:pt idx="367">
                    <c:v>0.74813068965594065</c:v>
                  </c:pt>
                  <c:pt idx="368">
                    <c:v>0.75919979098246104</c:v>
                  </c:pt>
                  <c:pt idx="369">
                    <c:v>0.76464649163519693</c:v>
                  </c:pt>
                  <c:pt idx="370">
                    <c:v>0.78133799363550216</c:v>
                  </c:pt>
                  <c:pt idx="371">
                    <c:v>0.78924449458301682</c:v>
                  </c:pt>
                  <c:pt idx="372">
                    <c:v>0.8004892959305967</c:v>
                  </c:pt>
                  <c:pt idx="373">
                    <c:v>0.81138269723605783</c:v>
                  </c:pt>
                  <c:pt idx="374">
                    <c:v>0.82491159885736243</c:v>
                  </c:pt>
                  <c:pt idx="375">
                    <c:v>0.83053399953115259</c:v>
                  </c:pt>
                  <c:pt idx="376">
                    <c:v>0.84406290115245175</c:v>
                  </c:pt>
                  <c:pt idx="377">
                    <c:v>0.85530770250003174</c:v>
                  </c:pt>
                  <c:pt idx="378">
                    <c:v>0.86602540378443871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plot!$K$33:$K$411</c:f>
              <c:numCache>
                <c:formatCode>General</c:formatCode>
                <c:ptCount val="379"/>
                <c:pt idx="0">
                  <c:v>-0.29883623873011983</c:v>
                </c:pt>
                <c:pt idx="1">
                  <c:v>-0.27884277871339841</c:v>
                </c:pt>
                <c:pt idx="2">
                  <c:v>-0.25884931869667688</c:v>
                </c:pt>
                <c:pt idx="3">
                  <c:v>-0.23885585867995549</c:v>
                </c:pt>
                <c:pt idx="4">
                  <c:v>-0.21886239866323395</c:v>
                </c:pt>
                <c:pt idx="5">
                  <c:v>-0.19886893864651253</c:v>
                </c:pt>
                <c:pt idx="6">
                  <c:v>-0.17887547862979111</c:v>
                </c:pt>
                <c:pt idx="7">
                  <c:v>-0.15888201861306964</c:v>
                </c:pt>
                <c:pt idx="8">
                  <c:v>-0.13888855859634816</c:v>
                </c:pt>
                <c:pt idx="9">
                  <c:v>-0.11889509857962674</c:v>
                </c:pt>
                <c:pt idx="10">
                  <c:v>-9.8901638562905264E-2</c:v>
                </c:pt>
                <c:pt idx="11">
                  <c:v>-7.8908178546183816E-2</c:v>
                </c:pt>
                <c:pt idx="12">
                  <c:v>-5.8914718529462361E-2</c:v>
                </c:pt>
                <c:pt idx="13">
                  <c:v>-3.8921258512740885E-2</c:v>
                </c:pt>
                <c:pt idx="14">
                  <c:v>-1.8927798496019461E-2</c:v>
                </c:pt>
                <c:pt idx="15">
                  <c:v>1.0656615207020174E-3</c:v>
                </c:pt>
                <c:pt idx="16">
                  <c:v>2.105912153742347E-2</c:v>
                </c:pt>
                <c:pt idx="17">
                  <c:v>4.105258155414495E-2</c:v>
                </c:pt>
                <c:pt idx="18">
                  <c:v>6.1046041570866384E-2</c:v>
                </c:pt>
                <c:pt idx="19">
                  <c:v>8.1039501587587812E-2</c:v>
                </c:pt>
                <c:pt idx="20">
                  <c:v>0.1010329616043093</c:v>
                </c:pt>
                <c:pt idx="21">
                  <c:v>0.12102642162103072</c:v>
                </c:pt>
                <c:pt idx="22">
                  <c:v>0.14101988163775223</c:v>
                </c:pt>
                <c:pt idx="23">
                  <c:v>0.16101334165447365</c:v>
                </c:pt>
                <c:pt idx="24">
                  <c:v>0.18100680167119507</c:v>
                </c:pt>
                <c:pt idx="25">
                  <c:v>0.20100026168791654</c:v>
                </c:pt>
                <c:pt idx="26">
                  <c:v>0.22099372170463805</c:v>
                </c:pt>
                <c:pt idx="27">
                  <c:v>0.24098718172135952</c:v>
                </c:pt>
                <c:pt idx="28">
                  <c:v>0.26098064173808094</c:v>
                </c:pt>
                <c:pt idx="29">
                  <c:v>0.28097410175480242</c:v>
                </c:pt>
                <c:pt idx="30">
                  <c:v>0.30096756177152389</c:v>
                </c:pt>
                <c:pt idx="31">
                  <c:v>0.32096102178824526</c:v>
                </c:pt>
                <c:pt idx="32">
                  <c:v>0.34095448180496679</c:v>
                </c:pt>
                <c:pt idx="33">
                  <c:v>0.36094794182168821</c:v>
                </c:pt>
                <c:pt idx="34">
                  <c:v>0.38094140183840974</c:v>
                </c:pt>
                <c:pt idx="35">
                  <c:v>0.40093486185513111</c:v>
                </c:pt>
                <c:pt idx="36">
                  <c:v>0.42092832187185258</c:v>
                </c:pt>
                <c:pt idx="37">
                  <c:v>0.440921781888574</c:v>
                </c:pt>
                <c:pt idx="38">
                  <c:v>0.46091524190529543</c:v>
                </c:pt>
                <c:pt idx="39">
                  <c:v>0.48090870192201696</c:v>
                </c:pt>
                <c:pt idx="40">
                  <c:v>0.50090216193873838</c:v>
                </c:pt>
                <c:pt idx="41">
                  <c:v>0.52089562195545991</c:v>
                </c:pt>
                <c:pt idx="42">
                  <c:v>0.54088908197218122</c:v>
                </c:pt>
                <c:pt idx="43">
                  <c:v>0.56088254198890275</c:v>
                </c:pt>
                <c:pt idx="44">
                  <c:v>0.58087600200562428</c:v>
                </c:pt>
                <c:pt idx="45">
                  <c:v>0.6008694620223457</c:v>
                </c:pt>
                <c:pt idx="46">
                  <c:v>0.62086292203906712</c:v>
                </c:pt>
                <c:pt idx="47">
                  <c:v>0.64085638205578854</c:v>
                </c:pt>
                <c:pt idx="48">
                  <c:v>-0.3273379173405922</c:v>
                </c:pt>
                <c:pt idx="49">
                  <c:v>-0.30734445732387078</c:v>
                </c:pt>
                <c:pt idx="50">
                  <c:v>-0.2873509973071493</c:v>
                </c:pt>
                <c:pt idx="51">
                  <c:v>-0.26735753729042788</c:v>
                </c:pt>
                <c:pt idx="52">
                  <c:v>-0.24736407727370635</c:v>
                </c:pt>
                <c:pt idx="53">
                  <c:v>-0.22737061725698493</c:v>
                </c:pt>
                <c:pt idx="54">
                  <c:v>-0.20737715724026351</c:v>
                </c:pt>
                <c:pt idx="55">
                  <c:v>-0.18738369722354203</c:v>
                </c:pt>
                <c:pt idx="56">
                  <c:v>-0.16739023720682053</c:v>
                </c:pt>
                <c:pt idx="57">
                  <c:v>-0.14739677719009911</c:v>
                </c:pt>
                <c:pt idx="58">
                  <c:v>-0.12740331717337763</c:v>
                </c:pt>
                <c:pt idx="59">
                  <c:v>-0.10740985715665619</c:v>
                </c:pt>
                <c:pt idx="60">
                  <c:v>-8.7416397139934737E-2</c:v>
                </c:pt>
                <c:pt idx="61">
                  <c:v>-6.7422937123213261E-2</c:v>
                </c:pt>
                <c:pt idx="62">
                  <c:v>-4.7429477106491841E-2</c:v>
                </c:pt>
                <c:pt idx="63">
                  <c:v>-2.7436017089770358E-2</c:v>
                </c:pt>
                <c:pt idx="64">
                  <c:v>-7.4425570730489079E-3</c:v>
                </c:pt>
                <c:pt idx="65">
                  <c:v>1.255090294367257E-2</c:v>
                </c:pt>
                <c:pt idx="66">
                  <c:v>3.2544362960394008E-2</c:v>
                </c:pt>
                <c:pt idx="67">
                  <c:v>5.2537822977115428E-2</c:v>
                </c:pt>
                <c:pt idx="68">
                  <c:v>7.2531282993836918E-2</c:v>
                </c:pt>
                <c:pt idx="69">
                  <c:v>9.2524743010558338E-2</c:v>
                </c:pt>
                <c:pt idx="70">
                  <c:v>0.11251820302727984</c:v>
                </c:pt>
                <c:pt idx="71">
                  <c:v>0.13251166304400128</c:v>
                </c:pt>
                <c:pt idx="72">
                  <c:v>0.1525051230607227</c:v>
                </c:pt>
                <c:pt idx="73">
                  <c:v>0.1724985830774442</c:v>
                </c:pt>
                <c:pt idx="74">
                  <c:v>0.19249204309416568</c:v>
                </c:pt>
                <c:pt idx="75">
                  <c:v>0.21248550311088715</c:v>
                </c:pt>
                <c:pt idx="76">
                  <c:v>0.23247896312760852</c:v>
                </c:pt>
                <c:pt idx="77">
                  <c:v>0.25247242314432999</c:v>
                </c:pt>
                <c:pt idx="78">
                  <c:v>0.27246588316105147</c:v>
                </c:pt>
                <c:pt idx="79">
                  <c:v>0.29245934317777289</c:v>
                </c:pt>
                <c:pt idx="80">
                  <c:v>0.31245280319449437</c:v>
                </c:pt>
                <c:pt idx="81">
                  <c:v>0.33244626321121584</c:v>
                </c:pt>
                <c:pt idx="82">
                  <c:v>0.35243972322793732</c:v>
                </c:pt>
                <c:pt idx="83">
                  <c:v>0.37243318324465868</c:v>
                </c:pt>
                <c:pt idx="84">
                  <c:v>0.39242664326138021</c:v>
                </c:pt>
                <c:pt idx="85">
                  <c:v>0.41242010327810164</c:v>
                </c:pt>
                <c:pt idx="86">
                  <c:v>0.43241356329482311</c:v>
                </c:pt>
                <c:pt idx="87">
                  <c:v>0.45240702331154459</c:v>
                </c:pt>
                <c:pt idx="88">
                  <c:v>0.47240048332826606</c:v>
                </c:pt>
                <c:pt idx="89">
                  <c:v>0.49239394334498754</c:v>
                </c:pt>
                <c:pt idx="90">
                  <c:v>0.51238740336170885</c:v>
                </c:pt>
                <c:pt idx="91">
                  <c:v>0.53238086337843038</c:v>
                </c:pt>
                <c:pt idx="92">
                  <c:v>0.55237432339515191</c:v>
                </c:pt>
                <c:pt idx="93">
                  <c:v>0.57236778341187333</c:v>
                </c:pt>
                <c:pt idx="94">
                  <c:v>0.59236124342859475</c:v>
                </c:pt>
                <c:pt idx="95">
                  <c:v>0.61235470344531617</c:v>
                </c:pt>
                <c:pt idx="96">
                  <c:v>-0.35583959595106457</c:v>
                </c:pt>
                <c:pt idx="97">
                  <c:v>-0.33584613593434315</c:v>
                </c:pt>
                <c:pt idx="98">
                  <c:v>-0.31585267591762173</c:v>
                </c:pt>
                <c:pt idx="99">
                  <c:v>-0.29585921590090031</c:v>
                </c:pt>
                <c:pt idx="100">
                  <c:v>-0.27586575588417878</c:v>
                </c:pt>
                <c:pt idx="101">
                  <c:v>-0.25587229586745736</c:v>
                </c:pt>
                <c:pt idx="102">
                  <c:v>-0.23587883585073588</c:v>
                </c:pt>
                <c:pt idx="103">
                  <c:v>-0.2158853758340144</c:v>
                </c:pt>
                <c:pt idx="104">
                  <c:v>-0.19589191581729293</c:v>
                </c:pt>
                <c:pt idx="105">
                  <c:v>-0.17589845580057151</c:v>
                </c:pt>
                <c:pt idx="106">
                  <c:v>-0.15590499578385003</c:v>
                </c:pt>
                <c:pt idx="107">
                  <c:v>-0.13591153576712858</c:v>
                </c:pt>
                <c:pt idx="108">
                  <c:v>-0.11591807575040712</c:v>
                </c:pt>
                <c:pt idx="109">
                  <c:v>-9.5924615733685645E-2</c:v>
                </c:pt>
                <c:pt idx="110">
                  <c:v>-7.593115571696421E-2</c:v>
                </c:pt>
                <c:pt idx="111">
                  <c:v>-5.5937695700242734E-2</c:v>
                </c:pt>
                <c:pt idx="112">
                  <c:v>-3.5944235683521293E-2</c:v>
                </c:pt>
                <c:pt idx="113">
                  <c:v>-1.5950775666799817E-2</c:v>
                </c:pt>
                <c:pt idx="114">
                  <c:v>4.0426843499216224E-3</c:v>
                </c:pt>
                <c:pt idx="115">
                  <c:v>2.4036144366643045E-2</c:v>
                </c:pt>
                <c:pt idx="116">
                  <c:v>4.4029604383364535E-2</c:v>
                </c:pt>
                <c:pt idx="117">
                  <c:v>6.4023064400085955E-2</c:v>
                </c:pt>
                <c:pt idx="118">
                  <c:v>8.4016524416807459E-2</c:v>
                </c:pt>
                <c:pt idx="119">
                  <c:v>0.10400998443352889</c:v>
                </c:pt>
                <c:pt idx="120">
                  <c:v>0.12400344445025031</c:v>
                </c:pt>
                <c:pt idx="121">
                  <c:v>0.1439969044669718</c:v>
                </c:pt>
                <c:pt idx="122">
                  <c:v>0.16399036448369331</c:v>
                </c:pt>
                <c:pt idx="123">
                  <c:v>0.18398382450041478</c:v>
                </c:pt>
                <c:pt idx="124">
                  <c:v>0.20397728451713618</c:v>
                </c:pt>
                <c:pt idx="125">
                  <c:v>0.22397074453385765</c:v>
                </c:pt>
                <c:pt idx="126">
                  <c:v>0.24396420455057913</c:v>
                </c:pt>
                <c:pt idx="127">
                  <c:v>0.26395766456730052</c:v>
                </c:pt>
                <c:pt idx="128">
                  <c:v>-0.38434127456153699</c:v>
                </c:pt>
                <c:pt idx="129">
                  <c:v>-0.36434781454481557</c:v>
                </c:pt>
                <c:pt idx="130">
                  <c:v>-0.3443543545280941</c:v>
                </c:pt>
                <c:pt idx="131">
                  <c:v>-0.32436089451137268</c:v>
                </c:pt>
                <c:pt idx="132">
                  <c:v>-0.30436743449465115</c:v>
                </c:pt>
                <c:pt idx="133">
                  <c:v>-0.28437397447792973</c:v>
                </c:pt>
                <c:pt idx="134">
                  <c:v>-0.26438051446120825</c:v>
                </c:pt>
                <c:pt idx="135">
                  <c:v>-0.2443870544444868</c:v>
                </c:pt>
                <c:pt idx="136">
                  <c:v>-0.22439359442776532</c:v>
                </c:pt>
                <c:pt idx="137">
                  <c:v>-0.20440013441104388</c:v>
                </c:pt>
                <c:pt idx="138">
                  <c:v>-0.1844066743943224</c:v>
                </c:pt>
                <c:pt idx="139">
                  <c:v>-0.16441321437760098</c:v>
                </c:pt>
                <c:pt idx="140">
                  <c:v>-0.1444197543608795</c:v>
                </c:pt>
                <c:pt idx="141">
                  <c:v>-0.12442629434415804</c:v>
                </c:pt>
                <c:pt idx="142">
                  <c:v>-0.10443283432743662</c:v>
                </c:pt>
                <c:pt idx="143">
                  <c:v>-8.4439374310715146E-2</c:v>
                </c:pt>
                <c:pt idx="144">
                  <c:v>-6.4445914293993697E-2</c:v>
                </c:pt>
                <c:pt idx="145">
                  <c:v>-4.4452454277272208E-2</c:v>
                </c:pt>
                <c:pt idx="146">
                  <c:v>-2.4458994260550773E-2</c:v>
                </c:pt>
                <c:pt idx="147">
                  <c:v>-4.4655342438293458E-3</c:v>
                </c:pt>
                <c:pt idx="148">
                  <c:v>1.5527925772892146E-2</c:v>
                </c:pt>
                <c:pt idx="149">
                  <c:v>3.5521385789613578E-2</c:v>
                </c:pt>
                <c:pt idx="150">
                  <c:v>5.5514845806335068E-2</c:v>
                </c:pt>
                <c:pt idx="151">
                  <c:v>7.550830582305651E-2</c:v>
                </c:pt>
                <c:pt idx="152">
                  <c:v>-0.41284295317200942</c:v>
                </c:pt>
                <c:pt idx="153">
                  <c:v>-0.392849493155288</c:v>
                </c:pt>
                <c:pt idx="154">
                  <c:v>-0.37285603313856652</c:v>
                </c:pt>
                <c:pt idx="155">
                  <c:v>-0.3528625731218451</c:v>
                </c:pt>
                <c:pt idx="156">
                  <c:v>-0.33286911310512352</c:v>
                </c:pt>
                <c:pt idx="157">
                  <c:v>-0.31287565308840209</c:v>
                </c:pt>
                <c:pt idx="158">
                  <c:v>-0.29288219307168067</c:v>
                </c:pt>
                <c:pt idx="159">
                  <c:v>-0.2728887330549592</c:v>
                </c:pt>
                <c:pt idx="160">
                  <c:v>-0.25289527303823772</c:v>
                </c:pt>
                <c:pt idx="161">
                  <c:v>-0.2329018130215163</c:v>
                </c:pt>
                <c:pt idx="162">
                  <c:v>-0.21290835300479483</c:v>
                </c:pt>
                <c:pt idx="163">
                  <c:v>-0.19291489298807335</c:v>
                </c:pt>
                <c:pt idx="164">
                  <c:v>-0.17292143297135193</c:v>
                </c:pt>
                <c:pt idx="165">
                  <c:v>-0.15292797295463045</c:v>
                </c:pt>
                <c:pt idx="166">
                  <c:v>-0.13293451293790901</c:v>
                </c:pt>
                <c:pt idx="167">
                  <c:v>-0.11294105292118752</c:v>
                </c:pt>
                <c:pt idx="168">
                  <c:v>-9.2947592904466067E-2</c:v>
                </c:pt>
                <c:pt idx="169">
                  <c:v>-7.2954132887744591E-2</c:v>
                </c:pt>
                <c:pt idx="170">
                  <c:v>-5.296067287102315E-2</c:v>
                </c:pt>
                <c:pt idx="171">
                  <c:v>-0.44134463178248179</c:v>
                </c:pt>
                <c:pt idx="172">
                  <c:v>-0.42135117176576037</c:v>
                </c:pt>
                <c:pt idx="173">
                  <c:v>-0.40135771174903895</c:v>
                </c:pt>
                <c:pt idx="174">
                  <c:v>-0.38136425173231753</c:v>
                </c:pt>
                <c:pt idx="175">
                  <c:v>-0.36137079171559594</c:v>
                </c:pt>
                <c:pt idx="176">
                  <c:v>-0.34137733169887452</c:v>
                </c:pt>
                <c:pt idx="177">
                  <c:v>-0.3213838716821531</c:v>
                </c:pt>
                <c:pt idx="178">
                  <c:v>-0.30139041166543157</c:v>
                </c:pt>
                <c:pt idx="179">
                  <c:v>-0.28139695164871015</c:v>
                </c:pt>
                <c:pt idx="180">
                  <c:v>-0.26140349163198873</c:v>
                </c:pt>
                <c:pt idx="181">
                  <c:v>-0.24141003161526722</c:v>
                </c:pt>
                <c:pt idx="182">
                  <c:v>-0.22141657159854577</c:v>
                </c:pt>
                <c:pt idx="183">
                  <c:v>-0.2014231115818243</c:v>
                </c:pt>
                <c:pt idx="184">
                  <c:v>-0.18142965156510282</c:v>
                </c:pt>
                <c:pt idx="185">
                  <c:v>-0.1614361915483814</c:v>
                </c:pt>
                <c:pt idx="186">
                  <c:v>-0.14144273153165993</c:v>
                </c:pt>
                <c:pt idx="187">
                  <c:v>-0.46984631039295421</c:v>
                </c:pt>
                <c:pt idx="188">
                  <c:v>-0.44985285037623279</c:v>
                </c:pt>
                <c:pt idx="189">
                  <c:v>-0.42985939035951132</c:v>
                </c:pt>
                <c:pt idx="190">
                  <c:v>-0.40986593034278984</c:v>
                </c:pt>
                <c:pt idx="191">
                  <c:v>-0.38987247032606831</c:v>
                </c:pt>
                <c:pt idx="192">
                  <c:v>-0.36987901030934689</c:v>
                </c:pt>
                <c:pt idx="193">
                  <c:v>-0.34988555029262547</c:v>
                </c:pt>
                <c:pt idx="194">
                  <c:v>-0.32989209027590399</c:v>
                </c:pt>
                <c:pt idx="195">
                  <c:v>-0.30989863025918252</c:v>
                </c:pt>
                <c:pt idx="196">
                  <c:v>-0.2899051702424611</c:v>
                </c:pt>
                <c:pt idx="197">
                  <c:v>-0.26991171022573962</c:v>
                </c:pt>
                <c:pt idx="198">
                  <c:v>-0.24991825020901814</c:v>
                </c:pt>
                <c:pt idx="199">
                  <c:v>-0.2299247901922967</c:v>
                </c:pt>
                <c:pt idx="200">
                  <c:v>-0.49834798900342664</c:v>
                </c:pt>
                <c:pt idx="201">
                  <c:v>-0.47835452898670522</c:v>
                </c:pt>
                <c:pt idx="202">
                  <c:v>-0.45836106896998369</c:v>
                </c:pt>
                <c:pt idx="203">
                  <c:v>-0.43836760895326227</c:v>
                </c:pt>
                <c:pt idx="204">
                  <c:v>-0.41837414893654074</c:v>
                </c:pt>
                <c:pt idx="205">
                  <c:v>-0.39838068891981931</c:v>
                </c:pt>
                <c:pt idx="206">
                  <c:v>-0.37838722890309789</c:v>
                </c:pt>
                <c:pt idx="207">
                  <c:v>-0.35839376888637642</c:v>
                </c:pt>
                <c:pt idx="208">
                  <c:v>-0.33840030886965494</c:v>
                </c:pt>
                <c:pt idx="209">
                  <c:v>-0.31840684885293352</c:v>
                </c:pt>
                <c:pt idx="210">
                  <c:v>-0.29841338883621199</c:v>
                </c:pt>
                <c:pt idx="211">
                  <c:v>-0.27841992881949051</c:v>
                </c:pt>
                <c:pt idx="212">
                  <c:v>-0.52684966761389906</c:v>
                </c:pt>
                <c:pt idx="213">
                  <c:v>-0.50685620759717753</c:v>
                </c:pt>
                <c:pt idx="214">
                  <c:v>-0.48686274758045606</c:v>
                </c:pt>
                <c:pt idx="215">
                  <c:v>-0.46686928756373464</c:v>
                </c:pt>
                <c:pt idx="216">
                  <c:v>-0.4468758275470131</c:v>
                </c:pt>
                <c:pt idx="217">
                  <c:v>-0.42688236753029168</c:v>
                </c:pt>
                <c:pt idx="218">
                  <c:v>-0.40688890751357026</c:v>
                </c:pt>
                <c:pt idx="219">
                  <c:v>-0.38689544749684879</c:v>
                </c:pt>
                <c:pt idx="220">
                  <c:v>-0.36690198748012731</c:v>
                </c:pt>
                <c:pt idx="221">
                  <c:v>-0.34690852746340584</c:v>
                </c:pt>
                <c:pt idx="222">
                  <c:v>-0.55535134622437132</c:v>
                </c:pt>
                <c:pt idx="223">
                  <c:v>-0.5353578862076499</c:v>
                </c:pt>
                <c:pt idx="224">
                  <c:v>-0.51536442619092848</c:v>
                </c:pt>
                <c:pt idx="225">
                  <c:v>-0.49537096617420706</c:v>
                </c:pt>
                <c:pt idx="226">
                  <c:v>-0.47537750615748553</c:v>
                </c:pt>
                <c:pt idx="227">
                  <c:v>-0.45538404614076411</c:v>
                </c:pt>
                <c:pt idx="228">
                  <c:v>-0.43539058612404269</c:v>
                </c:pt>
                <c:pt idx="229">
                  <c:v>-0.41539712610732121</c:v>
                </c:pt>
                <c:pt idx="230">
                  <c:v>-0.39540366609059968</c:v>
                </c:pt>
                <c:pt idx="231">
                  <c:v>-0.58385302483484391</c:v>
                </c:pt>
                <c:pt idx="232">
                  <c:v>-0.56385956481812238</c:v>
                </c:pt>
                <c:pt idx="233">
                  <c:v>-0.54386610480140085</c:v>
                </c:pt>
                <c:pt idx="234">
                  <c:v>-0.52387264478467943</c:v>
                </c:pt>
                <c:pt idx="235">
                  <c:v>-0.5038791847679579</c:v>
                </c:pt>
                <c:pt idx="236">
                  <c:v>-0.48388572475123648</c:v>
                </c:pt>
                <c:pt idx="237">
                  <c:v>-0.46389226473451506</c:v>
                </c:pt>
                <c:pt idx="238">
                  <c:v>-0.44389880471779358</c:v>
                </c:pt>
                <c:pt idx="239">
                  <c:v>-0.61235470344531628</c:v>
                </c:pt>
                <c:pt idx="240">
                  <c:v>-0.59236124342859475</c:v>
                </c:pt>
                <c:pt idx="241">
                  <c:v>-0.57236778341187322</c:v>
                </c:pt>
                <c:pt idx="242">
                  <c:v>-0.5523743233951518</c:v>
                </c:pt>
                <c:pt idx="243">
                  <c:v>-0.53238086337843027</c:v>
                </c:pt>
                <c:pt idx="244">
                  <c:v>-0.51238740336170885</c:v>
                </c:pt>
                <c:pt idx="245">
                  <c:v>-0.49239394334498743</c:v>
                </c:pt>
                <c:pt idx="246">
                  <c:v>-0.47240048332826595</c:v>
                </c:pt>
                <c:pt idx="247">
                  <c:v>-0.64085638205578865</c:v>
                </c:pt>
                <c:pt idx="248">
                  <c:v>-0.34398947268019242</c:v>
                </c:pt>
                <c:pt idx="249">
                  <c:v>-0.32399601266347089</c:v>
                </c:pt>
                <c:pt idx="250">
                  <c:v>-0.30400255264674947</c:v>
                </c:pt>
                <c:pt idx="251">
                  <c:v>-0.28400909263002794</c:v>
                </c:pt>
                <c:pt idx="252">
                  <c:v>-0.26401563261330652</c:v>
                </c:pt>
                <c:pt idx="253">
                  <c:v>-0.24402217259658507</c:v>
                </c:pt>
                <c:pt idx="254">
                  <c:v>-0.36941182386081334</c:v>
                </c:pt>
                <c:pt idx="255">
                  <c:v>-0.34941836384409192</c:v>
                </c:pt>
                <c:pt idx="256">
                  <c:v>-0.32942490382737044</c:v>
                </c:pt>
                <c:pt idx="257">
                  <c:v>-0.30943144381064902</c:v>
                </c:pt>
                <c:pt idx="258">
                  <c:v>-0.28943798379392749</c:v>
                </c:pt>
                <c:pt idx="259">
                  <c:v>-0.26944452377720607</c:v>
                </c:pt>
                <c:pt idx="260">
                  <c:v>-0.37484071502471289</c:v>
                </c:pt>
                <c:pt idx="261">
                  <c:v>-0.35484725500799141</c:v>
                </c:pt>
                <c:pt idx="262">
                  <c:v>-0.33485379499126994</c:v>
                </c:pt>
                <c:pt idx="263">
                  <c:v>-0.31486033497454852</c:v>
                </c:pt>
                <c:pt idx="264">
                  <c:v>-0.29486687495782699</c:v>
                </c:pt>
                <c:pt idx="265">
                  <c:v>-0.27487341494110551</c:v>
                </c:pt>
                <c:pt idx="266">
                  <c:v>-0.38026960618861239</c:v>
                </c:pt>
                <c:pt idx="267">
                  <c:v>-0.36027614617189091</c:v>
                </c:pt>
                <c:pt idx="268">
                  <c:v>-0.34028268615516943</c:v>
                </c:pt>
                <c:pt idx="269">
                  <c:v>-0.32028922613844801</c:v>
                </c:pt>
                <c:pt idx="270">
                  <c:v>-0.30029576612172648</c:v>
                </c:pt>
                <c:pt idx="271">
                  <c:v>-0.28030230610500501</c:v>
                </c:pt>
                <c:pt idx="272">
                  <c:v>-0.38569849735251188</c:v>
                </c:pt>
                <c:pt idx="273">
                  <c:v>-0.36570503733579041</c:v>
                </c:pt>
                <c:pt idx="274">
                  <c:v>-0.34571157731906893</c:v>
                </c:pt>
                <c:pt idx="275">
                  <c:v>-0.32571811730234751</c:v>
                </c:pt>
                <c:pt idx="276">
                  <c:v>-0.30572465728562598</c:v>
                </c:pt>
                <c:pt idx="277">
                  <c:v>-0.39112738851641138</c:v>
                </c:pt>
                <c:pt idx="278">
                  <c:v>-0.3711339284996899</c:v>
                </c:pt>
                <c:pt idx="279">
                  <c:v>-0.35114046848296843</c:v>
                </c:pt>
                <c:pt idx="280">
                  <c:v>-0.33114700846624701</c:v>
                </c:pt>
                <c:pt idx="281">
                  <c:v>-0.31115354844952542</c:v>
                </c:pt>
                <c:pt idx="282">
                  <c:v>-0.39655627968031087</c:v>
                </c:pt>
                <c:pt idx="283">
                  <c:v>-0.3765628196635894</c:v>
                </c:pt>
                <c:pt idx="284">
                  <c:v>-0.35656935964686792</c:v>
                </c:pt>
                <c:pt idx="285">
                  <c:v>-0.3365758996301465</c:v>
                </c:pt>
                <c:pt idx="286">
                  <c:v>-0.31658243961342492</c:v>
                </c:pt>
                <c:pt idx="287">
                  <c:v>-0.40198517084421043</c:v>
                </c:pt>
                <c:pt idx="288">
                  <c:v>-0.38199171082748895</c:v>
                </c:pt>
                <c:pt idx="289">
                  <c:v>-0.36199825081076742</c:v>
                </c:pt>
                <c:pt idx="290">
                  <c:v>-0.342004790794046</c:v>
                </c:pt>
                <c:pt idx="291">
                  <c:v>-0.40741406200810992</c:v>
                </c:pt>
                <c:pt idx="292">
                  <c:v>-0.38742060199138845</c:v>
                </c:pt>
                <c:pt idx="293">
                  <c:v>-0.36742714197466697</c:v>
                </c:pt>
                <c:pt idx="294">
                  <c:v>-0.34743368195794555</c:v>
                </c:pt>
                <c:pt idx="295">
                  <c:v>-0.41284295317200942</c:v>
                </c:pt>
                <c:pt idx="296">
                  <c:v>-0.39284949315528794</c:v>
                </c:pt>
                <c:pt idx="297">
                  <c:v>-0.37285603313856647</c:v>
                </c:pt>
                <c:pt idx="298">
                  <c:v>-0.35286257312184505</c:v>
                </c:pt>
                <c:pt idx="299">
                  <c:v>-0.41827184433590892</c:v>
                </c:pt>
                <c:pt idx="300">
                  <c:v>-0.39827838431918744</c:v>
                </c:pt>
                <c:pt idx="301">
                  <c:v>-0.37828492430246596</c:v>
                </c:pt>
                <c:pt idx="302">
                  <c:v>-0.35829146428574449</c:v>
                </c:pt>
                <c:pt idx="303">
                  <c:v>-0.42370073549980841</c:v>
                </c:pt>
                <c:pt idx="304">
                  <c:v>-0.40370727548308694</c:v>
                </c:pt>
                <c:pt idx="305">
                  <c:v>-0.38371381546636546</c:v>
                </c:pt>
                <c:pt idx="306">
                  <c:v>-0.36372035544964398</c:v>
                </c:pt>
                <c:pt idx="307">
                  <c:v>-0.42912962666370791</c:v>
                </c:pt>
                <c:pt idx="308">
                  <c:v>-0.40913616664698643</c:v>
                </c:pt>
                <c:pt idx="309">
                  <c:v>-0.38914270663026496</c:v>
                </c:pt>
                <c:pt idx="310">
                  <c:v>-0.4345585178276074</c:v>
                </c:pt>
                <c:pt idx="311">
                  <c:v>-0.41456505781088593</c:v>
                </c:pt>
                <c:pt idx="312">
                  <c:v>-0.39457159779416445</c:v>
                </c:pt>
                <c:pt idx="313">
                  <c:v>-0.43998740899150696</c:v>
                </c:pt>
                <c:pt idx="314">
                  <c:v>-0.41999394897478548</c:v>
                </c:pt>
                <c:pt idx="315">
                  <c:v>-0.40000048895806395</c:v>
                </c:pt>
                <c:pt idx="316">
                  <c:v>-0.44541630015540645</c:v>
                </c:pt>
                <c:pt idx="317">
                  <c:v>-0.42542284013868498</c:v>
                </c:pt>
                <c:pt idx="318">
                  <c:v>-0.4054293801219635</c:v>
                </c:pt>
                <c:pt idx="319">
                  <c:v>-0.45084519131930595</c:v>
                </c:pt>
                <c:pt idx="320">
                  <c:v>-0.43085173130258447</c:v>
                </c:pt>
                <c:pt idx="321">
                  <c:v>-0.410858271285863</c:v>
                </c:pt>
                <c:pt idx="322">
                  <c:v>-0.45627408248320545</c:v>
                </c:pt>
                <c:pt idx="323">
                  <c:v>-0.43628062246648397</c:v>
                </c:pt>
                <c:pt idx="324">
                  <c:v>-0.41628716244976249</c:v>
                </c:pt>
                <c:pt idx="325">
                  <c:v>-0.46170297364710494</c:v>
                </c:pt>
                <c:pt idx="326">
                  <c:v>-0.44170951363038347</c:v>
                </c:pt>
                <c:pt idx="327">
                  <c:v>-0.42171605361366193</c:v>
                </c:pt>
                <c:pt idx="328">
                  <c:v>-0.46713186481100438</c:v>
                </c:pt>
                <c:pt idx="329">
                  <c:v>-0.44713840479428296</c:v>
                </c:pt>
                <c:pt idx="330">
                  <c:v>-0.42714494477756143</c:v>
                </c:pt>
                <c:pt idx="331">
                  <c:v>-0.47256075597490388</c:v>
                </c:pt>
                <c:pt idx="332">
                  <c:v>-0.45256729595818246</c:v>
                </c:pt>
                <c:pt idx="333">
                  <c:v>-0.47798964713880343</c:v>
                </c:pt>
                <c:pt idx="334">
                  <c:v>-0.45799618712208201</c:v>
                </c:pt>
                <c:pt idx="335">
                  <c:v>-0.48341853830270293</c:v>
                </c:pt>
                <c:pt idx="336">
                  <c:v>-0.46342507828598151</c:v>
                </c:pt>
                <c:pt idx="337">
                  <c:v>-0.48884742946660242</c:v>
                </c:pt>
                <c:pt idx="338">
                  <c:v>-0.468853969449881</c:v>
                </c:pt>
                <c:pt idx="339">
                  <c:v>-0.49427632063050192</c:v>
                </c:pt>
                <c:pt idx="340">
                  <c:v>-0.4742828606137805</c:v>
                </c:pt>
                <c:pt idx="341">
                  <c:v>-0.49970521179440142</c:v>
                </c:pt>
                <c:pt idx="342">
                  <c:v>-0.47971175177768</c:v>
                </c:pt>
                <c:pt idx="343">
                  <c:v>-0.50513410295830097</c:v>
                </c:pt>
                <c:pt idx="344">
                  <c:v>-0.48514064294157949</c:v>
                </c:pt>
                <c:pt idx="345">
                  <c:v>-0.51056299412220041</c:v>
                </c:pt>
                <c:pt idx="346">
                  <c:v>-0.49056953410547904</c:v>
                </c:pt>
                <c:pt idx="347">
                  <c:v>-0.51599188528609996</c:v>
                </c:pt>
                <c:pt idx="348">
                  <c:v>-0.49599842526937854</c:v>
                </c:pt>
                <c:pt idx="349">
                  <c:v>-0.52142077644999951</c:v>
                </c:pt>
                <c:pt idx="350">
                  <c:v>-0.50142731643327809</c:v>
                </c:pt>
                <c:pt idx="351">
                  <c:v>-0.52684966761389895</c:v>
                </c:pt>
                <c:pt idx="352">
                  <c:v>-0.50685620759717753</c:v>
                </c:pt>
                <c:pt idx="353">
                  <c:v>-0.53227855877779851</c:v>
                </c:pt>
                <c:pt idx="354">
                  <c:v>-0.51228509876107708</c:v>
                </c:pt>
                <c:pt idx="355">
                  <c:v>-0.53770744994169795</c:v>
                </c:pt>
                <c:pt idx="356">
                  <c:v>-0.51771398992497653</c:v>
                </c:pt>
                <c:pt idx="357">
                  <c:v>-0.5431363411055975</c:v>
                </c:pt>
                <c:pt idx="358">
                  <c:v>-0.52314288108887608</c:v>
                </c:pt>
                <c:pt idx="359">
                  <c:v>-0.54856523226949694</c:v>
                </c:pt>
                <c:pt idx="360">
                  <c:v>-0.52857177225277552</c:v>
                </c:pt>
                <c:pt idx="361">
                  <c:v>-0.55399412343339649</c:v>
                </c:pt>
                <c:pt idx="362">
                  <c:v>-0.53400066341667507</c:v>
                </c:pt>
                <c:pt idx="363">
                  <c:v>-0.55942301459729593</c:v>
                </c:pt>
                <c:pt idx="364">
                  <c:v>-0.56485190576119548</c:v>
                </c:pt>
                <c:pt idx="365">
                  <c:v>-0.57028079692509503</c:v>
                </c:pt>
                <c:pt idx="366">
                  <c:v>-0.57570968808899448</c:v>
                </c:pt>
                <c:pt idx="367">
                  <c:v>-0.58113857925289403</c:v>
                </c:pt>
                <c:pt idx="368">
                  <c:v>-0.58656747041679358</c:v>
                </c:pt>
                <c:pt idx="369">
                  <c:v>-0.59199636158069302</c:v>
                </c:pt>
                <c:pt idx="370">
                  <c:v>-0.59742525274459257</c:v>
                </c:pt>
                <c:pt idx="371">
                  <c:v>-0.60285414390849201</c:v>
                </c:pt>
                <c:pt idx="372">
                  <c:v>-0.60828303507239156</c:v>
                </c:pt>
                <c:pt idx="373">
                  <c:v>-0.61371192623629101</c:v>
                </c:pt>
                <c:pt idx="374">
                  <c:v>-0.61914081740019056</c:v>
                </c:pt>
                <c:pt idx="375">
                  <c:v>-0.62456970856408989</c:v>
                </c:pt>
                <c:pt idx="376">
                  <c:v>-0.62999859972798944</c:v>
                </c:pt>
                <c:pt idx="377">
                  <c:v>-0.63542749089188899</c:v>
                </c:pt>
                <c:pt idx="378">
                  <c:v>-0.64085638205578843</c:v>
                </c:pt>
              </c:numCache>
            </c:numRef>
          </c:xVal>
          <c:yVal>
            <c:numRef>
              <c:f>plot!$L$33:$L$411</c:f>
              <c:numCache>
                <c:formatCode>General</c:formatCode>
                <c:ptCount val="379"/>
                <c:pt idx="0">
                  <c:v>-1.928779968365224E-2</c:v>
                </c:pt>
                <c:pt idx="1">
                  <c:v>-8.8813819742646738E-2</c:v>
                </c:pt>
                <c:pt idx="2">
                  <c:v>-0.11441483453767115</c:v>
                </c:pt>
                <c:pt idx="3">
                  <c:v>-0.12051314699549215</c:v>
                </c:pt>
                <c:pt idx="4">
                  <c:v>-0.12186755888480483</c:v>
                </c:pt>
                <c:pt idx="5">
                  <c:v>-0.12515467100573197</c:v>
                </c:pt>
                <c:pt idx="6">
                  <c:v>-0.11526428154746848</c:v>
                </c:pt>
                <c:pt idx="7">
                  <c:v>-0.11626729339466935</c:v>
                </c:pt>
                <c:pt idx="8">
                  <c:v>-0.10866100421013158</c:v>
                </c:pt>
                <c:pt idx="9">
                  <c:v>-0.10158181508876196</c:v>
                </c:pt>
                <c:pt idx="10">
                  <c:v>-8.8528825251492194E-2</c:v>
                </c:pt>
                <c:pt idx="11">
                  <c:v>-7.3367435161552252E-2</c:v>
                </c:pt>
                <c:pt idx="12">
                  <c:v>-7.1207846629747218E-2</c:v>
                </c:pt>
                <c:pt idx="13">
                  <c:v>-5.8330556813533052E-2</c:v>
                </c:pt>
                <c:pt idx="14">
                  <c:v>-4.8615867376325228E-2</c:v>
                </c:pt>
                <c:pt idx="15">
                  <c:v>-3.8022677833838003E-2</c:v>
                </c:pt>
                <c:pt idx="16">
                  <c:v>-1.4779086775327133E-2</c:v>
                </c:pt>
                <c:pt idx="17">
                  <c:v>-4.5372972749517237E-3</c:v>
                </c:pt>
                <c:pt idx="18">
                  <c:v>1.0975492857100672E-2</c:v>
                </c:pt>
                <c:pt idx="19">
                  <c:v>2.4028482694370024E-2</c:v>
                </c:pt>
                <c:pt idx="20">
                  <c:v>2.566097116300739E-2</c:v>
                </c:pt>
                <c:pt idx="21">
                  <c:v>2.7644859673756794E-2</c:v>
                </c:pt>
                <c:pt idx="22">
                  <c:v>3.2088548479288076E-2</c:v>
                </c:pt>
                <c:pt idx="23">
                  <c:v>3.1085536632087268E-2</c:v>
                </c:pt>
                <c:pt idx="24">
                  <c:v>3.8691825816625003E-2</c:v>
                </c:pt>
                <c:pt idx="25">
                  <c:v>4.313551462215634E-2</c:v>
                </c:pt>
                <c:pt idx="26">
                  <c:v>5.3201604101476035E-2</c:v>
                </c:pt>
                <c:pt idx="27">
                  <c:v>5.4834092570113457E-2</c:v>
                </c:pt>
                <c:pt idx="28">
                  <c:v>8.1767384070797727E-2</c:v>
                </c:pt>
                <c:pt idx="29">
                  <c:v>8.3399872539435149E-2</c:v>
                </c:pt>
                <c:pt idx="30">
                  <c:v>9.0654761681860929E-2</c:v>
                </c:pt>
                <c:pt idx="31">
                  <c:v>9.2638650192609695E-2</c:v>
                </c:pt>
                <c:pt idx="32">
                  <c:v>0.12449154228285911</c:v>
                </c:pt>
                <c:pt idx="33">
                  <c:v>0.12647543079360793</c:v>
                </c:pt>
                <c:pt idx="34">
                  <c:v>0.12547241894640709</c:v>
                </c:pt>
                <c:pt idx="35">
                  <c:v>0.12464510712026253</c:v>
                </c:pt>
                <c:pt idx="36">
                  <c:v>0.13172429624163204</c:v>
                </c:pt>
                <c:pt idx="37">
                  <c:v>0.1338838847734371</c:v>
                </c:pt>
                <c:pt idx="38">
                  <c:v>0.13850327360002468</c:v>
                </c:pt>
                <c:pt idx="39">
                  <c:v>0.1373245617317661</c:v>
                </c:pt>
                <c:pt idx="40">
                  <c:v>0.14493085091630692</c:v>
                </c:pt>
                <c:pt idx="41">
                  <c:v>0.14375213904804679</c:v>
                </c:pt>
                <c:pt idx="42">
                  <c:v>0.14573602755879769</c:v>
                </c:pt>
                <c:pt idx="43">
                  <c:v>0.14771991606954854</c:v>
                </c:pt>
                <c:pt idx="44">
                  <c:v>0.15761030552780891</c:v>
                </c:pt>
                <c:pt idx="45">
                  <c:v>0.16222969435439805</c:v>
                </c:pt>
                <c:pt idx="46">
                  <c:v>0.16684908318098712</c:v>
                </c:pt>
                <c:pt idx="47">
                  <c:v>0.16637317139695396</c:v>
                </c:pt>
                <c:pt idx="48">
                  <c:v>-0.13241136774759082</c:v>
                </c:pt>
                <c:pt idx="49">
                  <c:v>-0.15274138191093878</c:v>
                </c:pt>
                <c:pt idx="50">
                  <c:v>-0.15075749340018946</c:v>
                </c:pt>
                <c:pt idx="51">
                  <c:v>-0.14086710394192603</c:v>
                </c:pt>
                <c:pt idx="52">
                  <c:v>-0.11973191313608578</c:v>
                </c:pt>
                <c:pt idx="53">
                  <c:v>-9.5785521993351053E-2</c:v>
                </c:pt>
                <c:pt idx="54">
                  <c:v>-6.6743830239996194E-2</c:v>
                </c:pt>
                <c:pt idx="55">
                  <c:v>-4.8419839771050466E-2</c:v>
                </c:pt>
                <c:pt idx="56">
                  <c:v>-1.3580047322851452E-2</c:v>
                </c:pt>
                <c:pt idx="57">
                  <c:v>1.5637344451559648E-2</c:v>
                </c:pt>
                <c:pt idx="58">
                  <c:v>3.6596835236343661E-2</c:v>
                </c:pt>
                <c:pt idx="59">
                  <c:v>4.1216224062931184E-2</c:v>
                </c:pt>
                <c:pt idx="60">
                  <c:v>4.3024412552624347E-2</c:v>
                </c:pt>
                <c:pt idx="61">
                  <c:v>4.2197100726479753E-2</c:v>
                </c:pt>
                <c:pt idx="62">
                  <c:v>5.5074390542693363E-2</c:v>
                </c:pt>
                <c:pt idx="63">
                  <c:v>7.0411480653689518E-2</c:v>
                </c:pt>
                <c:pt idx="64">
                  <c:v>8.6099970806797599E-2</c:v>
                </c:pt>
                <c:pt idx="65">
                  <c:v>9.3354859949222879E-2</c:v>
                </c:pt>
                <c:pt idx="66">
                  <c:v>0.10078544911270429</c:v>
                </c:pt>
                <c:pt idx="67">
                  <c:v>0.1162982392447567</c:v>
                </c:pt>
                <c:pt idx="68">
                  <c:v>0.1152952273975559</c:v>
                </c:pt>
                <c:pt idx="69">
                  <c:v>0.11991461622414297</c:v>
                </c:pt>
                <c:pt idx="70">
                  <c:v>0.1739057109674349</c:v>
                </c:pt>
                <c:pt idx="71">
                  <c:v>0.19486520175221575</c:v>
                </c:pt>
                <c:pt idx="72">
                  <c:v>0.11725698072465247</c:v>
                </c:pt>
                <c:pt idx="73">
                  <c:v>0.13013427054086613</c:v>
                </c:pt>
                <c:pt idx="74">
                  <c:v>0.13738915968329185</c:v>
                </c:pt>
                <c:pt idx="75">
                  <c:v>0.15290194981534211</c:v>
                </c:pt>
                <c:pt idx="76">
                  <c:v>0.18493054192664879</c:v>
                </c:pt>
                <c:pt idx="77">
                  <c:v>0.19780783174286082</c:v>
                </c:pt>
                <c:pt idx="78">
                  <c:v>0.21332062187491629</c:v>
                </c:pt>
                <c:pt idx="79">
                  <c:v>0.22865771198591253</c:v>
                </c:pt>
                <c:pt idx="80">
                  <c:v>0.26911990510789618</c:v>
                </c:pt>
                <c:pt idx="81">
                  <c:v>0.28463269523995177</c:v>
                </c:pt>
                <c:pt idx="82">
                  <c:v>0.29452308469821198</c:v>
                </c:pt>
                <c:pt idx="83">
                  <c:v>0.304764874198591</c:v>
                </c:pt>
                <c:pt idx="84">
                  <c:v>0.32308886466753373</c:v>
                </c:pt>
                <c:pt idx="85">
                  <c:v>0.33297925412579932</c:v>
                </c:pt>
                <c:pt idx="86">
                  <c:v>0.34603224396307064</c:v>
                </c:pt>
                <c:pt idx="87">
                  <c:v>0.35855813373716927</c:v>
                </c:pt>
                <c:pt idx="88">
                  <c:v>0.37986902456406885</c:v>
                </c:pt>
                <c:pt idx="89">
                  <c:v>0.39239491433816742</c:v>
                </c:pt>
                <c:pt idx="90">
                  <c:v>0.40544790417543886</c:v>
                </c:pt>
                <c:pt idx="91">
                  <c:v>0.4181494939705967</c:v>
                </c:pt>
                <c:pt idx="92">
                  <c:v>0.43928468477643701</c:v>
                </c:pt>
                <c:pt idx="93">
                  <c:v>0.4519862745715949</c:v>
                </c:pt>
                <c:pt idx="94">
                  <c:v>0.47294576535638105</c:v>
                </c:pt>
                <c:pt idx="95">
                  <c:v>0.48582305517259317</c:v>
                </c:pt>
                <c:pt idx="96">
                  <c:v>-0.18808102892625692</c:v>
                </c:pt>
                <c:pt idx="97">
                  <c:v>-0.18363734012072502</c:v>
                </c:pt>
                <c:pt idx="98">
                  <c:v>-0.16267784933594104</c:v>
                </c:pt>
                <c:pt idx="99">
                  <c:v>-0.12766235686668584</c:v>
                </c:pt>
                <c:pt idx="100">
                  <c:v>-8.4916063470972192E-2</c:v>
                </c:pt>
                <c:pt idx="101">
                  <c:v>-4.4629570370041172E-2</c:v>
                </c:pt>
                <c:pt idx="102">
                  <c:v>9.3615243732487197E-3</c:v>
                </c:pt>
                <c:pt idx="103">
                  <c:v>1.3805213178780557E-2</c:v>
                </c:pt>
                <c:pt idx="104">
                  <c:v>2.6682502994994223E-2</c:v>
                </c:pt>
                <c:pt idx="105">
                  <c:v>4.5006493463940506E-2</c:v>
                </c:pt>
                <c:pt idx="106">
                  <c:v>5.78837832801542E-2</c:v>
                </c:pt>
                <c:pt idx="107">
                  <c:v>6.7774172738418098E-2</c:v>
                </c:pt>
                <c:pt idx="108">
                  <c:v>0.10806066583934924</c:v>
                </c:pt>
                <c:pt idx="109">
                  <c:v>0.1209379556555629</c:v>
                </c:pt>
                <c:pt idx="110">
                  <c:v>0.18564675168326181</c:v>
                </c:pt>
                <c:pt idx="111">
                  <c:v>0.2041464421732638</c:v>
                </c:pt>
                <c:pt idx="112">
                  <c:v>0.128998021440481</c:v>
                </c:pt>
                <c:pt idx="113">
                  <c:v>0.13923981094085847</c:v>
                </c:pt>
                <c:pt idx="114">
                  <c:v>0.16301050206253695</c:v>
                </c:pt>
                <c:pt idx="115">
                  <c:v>0.17571209185769485</c:v>
                </c:pt>
                <c:pt idx="116">
                  <c:v>0.18858938167390696</c:v>
                </c:pt>
                <c:pt idx="117">
                  <c:v>0.20691337214285474</c:v>
                </c:pt>
                <c:pt idx="118">
                  <c:v>0.23068406326453322</c:v>
                </c:pt>
                <c:pt idx="119">
                  <c:v>0.24338565305969112</c:v>
                </c:pt>
                <c:pt idx="120">
                  <c:v>0.23166493992807816</c:v>
                </c:pt>
                <c:pt idx="121">
                  <c:v>0.26070663168143293</c:v>
                </c:pt>
                <c:pt idx="122">
                  <c:v>0.27938202219249442</c:v>
                </c:pt>
                <c:pt idx="123">
                  <c:v>0.30280131327205928</c:v>
                </c:pt>
                <c:pt idx="124">
                  <c:v>0.3596036083522452</c:v>
                </c:pt>
                <c:pt idx="125">
                  <c:v>0.3888210001266541</c:v>
                </c:pt>
                <c:pt idx="126">
                  <c:v>0.40978049091144025</c:v>
                </c:pt>
                <c:pt idx="127">
                  <c:v>0.44198478304380112</c:v>
                </c:pt>
                <c:pt idx="128">
                  <c:v>-0.23004608846256366</c:v>
                </c:pt>
                <c:pt idx="129">
                  <c:v>-0.20627539734088524</c:v>
                </c:pt>
                <c:pt idx="130">
                  <c:v>-0.16071790360827765</c:v>
                </c:pt>
                <c:pt idx="131">
                  <c:v>-0.10655110884393157</c:v>
                </c:pt>
                <c:pt idx="132">
                  <c:v>-4.1666612795176916E-2</c:v>
                </c:pt>
                <c:pt idx="133">
                  <c:v>-1.8071621694554202E-2</c:v>
                </c:pt>
                <c:pt idx="134">
                  <c:v>1.3956970416750314E-2</c:v>
                </c:pt>
                <c:pt idx="135">
                  <c:v>1.8576359243337892E-2</c:v>
                </c:pt>
                <c:pt idx="136">
                  <c:v>4.7793751017748493E-2</c:v>
                </c:pt>
                <c:pt idx="137">
                  <c:v>7.7011142792159565E-2</c:v>
                </c:pt>
                <c:pt idx="138">
                  <c:v>0.18054964347320804</c:v>
                </c:pt>
                <c:pt idx="139">
                  <c:v>0.20396893455277282</c:v>
                </c:pt>
                <c:pt idx="140">
                  <c:v>0.10176271057738605</c:v>
                </c:pt>
                <c:pt idx="141">
                  <c:v>0.12289790138322473</c:v>
                </c:pt>
                <c:pt idx="142">
                  <c:v>0.15756199381036953</c:v>
                </c:pt>
                <c:pt idx="143">
                  <c:v>0.18677938558477861</c:v>
                </c:pt>
                <c:pt idx="144">
                  <c:v>0.19139877441136766</c:v>
                </c:pt>
                <c:pt idx="145">
                  <c:v>0.220791866206836</c:v>
                </c:pt>
                <c:pt idx="146">
                  <c:v>0.24157565697056271</c:v>
                </c:pt>
                <c:pt idx="147">
                  <c:v>0.27905094973459998</c:v>
                </c:pt>
                <c:pt idx="148">
                  <c:v>0.29210393957187147</c:v>
                </c:pt>
                <c:pt idx="149">
                  <c:v>0.32940353231484909</c:v>
                </c:pt>
                <c:pt idx="150">
                  <c:v>0.35598542377342529</c:v>
                </c:pt>
                <c:pt idx="151">
                  <c:v>0.39064951620056487</c:v>
                </c:pt>
                <c:pt idx="152">
                  <c:v>-0.26375324700924435</c:v>
                </c:pt>
                <c:pt idx="153">
                  <c:v>-0.22346675390831269</c:v>
                </c:pt>
                <c:pt idx="154">
                  <c:v>-0.15858225785955804</c:v>
                </c:pt>
                <c:pt idx="155">
                  <c:v>-8.0168860189500868E-2</c:v>
                </c:pt>
                <c:pt idx="156">
                  <c:v>-3.9706667067513579E-2</c:v>
                </c:pt>
                <c:pt idx="157">
                  <c:v>-2.1558376619623454E-2</c:v>
                </c:pt>
                <c:pt idx="158">
                  <c:v>1.3281415828575532E-2</c:v>
                </c:pt>
                <c:pt idx="159">
                  <c:v>3.7052106950253905E-2</c:v>
                </c:pt>
                <c:pt idx="160">
                  <c:v>4.9577996724356144E-2</c:v>
                </c:pt>
                <c:pt idx="161">
                  <c:v>7.9146788540878643E-2</c:v>
                </c:pt>
                <c:pt idx="162">
                  <c:v>0.14122008425274094</c:v>
                </c:pt>
                <c:pt idx="163">
                  <c:v>0.17043747602714998</c:v>
                </c:pt>
                <c:pt idx="164">
                  <c:v>0.13376735990560348</c:v>
                </c:pt>
                <c:pt idx="165">
                  <c:v>0.17159405271175421</c:v>
                </c:pt>
                <c:pt idx="166">
                  <c:v>0.21978704676019842</c:v>
                </c:pt>
                <c:pt idx="167">
                  <c:v>0.26270904017697144</c:v>
                </c:pt>
                <c:pt idx="168">
                  <c:v>0.27295082967734524</c:v>
                </c:pt>
                <c:pt idx="169">
                  <c:v>0.31306162275722071</c:v>
                </c:pt>
                <c:pt idx="170">
                  <c:v>0.35598361617398844</c:v>
                </c:pt>
                <c:pt idx="171">
                  <c:v>-0.30290710620865724</c:v>
                </c:pt>
                <c:pt idx="172">
                  <c:v>-0.23538710984406427</c:v>
                </c:pt>
                <c:pt idx="173">
                  <c:v>-0.14555321080537414</c:v>
                </c:pt>
                <c:pt idx="174">
                  <c:v>-8.9102315767301821E-2</c:v>
                </c:pt>
                <c:pt idx="175">
                  <c:v>-4.3369122013638572E-2</c:v>
                </c:pt>
                <c:pt idx="176">
                  <c:v>-3.3303032534318822E-2</c:v>
                </c:pt>
                <c:pt idx="177">
                  <c:v>0.1002801717472873</c:v>
                </c:pt>
                <c:pt idx="178">
                  <c:v>0.12123966253206815</c:v>
                </c:pt>
                <c:pt idx="179">
                  <c:v>5.7160343125809449E-2</c:v>
                </c:pt>
                <c:pt idx="180">
                  <c:v>9.1824435552949002E-2</c:v>
                </c:pt>
                <c:pt idx="181">
                  <c:v>0.13492212899077619</c:v>
                </c:pt>
                <c:pt idx="182">
                  <c:v>0.18083102276549567</c:v>
                </c:pt>
                <c:pt idx="183">
                  <c:v>0.18509901154997124</c:v>
                </c:pt>
                <c:pt idx="184">
                  <c:v>0.23100790532469073</c:v>
                </c:pt>
                <c:pt idx="185">
                  <c:v>0.29290550101549373</c:v>
                </c:pt>
                <c:pt idx="186">
                  <c:v>0.35533019676946959</c:v>
                </c:pt>
                <c:pt idx="187">
                  <c:v>-0.33116756410260517</c:v>
                </c:pt>
                <c:pt idx="188">
                  <c:v>-0.25240276639043607</c:v>
                </c:pt>
                <c:pt idx="189">
                  <c:v>-0.13006436345640826</c:v>
                </c:pt>
                <c:pt idx="190">
                  <c:v>-0.10910487267162375</c:v>
                </c:pt>
                <c:pt idx="191">
                  <c:v>-4.1409176285975166E-2</c:v>
                </c:pt>
                <c:pt idx="192">
                  <c:v>1.5393118794209133E-2</c:v>
                </c:pt>
                <c:pt idx="193">
                  <c:v>6.3761812863712825E-2</c:v>
                </c:pt>
                <c:pt idx="194">
                  <c:v>8.1910103311601243E-2</c:v>
                </c:pt>
                <c:pt idx="195">
                  <c:v>7.3000590516885719E-2</c:v>
                </c:pt>
                <c:pt idx="196">
                  <c:v>0.12136928458638932</c:v>
                </c:pt>
                <c:pt idx="197">
                  <c:v>0.16973797865588763</c:v>
                </c:pt>
                <c:pt idx="198">
                  <c:v>0.22372907339918113</c:v>
                </c:pt>
                <c:pt idx="199">
                  <c:v>0.24187736384706973</c:v>
                </c:pt>
                <c:pt idx="200">
                  <c:v>-0.3592523219754975</c:v>
                </c:pt>
                <c:pt idx="201">
                  <c:v>-0.25606522133656051</c:v>
                </c:pt>
                <c:pt idx="202">
                  <c:v>-0.1525267206555122</c:v>
                </c:pt>
                <c:pt idx="203">
                  <c:v>-0.12348502890215729</c:v>
                </c:pt>
                <c:pt idx="204">
                  <c:v>-3.7821262839676795E-3</c:v>
                </c:pt>
                <c:pt idx="205">
                  <c:v>5.829116942789464E-2</c:v>
                </c:pt>
                <c:pt idx="206">
                  <c:v>3.0054654317030478E-2</c:v>
                </c:pt>
                <c:pt idx="207">
                  <c:v>6.2083246428337034E-2</c:v>
                </c:pt>
                <c:pt idx="208">
                  <c:v>9.3936138518584289E-2</c:v>
                </c:pt>
                <c:pt idx="209">
                  <c:v>0.15354963393566248</c:v>
                </c:pt>
                <c:pt idx="210">
                  <c:v>0.21281172931062714</c:v>
                </c:pt>
                <c:pt idx="211">
                  <c:v>0.28314292601211771</c:v>
                </c:pt>
                <c:pt idx="212">
                  <c:v>-0.39014828018528369</c:v>
                </c:pt>
                <c:pt idx="213">
                  <c:v>-0.26499867691436196</c:v>
                </c:pt>
                <c:pt idx="214">
                  <c:v>-0.17815167823362196</c:v>
                </c:pt>
                <c:pt idx="215">
                  <c:v>-0.14893428645921136</c:v>
                </c:pt>
                <c:pt idx="216">
                  <c:v>-3.7489284830649929E-2</c:v>
                </c:pt>
                <c:pt idx="217">
                  <c:v>1.9313010249535953E-2</c:v>
                </c:pt>
                <c:pt idx="218">
                  <c:v>2.3580999034011507E-2</c:v>
                </c:pt>
                <c:pt idx="219">
                  <c:v>8.0558994135251583E-2</c:v>
                </c:pt>
                <c:pt idx="220">
                  <c:v>0.120669787215127</c:v>
                </c:pt>
                <c:pt idx="221">
                  <c:v>0.18836548360077404</c:v>
                </c:pt>
                <c:pt idx="222">
                  <c:v>-0.42121993841612615</c:v>
                </c:pt>
                <c:pt idx="223">
                  <c:v>-0.27059383209210125</c:v>
                </c:pt>
                <c:pt idx="224">
                  <c:v>-0.20658783614862619</c:v>
                </c:pt>
                <c:pt idx="225">
                  <c:v>-0.16893684336353329</c:v>
                </c:pt>
                <c:pt idx="226">
                  <c:v>-7.3831943693165147E-2</c:v>
                </c:pt>
                <c:pt idx="227">
                  <c:v>-1.9840848949876894E-2</c:v>
                </c:pt>
                <c:pt idx="228">
                  <c:v>3.3974545772357298E-2</c:v>
                </c:pt>
                <c:pt idx="229">
                  <c:v>9.6223541505273652E-2</c:v>
                </c:pt>
                <c:pt idx="230">
                  <c:v>0.15003893622750786</c:v>
                </c:pt>
                <c:pt idx="231">
                  <c:v>-0.49621660191093875</c:v>
                </c:pt>
                <c:pt idx="232">
                  <c:v>-0.2963944896912673</c:v>
                </c:pt>
                <c:pt idx="233">
                  <c:v>-0.2292258933687864</c:v>
                </c:pt>
                <c:pt idx="234">
                  <c:v>-0.19157490058369292</c:v>
                </c:pt>
                <c:pt idx="235">
                  <c:v>-9.928120125021922E-2</c:v>
                </c:pt>
                <c:pt idx="236">
                  <c:v>-3.9843405854200382E-2</c:v>
                </c:pt>
                <c:pt idx="237">
                  <c:v>4.1205492131697122E-2</c:v>
                </c:pt>
                <c:pt idx="238">
                  <c:v>0.11733478952802645</c:v>
                </c:pt>
                <c:pt idx="239">
                  <c:v>-0.5239499597417191</c:v>
                </c:pt>
                <c:pt idx="240">
                  <c:v>-0.3221951472904333</c:v>
                </c:pt>
                <c:pt idx="241">
                  <c:v>-0.26012185157857254</c:v>
                </c:pt>
                <c:pt idx="242">
                  <c:v>-0.20859055713006475</c:v>
                </c:pt>
                <c:pt idx="243">
                  <c:v>-0.10575485653323817</c:v>
                </c:pt>
                <c:pt idx="244">
                  <c:v>-3.7883460126537025E-2</c:v>
                </c:pt>
                <c:pt idx="245">
                  <c:v>5.4234539185881059E-2</c:v>
                </c:pt>
                <c:pt idx="246">
                  <c:v>0.14951513887730492</c:v>
                </c:pt>
                <c:pt idx="247">
                  <c:v>-0.55221041763566769</c:v>
                </c:pt>
                <c:pt idx="248">
                  <c:v>2.4449469242896787E-2</c:v>
                </c:pt>
                <c:pt idx="249">
                  <c:v>9.7591866281277528E-2</c:v>
                </c:pt>
                <c:pt idx="250">
                  <c:v>0.15158296102456789</c:v>
                </c:pt>
                <c:pt idx="251">
                  <c:v>0.26847466330586139</c:v>
                </c:pt>
                <c:pt idx="252">
                  <c:v>0.34706376099697489</c:v>
                </c:pt>
                <c:pt idx="253">
                  <c:v>0.45042656165696748</c:v>
                </c:pt>
                <c:pt idx="254">
                  <c:v>-0.16297641854020575</c:v>
                </c:pt>
                <c:pt idx="255">
                  <c:v>1.9802791637045403E-2</c:v>
                </c:pt>
                <c:pt idx="256">
                  <c:v>9.839188932815883E-2</c:v>
                </c:pt>
                <c:pt idx="257">
                  <c:v>0.16872308602964559</c:v>
                </c:pt>
                <c:pt idx="258">
                  <c:v>0.29387268930056948</c:v>
                </c:pt>
                <c:pt idx="259">
                  <c:v>0.38370658833925747</c:v>
                </c:pt>
                <c:pt idx="260">
                  <c:v>-0.15409419452475404</c:v>
                </c:pt>
                <c:pt idx="261">
                  <c:v>2.0602814683926746E-2</c:v>
                </c:pt>
                <c:pt idx="262">
                  <c:v>0.10727411334361045</c:v>
                </c:pt>
                <c:pt idx="263">
                  <c:v>0.18322771071888569</c:v>
                </c:pt>
                <c:pt idx="264">
                  <c:v>0.31944641531632628</c:v>
                </c:pt>
                <c:pt idx="265">
                  <c:v>0.42263351595526488</c:v>
                </c:pt>
                <c:pt idx="266">
                  <c:v>-0.14767177080408439</c:v>
                </c:pt>
                <c:pt idx="267">
                  <c:v>2.1227137709751764E-2</c:v>
                </c:pt>
                <c:pt idx="268">
                  <c:v>0.11633203738011787</c:v>
                </c:pt>
                <c:pt idx="269">
                  <c:v>0.20317903606085788</c:v>
                </c:pt>
                <c:pt idx="270">
                  <c:v>0.34765564164792662</c:v>
                </c:pt>
                <c:pt idx="271">
                  <c:v>0.46718284424506218</c:v>
                </c:pt>
                <c:pt idx="272">
                  <c:v>-0.1412493470834153</c:v>
                </c:pt>
                <c:pt idx="273">
                  <c:v>2.4838361093527023E-2</c:v>
                </c:pt>
                <c:pt idx="274">
                  <c:v>0.12521426139556951</c:v>
                </c:pt>
                <c:pt idx="275">
                  <c:v>0.22031916106593769</c:v>
                </c:pt>
                <c:pt idx="276">
                  <c:v>0.37867606831641937</c:v>
                </c:pt>
                <c:pt idx="277">
                  <c:v>-0.13254282308901927</c:v>
                </c:pt>
                <c:pt idx="278">
                  <c:v>2.019168348767561E-2</c:v>
                </c:pt>
                <c:pt idx="279">
                  <c:v>0.13409648541102112</c:v>
                </c:pt>
                <c:pt idx="280">
                  <c:v>0.23763498609207162</c:v>
                </c:pt>
                <c:pt idx="281">
                  <c:v>0.41233199530075026</c:v>
                </c:pt>
                <c:pt idx="282">
                  <c:v>-0.12366059907356769</c:v>
                </c:pt>
                <c:pt idx="283">
                  <c:v>2.3627206850395155E-2</c:v>
                </c:pt>
                <c:pt idx="284">
                  <c:v>0.14051890913169238</c:v>
                </c:pt>
                <c:pt idx="285">
                  <c:v>0.26022181174988201</c:v>
                </c:pt>
                <c:pt idx="286">
                  <c:v>0.44862342260091942</c:v>
                </c:pt>
                <c:pt idx="287">
                  <c:v>-0.11442697501600457</c:v>
                </c:pt>
                <c:pt idx="288">
                  <c:v>2.7062730213114616E-2</c:v>
                </c:pt>
                <c:pt idx="289">
                  <c:v>0.15221233348403637</c:v>
                </c:pt>
                <c:pt idx="290">
                  <c:v>0.28034883711290837</c:v>
                </c:pt>
                <c:pt idx="291">
                  <c:v>-0.11099145165328506</c:v>
                </c:pt>
                <c:pt idx="292">
                  <c:v>2.5051552923101544E-2</c:v>
                </c:pt>
                <c:pt idx="293">
                  <c:v>0.1616216575626557</c:v>
                </c:pt>
                <c:pt idx="294">
                  <c:v>0.30275996274966455</c:v>
                </c:pt>
                <c:pt idx="295">
                  <c:v>-9.9298027300939451E-2</c:v>
                </c:pt>
                <c:pt idx="296">
                  <c:v>2.6027275991038462E-2</c:v>
                </c:pt>
                <c:pt idx="297">
                  <c:v>0.17577488220978385</c:v>
                </c:pt>
                <c:pt idx="298">
                  <c:v>0.32552248842852916</c:v>
                </c:pt>
                <c:pt idx="299">
                  <c:v>-8.1982202274805571E-2</c:v>
                </c:pt>
                <c:pt idx="300">
                  <c:v>3.2098299669596236E-2</c:v>
                </c:pt>
                <c:pt idx="301">
                  <c:v>0.1876440065831872</c:v>
                </c:pt>
                <c:pt idx="302">
                  <c:v>0.34828501410739354</c:v>
                </c:pt>
                <c:pt idx="303">
                  <c:v>-8.3993379564818144E-2</c:v>
                </c:pt>
                <c:pt idx="304">
                  <c:v>3.5533823032315184E-2</c:v>
                </c:pt>
                <c:pt idx="305">
                  <c:v>0.20197293125136942</c:v>
                </c:pt>
                <c:pt idx="306">
                  <c:v>0.37930544077588624</c:v>
                </c:pt>
                <c:pt idx="307">
                  <c:v>-8.618025687588704E-2</c:v>
                </c:pt>
                <c:pt idx="308">
                  <c:v>3.6685246121308468E-2</c:v>
                </c:pt>
                <c:pt idx="309">
                  <c:v>0.21366635560371339</c:v>
                </c:pt>
                <c:pt idx="310">
                  <c:v>-9.0826934481738369E-2</c:v>
                </c:pt>
                <c:pt idx="311">
                  <c:v>4.2756269799865659E-2</c:v>
                </c:pt>
                <c:pt idx="312">
                  <c:v>0.23098218062984738</c:v>
                </c:pt>
                <c:pt idx="313">
                  <c:v>-9.5473612087589782E-2</c:v>
                </c:pt>
                <c:pt idx="314">
                  <c:v>4.3380592825691261E-2</c:v>
                </c:pt>
                <c:pt idx="315">
                  <c:v>0.24249990496113721</c:v>
                </c:pt>
                <c:pt idx="316">
                  <c:v>-9.7309089356546641E-2</c:v>
                </c:pt>
                <c:pt idx="317">
                  <c:v>4.716751623052215E-2</c:v>
                </c:pt>
                <c:pt idx="318">
                  <c:v>0.2570045296503789</c:v>
                </c:pt>
                <c:pt idx="319">
                  <c:v>-9.949596666761551E-2</c:v>
                </c:pt>
                <c:pt idx="320">
                  <c:v>4.7791839256347286E-2</c:v>
                </c:pt>
                <c:pt idx="321">
                  <c:v>0.27432035467651278</c:v>
                </c:pt>
                <c:pt idx="322">
                  <c:v>-0.10414264427346692</c:v>
                </c:pt>
                <c:pt idx="323">
                  <c:v>5.6674063271798886E-2</c:v>
                </c:pt>
                <c:pt idx="324">
                  <c:v>0.29163617970264682</c:v>
                </c:pt>
                <c:pt idx="325">
                  <c:v>-0.11160052221621222</c:v>
                </c:pt>
                <c:pt idx="326">
                  <c:v>5.7474086318680222E-2</c:v>
                </c:pt>
                <c:pt idx="327">
                  <c:v>0.30877630470772666</c:v>
                </c:pt>
                <c:pt idx="328">
                  <c:v>0.22074544056311698</c:v>
                </c:pt>
                <c:pt idx="329">
                  <c:v>6.3720810018293675E-2</c:v>
                </c:pt>
                <c:pt idx="330">
                  <c:v>0.32890333007075295</c:v>
                </c:pt>
                <c:pt idx="331">
                  <c:v>0.22418096392583806</c:v>
                </c:pt>
                <c:pt idx="332">
                  <c:v>6.7332033402068836E-2</c:v>
                </c:pt>
                <c:pt idx="333">
                  <c:v>0.22234548665687751</c:v>
                </c:pt>
                <c:pt idx="334">
                  <c:v>7.6214257417520512E-2</c:v>
                </c:pt>
                <c:pt idx="335">
                  <c:v>0.22051000938792209</c:v>
                </c:pt>
                <c:pt idx="336">
                  <c:v>8.2285281096079799E-2</c:v>
                </c:pt>
                <c:pt idx="337">
                  <c:v>0.22113433241374567</c:v>
                </c:pt>
                <c:pt idx="338">
                  <c:v>8.6072204500909133E-2</c:v>
                </c:pt>
                <c:pt idx="339">
                  <c:v>0.22193435546062845</c:v>
                </c:pt>
                <c:pt idx="340">
                  <c:v>9.4954428516360823E-2</c:v>
                </c:pt>
                <c:pt idx="341">
                  <c:v>0.21711197783372141</c:v>
                </c:pt>
                <c:pt idx="342">
                  <c:v>0.10383665253181254</c:v>
                </c:pt>
                <c:pt idx="343">
                  <c:v>0.22371010157544838</c:v>
                </c:pt>
                <c:pt idx="344">
                  <c:v>0.11008337623142592</c:v>
                </c:pt>
                <c:pt idx="345">
                  <c:v>0.22433442460127184</c:v>
                </c:pt>
                <c:pt idx="346">
                  <c:v>0.11650579995209345</c:v>
                </c:pt>
                <c:pt idx="347">
                  <c:v>0.22478304760604115</c:v>
                </c:pt>
                <c:pt idx="348">
                  <c:v>0.12257682363065274</c:v>
                </c:pt>
                <c:pt idx="349">
                  <c:v>0.22329897037919411</c:v>
                </c:pt>
                <c:pt idx="350">
                  <c:v>0.13163474766715857</c:v>
                </c:pt>
                <c:pt idx="351">
                  <c:v>0.22111209306812535</c:v>
                </c:pt>
                <c:pt idx="352">
                  <c:v>0.13788147136677206</c:v>
                </c:pt>
                <c:pt idx="353">
                  <c:v>0.22735881676773878</c:v>
                </c:pt>
                <c:pt idx="354">
                  <c:v>0.14412819506638549</c:v>
                </c:pt>
                <c:pt idx="355">
                  <c:v>0.22815883981462154</c:v>
                </c:pt>
                <c:pt idx="356">
                  <c:v>0.15019921874494468</c:v>
                </c:pt>
                <c:pt idx="357">
                  <c:v>0.23440556351423497</c:v>
                </c:pt>
                <c:pt idx="358">
                  <c:v>0.16224404313940227</c:v>
                </c:pt>
                <c:pt idx="359">
                  <c:v>0.23485418651900442</c:v>
                </c:pt>
                <c:pt idx="360">
                  <c:v>0.17393746749174635</c:v>
                </c:pt>
                <c:pt idx="361">
                  <c:v>0.23565420956588723</c:v>
                </c:pt>
                <c:pt idx="362">
                  <c:v>0.18580659186514964</c:v>
                </c:pt>
                <c:pt idx="363">
                  <c:v>0.23944113297071656</c:v>
                </c:pt>
                <c:pt idx="364">
                  <c:v>0.23988975597548601</c:v>
                </c:pt>
                <c:pt idx="365">
                  <c:v>0.24086547904342287</c:v>
                </c:pt>
                <c:pt idx="366">
                  <c:v>0.24184120211135984</c:v>
                </c:pt>
                <c:pt idx="367">
                  <c:v>0.24773652576885985</c:v>
                </c:pt>
                <c:pt idx="368">
                  <c:v>0.25134774915263508</c:v>
                </c:pt>
                <c:pt idx="369">
                  <c:v>0.24933657186262564</c:v>
                </c:pt>
                <c:pt idx="370">
                  <c:v>0.25857019592018549</c:v>
                </c:pt>
                <c:pt idx="371">
                  <c:v>0.25901881892495493</c:v>
                </c:pt>
                <c:pt idx="372">
                  <c:v>0.26280574232978943</c:v>
                </c:pt>
                <c:pt idx="373">
                  <c:v>0.26624126569250522</c:v>
                </c:pt>
                <c:pt idx="374">
                  <c:v>0.27231228937106455</c:v>
                </c:pt>
                <c:pt idx="375">
                  <c:v>0.27047681210210939</c:v>
                </c:pt>
                <c:pt idx="376">
                  <c:v>0.27654783578066333</c:v>
                </c:pt>
                <c:pt idx="377">
                  <c:v>0.28033475918549799</c:v>
                </c:pt>
                <c:pt idx="378">
                  <c:v>0.28359458252715963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09248"/>
        <c:axId val="262709808"/>
      </c:scatterChart>
      <c:valAx>
        <c:axId val="262709248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262709808"/>
        <c:crosses val="autoZero"/>
        <c:crossBetween val="midCat"/>
      </c:valAx>
      <c:valAx>
        <c:axId val="262709808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2627092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7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checked="Checked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9525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9525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180975</xdr:rowOff>
        </xdr:from>
        <xdr:to>
          <xdr:col>3</xdr:col>
          <xdr:colOff>257175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190500</xdr:rowOff>
        </xdr:from>
        <xdr:to>
          <xdr:col>2</xdr:col>
          <xdr:colOff>904875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1" name="scatterlist" displayName="scatterlist" ref="B32:R411" totalsRowShown="0">
  <tableColumns count="17">
    <tableColumn id="1" name="labels" dataDxfId="16"/>
    <tableColumn id="2" name="gridSize" dataDxfId="15"/>
    <tableColumn id="3" name="blockSize" dataDxfId="14"/>
    <tableColumn id="4" name="tim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J2154"/>
  <sheetViews>
    <sheetView tabSelected="1" topLeftCell="A11" zoomScale="85" zoomScaleNormal="85" workbookViewId="0">
      <selection activeCell="E33" sqref="E33:E411"/>
    </sheetView>
  </sheetViews>
  <sheetFormatPr baseColWidth="10" defaultRowHeight="12.75"/>
  <cols>
    <col min="1" max="1" width="147.25" style="80" customWidth="1"/>
    <col min="6" max="6" width="13.25" style="5" customWidth="1"/>
    <col min="7" max="7" width="20.75" style="5" customWidth="1"/>
    <col min="9" max="9" width="12.75" customWidth="1"/>
    <col min="10" max="10" width="12" customWidth="1"/>
    <col min="18" max="18" width="9.625" customWidth="1"/>
    <col min="19" max="21" width="10.7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79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1+MAX(IF(H33:H65907&lt;&gt;0,ROW(H33:H65907),0))-ROW(H33)</f>
        <v>379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-0.3888888888888889</v>
      </c>
      <c r="X9" s="40"/>
      <c r="Y9" s="40">
        <f t="shared" ref="Y9:Y29" si="2">(W9*$H$13+T9*$I$13+U9*$J$13+$D$27)*$C$27</f>
        <v>0.6028541439084919</v>
      </c>
      <c r="Z9" s="41">
        <f t="shared" ref="Z9:Z29" si="3">(W9*$H$14+T9*$I$14+U9*$J$14+$E$27)*$C$27</f>
        <v>-0.33579972812637671</v>
      </c>
      <c r="AA9" s="39">
        <f t="shared" ref="AA9:AA29" si="4">IF($S9&gt;I$23,I$23,$S9)</f>
        <v>0</v>
      </c>
      <c r="AB9" s="39">
        <f t="shared" ref="AB9:AB29" si="5">I$24+AA9*I$25</f>
        <v>-0.25531914893617025</v>
      </c>
      <c r="AC9" s="40"/>
      <c r="AD9" s="40">
        <f t="shared" ref="AD9:AD29" si="6">(T9*$H$13+AB9*$I$13+U9*$J$13+$D$27)*$C$27</f>
        <v>-0.41093159186349193</v>
      </c>
      <c r="AE9" s="41">
        <f t="shared" ref="AE9:AE29" si="7">(T9*$H$14+AB9*$I$14+U9*$J$14+$E$27)*$C$27</f>
        <v>-0.62427371113222785</v>
      </c>
      <c r="AF9" s="39">
        <f t="shared" ref="AF9:AF29" si="8">IF($S9&gt;J$23,J$23,$S9)</f>
        <v>0</v>
      </c>
      <c r="AG9" s="39">
        <f t="shared" ref="AG9:AG29" si="9">J$24+AF9*J$25</f>
        <v>-0.47565429093122336</v>
      </c>
      <c r="AH9" s="39"/>
      <c r="AI9" s="40">
        <f t="shared" ref="AI9:AI29" si="10">(U9*$H$13+T9*$I$13+AG9*$J$13+$D$27)*$C$27</f>
        <v>0.64085638205578843</v>
      </c>
      <c r="AJ9" s="41">
        <f t="shared" ref="AJ9:AJ29" si="11">(U9*$H$14+T9*$I$14+AG9*$J$14+$E$27)*$C$27</f>
        <v>-0.26251058000045385</v>
      </c>
    </row>
    <row r="10" spans="2:36" ht="15.95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-0.64085638205578865</v>
      </c>
      <c r="O10" s="51">
        <f t="shared" ref="O10:O20" si="13">(K10*$H$14+L10*$I$14+M10*$J$14+$E$27)*$C$27</f>
        <v>-0.58243082125727907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-0.3888888888888889</v>
      </c>
      <c r="X10" s="40">
        <f>H$22+V10*H$21</f>
        <v>7</v>
      </c>
      <c r="Y10" s="40">
        <f t="shared" si="2"/>
        <v>0.69682340598708281</v>
      </c>
      <c r="Z10" s="41">
        <f t="shared" si="3"/>
        <v>-0.35290073529266019</v>
      </c>
      <c r="AA10" s="39">
        <f t="shared" si="4"/>
        <v>0</v>
      </c>
      <c r="AB10" s="39">
        <f t="shared" si="5"/>
        <v>-0.25531914893617025</v>
      </c>
      <c r="AC10" s="40">
        <f>I$22+AA10*I$21</f>
        <v>200</v>
      </c>
      <c r="AD10" s="40">
        <f t="shared" si="6"/>
        <v>-0.4451336061960588</v>
      </c>
      <c r="AE10" s="41">
        <f t="shared" si="7"/>
        <v>-0.67125834217152325</v>
      </c>
      <c r="AF10" s="39">
        <f t="shared" si="8"/>
        <v>0</v>
      </c>
      <c r="AG10" s="39">
        <f t="shared" si="9"/>
        <v>-0.47565429093122336</v>
      </c>
      <c r="AH10" s="39">
        <f>J$22+AF10*J$21</f>
        <v>0.3</v>
      </c>
      <c r="AI10" s="40">
        <f t="shared" si="10"/>
        <v>0.73482564413437934</v>
      </c>
      <c r="AJ10" s="41">
        <f t="shared" si="11"/>
        <v>-0.27961158716673729</v>
      </c>
    </row>
    <row r="11" spans="2:36" ht="15.95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0.93969262078590832</v>
      </c>
      <c r="K11" s="57">
        <v>-0.5</v>
      </c>
      <c r="L11" s="63">
        <v>-0.5</v>
      </c>
      <c r="M11" s="63">
        <v>-0.5</v>
      </c>
      <c r="N11" s="50">
        <f t="shared" si="12"/>
        <v>-0.29883623873011983</v>
      </c>
      <c r="O11" s="51">
        <f t="shared" si="13"/>
        <v>-0.11258451086432519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-0.3888888888888889</v>
      </c>
      <c r="X11" s="40"/>
      <c r="Y11" s="40">
        <f t="shared" si="2"/>
        <v>0.6028541439084919</v>
      </c>
      <c r="Z11" s="41">
        <f t="shared" si="3"/>
        <v>-0.33579972812637671</v>
      </c>
      <c r="AA11" s="39">
        <f t="shared" si="4"/>
        <v>0</v>
      </c>
      <c r="AB11" s="39">
        <f t="shared" si="5"/>
        <v>-0.25531914893617025</v>
      </c>
      <c r="AC11" s="40"/>
      <c r="AD11" s="40">
        <f t="shared" si="6"/>
        <v>-0.41093159186349193</v>
      </c>
      <c r="AE11" s="41">
        <f t="shared" si="7"/>
        <v>-0.62427371113222785</v>
      </c>
      <c r="AF11" s="39">
        <f t="shared" si="8"/>
        <v>0</v>
      </c>
      <c r="AG11" s="39">
        <f t="shared" si="9"/>
        <v>-0.47565429093122336</v>
      </c>
      <c r="AH11" s="39"/>
      <c r="AI11" s="40">
        <f t="shared" si="10"/>
        <v>0.64085638205578843</v>
      </c>
      <c r="AJ11" s="41">
        <f t="shared" si="11"/>
        <v>-0.26251058000045385</v>
      </c>
    </row>
    <row r="12" spans="2:36" ht="15.95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0.34202014332566882</v>
      </c>
      <c r="K12" s="57">
        <v>-0.5</v>
      </c>
      <c r="L12" s="63">
        <v>-0.5</v>
      </c>
      <c r="M12" s="63">
        <v>0.5</v>
      </c>
      <c r="N12" s="50">
        <f t="shared" si="12"/>
        <v>-0.29883623873011972</v>
      </c>
      <c r="O12" s="51">
        <f t="shared" si="13"/>
        <v>0.75344089292011351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-0.19444444444444445</v>
      </c>
      <c r="X12" s="40"/>
      <c r="Y12" s="40">
        <f t="shared" si="2"/>
        <v>0.536350227150723</v>
      </c>
      <c r="Z12" s="41">
        <f t="shared" si="3"/>
        <v>-0.42715873292500667</v>
      </c>
      <c r="AA12" s="39">
        <f t="shared" si="4"/>
        <v>1</v>
      </c>
      <c r="AB12" s="39">
        <f t="shared" si="5"/>
        <v>1.0638297872340385E-2</v>
      </c>
      <c r="AC12" s="40"/>
      <c r="AD12" s="40">
        <f t="shared" si="6"/>
        <v>-0.16101334165447378</v>
      </c>
      <c r="AE12" s="41">
        <f t="shared" si="7"/>
        <v>-0.66975511317021574</v>
      </c>
      <c r="AF12" s="39">
        <f t="shared" si="8"/>
        <v>1</v>
      </c>
      <c r="AG12" s="39">
        <f t="shared" si="9"/>
        <v>-0.29306147291539864</v>
      </c>
      <c r="AH12" s="39"/>
      <c r="AI12" s="40">
        <f t="shared" si="10"/>
        <v>0.64085638205578854</v>
      </c>
      <c r="AJ12" s="41">
        <f t="shared" si="11"/>
        <v>-0.10438056105016075</v>
      </c>
    </row>
    <row r="13" spans="2:36" ht="15.95" customHeight="1">
      <c r="B13" t="s">
        <v>50</v>
      </c>
      <c r="C13" s="27">
        <v>120</v>
      </c>
      <c r="D13" s="28">
        <v>180</v>
      </c>
      <c r="E13" s="21">
        <v>70</v>
      </c>
      <c r="F13"/>
      <c r="G13" s="1" t="s">
        <v>42</v>
      </c>
      <c r="H13" s="39">
        <f>I12*J12*H18</f>
        <v>-0.34202014332566882</v>
      </c>
      <c r="I13" s="39">
        <f>-J11*I12*I18</f>
        <v>0.93969262078590832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-0.64085638205578843</v>
      </c>
      <c r="O13" s="51">
        <f t="shared" si="13"/>
        <v>0.28359458252715963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-0.19444444444444445</v>
      </c>
      <c r="X13" s="40">
        <f>H$22+V13*H$21</f>
        <v>14</v>
      </c>
      <c r="Y13" s="40">
        <f t="shared" si="2"/>
        <v>0.6303194892293138</v>
      </c>
      <c r="Z13" s="41">
        <f t="shared" si="3"/>
        <v>-0.4442597400912901</v>
      </c>
      <c r="AA13" s="39">
        <f t="shared" si="4"/>
        <v>1</v>
      </c>
      <c r="AB13" s="39">
        <f t="shared" si="5"/>
        <v>1.0638297872340385E-2</v>
      </c>
      <c r="AC13" s="40">
        <f>I$22+AA13*I$21</f>
        <v>400</v>
      </c>
      <c r="AD13" s="40">
        <f t="shared" si="6"/>
        <v>-0.19521535598704065</v>
      </c>
      <c r="AE13" s="41">
        <f t="shared" si="7"/>
        <v>-0.71673974420951114</v>
      </c>
      <c r="AF13" s="39">
        <f t="shared" si="8"/>
        <v>1</v>
      </c>
      <c r="AG13" s="39">
        <f t="shared" si="9"/>
        <v>-0.29306147291539864</v>
      </c>
      <c r="AH13" s="39">
        <f>J$22+AF13*J$21</f>
        <v>0.6</v>
      </c>
      <c r="AI13" s="40">
        <f t="shared" si="10"/>
        <v>0.73482564413437945</v>
      </c>
      <c r="AJ13" s="41">
        <f t="shared" si="11"/>
        <v>-0.12148156821644418</v>
      </c>
    </row>
    <row r="14" spans="2:36" ht="15.95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-0.46984631039295388</v>
      </c>
      <c r="I14" s="39">
        <f>(-J11*I11*H11+J12*H12)*I18</f>
        <v>-0.17101007166283444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-0.64085638205578865</v>
      </c>
      <c r="O14" s="51">
        <f t="shared" si="13"/>
        <v>-0.58243082125727907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-0.19444444444444445</v>
      </c>
      <c r="X14" s="40"/>
      <c r="Y14" s="40">
        <f t="shared" si="2"/>
        <v>0.536350227150723</v>
      </c>
      <c r="Z14" s="41">
        <f t="shared" si="3"/>
        <v>-0.42715873292500667</v>
      </c>
      <c r="AA14" s="39">
        <f t="shared" si="4"/>
        <v>1</v>
      </c>
      <c r="AB14" s="39">
        <f t="shared" si="5"/>
        <v>1.0638297872340385E-2</v>
      </c>
      <c r="AC14" s="40"/>
      <c r="AD14" s="40">
        <f t="shared" si="6"/>
        <v>-0.16101334165447378</v>
      </c>
      <c r="AE14" s="41">
        <f t="shared" si="7"/>
        <v>-0.66975511317021574</v>
      </c>
      <c r="AF14" s="39">
        <f t="shared" si="8"/>
        <v>1</v>
      </c>
      <c r="AG14" s="39">
        <f t="shared" si="9"/>
        <v>-0.29306147291539864</v>
      </c>
      <c r="AH14" s="39"/>
      <c r="AI14" s="40">
        <f t="shared" si="10"/>
        <v>0.64085638205578854</v>
      </c>
      <c r="AJ14" s="41">
        <f t="shared" si="11"/>
        <v>-0.10438056105016075</v>
      </c>
    </row>
    <row r="15" spans="2:36" ht="15.95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0.29883623873011972</v>
      </c>
      <c r="O15" s="51">
        <f t="shared" si="13"/>
        <v>-0.75344089292011351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0</v>
      </c>
      <c r="X15" s="40"/>
      <c r="Y15" s="40">
        <f t="shared" si="2"/>
        <v>0.4698463103929541</v>
      </c>
      <c r="Z15" s="41">
        <f t="shared" si="3"/>
        <v>-0.51851773772363652</v>
      </c>
      <c r="AA15" s="39">
        <f t="shared" si="4"/>
        <v>2</v>
      </c>
      <c r="AB15" s="39">
        <f t="shared" si="5"/>
        <v>0.27659574468085102</v>
      </c>
      <c r="AC15" s="40"/>
      <c r="AD15" s="40">
        <f t="shared" si="6"/>
        <v>8.8904908554544387E-2</v>
      </c>
      <c r="AE15" s="41">
        <f t="shared" si="7"/>
        <v>-0.71523651520820364</v>
      </c>
      <c r="AF15" s="39">
        <f t="shared" si="8"/>
        <v>2</v>
      </c>
      <c r="AG15" s="39">
        <f t="shared" si="9"/>
        <v>-0.11046865489957397</v>
      </c>
      <c r="AH15" s="39"/>
      <c r="AI15" s="40">
        <f t="shared" si="10"/>
        <v>0.64085638205578854</v>
      </c>
      <c r="AJ15" s="41">
        <f t="shared" si="11"/>
        <v>5.3749457900132358E-2</v>
      </c>
    </row>
    <row r="16" spans="2:36" ht="15.95" customHeight="1">
      <c r="B16" t="s">
        <v>47</v>
      </c>
      <c r="F16"/>
      <c r="G16" s="1" t="s">
        <v>38</v>
      </c>
      <c r="H16" s="82">
        <f>MIN(C33:C411)</f>
        <v>3</v>
      </c>
      <c r="I16" s="82">
        <f>MIN(D33:D411)</f>
        <v>16</v>
      </c>
      <c r="J16" s="82">
        <f>MIN(E33:E411)</f>
        <v>0.26</v>
      </c>
      <c r="K16" s="57">
        <v>-0.5</v>
      </c>
      <c r="L16" s="63">
        <v>0.5</v>
      </c>
      <c r="M16" s="63">
        <v>-0.5</v>
      </c>
      <c r="N16" s="50">
        <f t="shared" si="12"/>
        <v>0.64085638205578843</v>
      </c>
      <c r="O16" s="51">
        <f t="shared" si="13"/>
        <v>-0.28359458252715963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0</v>
      </c>
      <c r="X16" s="40">
        <f>H$22+V16*H$21</f>
        <v>21</v>
      </c>
      <c r="Y16" s="40">
        <f t="shared" si="2"/>
        <v>0.5638155724715449</v>
      </c>
      <c r="Z16" s="41">
        <f t="shared" si="3"/>
        <v>-0.53561874488992001</v>
      </c>
      <c r="AA16" s="39">
        <f t="shared" si="4"/>
        <v>2</v>
      </c>
      <c r="AB16" s="39">
        <f t="shared" si="5"/>
        <v>0.27659574468085102</v>
      </c>
      <c r="AC16" s="40">
        <f>I$22+AA16*I$21</f>
        <v>600</v>
      </c>
      <c r="AD16" s="40">
        <f t="shared" si="6"/>
        <v>5.4702894221977515E-2</v>
      </c>
      <c r="AE16" s="41">
        <f t="shared" si="7"/>
        <v>-0.76222114624749904</v>
      </c>
      <c r="AF16" s="39">
        <f t="shared" si="8"/>
        <v>2</v>
      </c>
      <c r="AG16" s="39">
        <f t="shared" si="9"/>
        <v>-0.11046865489957397</v>
      </c>
      <c r="AH16" s="39">
        <f>J$22+AF16*J$21</f>
        <v>0.89999999999999991</v>
      </c>
      <c r="AI16" s="40">
        <f t="shared" si="10"/>
        <v>0.73482564413437945</v>
      </c>
      <c r="AJ16" s="41">
        <f t="shared" si="11"/>
        <v>3.6648450733848925E-2</v>
      </c>
    </row>
    <row r="17" spans="2:36" ht="15.95" customHeight="1">
      <c r="B17" t="s">
        <v>48</v>
      </c>
      <c r="F17"/>
      <c r="G17" s="1" t="s">
        <v>39</v>
      </c>
      <c r="H17" s="82">
        <f>MAX(C33:C411)-H16</f>
        <v>189</v>
      </c>
      <c r="I17" s="82">
        <f>MAX(D33:D411)-I16</f>
        <v>752</v>
      </c>
      <c r="J17" s="82">
        <f>MAX(E33:E411)-J16</f>
        <v>1.643</v>
      </c>
      <c r="K17" s="57">
        <v>-0.5</v>
      </c>
      <c r="L17" s="63">
        <v>0.5</v>
      </c>
      <c r="M17" s="63">
        <v>0.5</v>
      </c>
      <c r="N17" s="50">
        <f t="shared" si="12"/>
        <v>0.64085638205578865</v>
      </c>
      <c r="O17" s="51">
        <f t="shared" si="13"/>
        <v>0.58243082125727907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0</v>
      </c>
      <c r="X17" s="40"/>
      <c r="Y17" s="40">
        <f t="shared" si="2"/>
        <v>0.4698463103929541</v>
      </c>
      <c r="Z17" s="41">
        <f t="shared" si="3"/>
        <v>-0.51851773772363652</v>
      </c>
      <c r="AA17" s="39">
        <f t="shared" si="4"/>
        <v>2</v>
      </c>
      <c r="AB17" s="39">
        <f t="shared" si="5"/>
        <v>0.27659574468085102</v>
      </c>
      <c r="AC17" s="40"/>
      <c r="AD17" s="40">
        <f t="shared" si="6"/>
        <v>8.8904908554544387E-2</v>
      </c>
      <c r="AE17" s="41">
        <f t="shared" si="7"/>
        <v>-0.71523651520820364</v>
      </c>
      <c r="AF17" s="39">
        <f t="shared" si="8"/>
        <v>2</v>
      </c>
      <c r="AG17" s="39">
        <f t="shared" si="9"/>
        <v>-0.11046865489957397</v>
      </c>
      <c r="AH17" s="39"/>
      <c r="AI17" s="40">
        <f t="shared" si="10"/>
        <v>0.64085638205578854</v>
      </c>
      <c r="AJ17" s="41">
        <f t="shared" si="11"/>
        <v>5.3749457900132358E-2</v>
      </c>
    </row>
    <row r="18" spans="2:36" ht="15.95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-0.29883623873011972</v>
      </c>
      <c r="O18" s="51">
        <f t="shared" si="13"/>
        <v>0.75344089292011351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0.19444444444444448</v>
      </c>
      <c r="X18" s="40"/>
      <c r="Y18" s="40">
        <f t="shared" si="2"/>
        <v>0.40334239363518515</v>
      </c>
      <c r="Z18" s="41">
        <f t="shared" si="3"/>
        <v>-0.60987674252226654</v>
      </c>
      <c r="AA18" s="39">
        <f t="shared" si="4"/>
        <v>2</v>
      </c>
      <c r="AB18" s="39">
        <f t="shared" si="5"/>
        <v>0.27659574468085102</v>
      </c>
      <c r="AC18" s="40"/>
      <c r="AD18" s="40">
        <f t="shared" si="6"/>
        <v>8.8904908554544387E-2</v>
      </c>
      <c r="AE18" s="41">
        <f t="shared" si="7"/>
        <v>-0.71523651520820364</v>
      </c>
      <c r="AF18" s="39">
        <f t="shared" si="8"/>
        <v>3</v>
      </c>
      <c r="AG18" s="39">
        <f t="shared" si="9"/>
        <v>7.2124163116250695E-2</v>
      </c>
      <c r="AH18" s="39"/>
      <c r="AI18" s="40">
        <f t="shared" si="10"/>
        <v>0.64085638205578854</v>
      </c>
      <c r="AJ18" s="41">
        <f t="shared" si="11"/>
        <v>0.21187947685042546</v>
      </c>
    </row>
    <row r="19" spans="2:36" ht="15.95" customHeight="1">
      <c r="B19" s="32"/>
      <c r="D19" t="b">
        <v>1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-0.29883623873011983</v>
      </c>
      <c r="O19" s="51">
        <f t="shared" si="13"/>
        <v>-0.11258451086432519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0.19444444444444448</v>
      </c>
      <c r="X19" s="40">
        <f>H$22+V19*H$21</f>
        <v>28</v>
      </c>
      <c r="Y19" s="40">
        <f t="shared" si="2"/>
        <v>0.497311655713776</v>
      </c>
      <c r="Z19" s="41">
        <f t="shared" si="3"/>
        <v>-0.62697774968855002</v>
      </c>
      <c r="AA19" s="39">
        <f t="shared" si="4"/>
        <v>2</v>
      </c>
      <c r="AB19" s="39">
        <f t="shared" si="5"/>
        <v>0.27659574468085102</v>
      </c>
      <c r="AC19" s="40">
        <f>I$22+AA19*I$21</f>
        <v>600</v>
      </c>
      <c r="AD19" s="40">
        <f t="shared" si="6"/>
        <v>5.4702894221977515E-2</v>
      </c>
      <c r="AE19" s="41">
        <f t="shared" si="7"/>
        <v>-0.76222114624749904</v>
      </c>
      <c r="AF19" s="39">
        <f t="shared" si="8"/>
        <v>3</v>
      </c>
      <c r="AG19" s="39">
        <f t="shared" si="9"/>
        <v>7.2124163116250695E-2</v>
      </c>
      <c r="AH19" s="39">
        <f>J$22+AF19*J$21</f>
        <v>1.2</v>
      </c>
      <c r="AI19" s="40">
        <f t="shared" si="10"/>
        <v>0.73482564413437945</v>
      </c>
      <c r="AJ19" s="41">
        <f t="shared" si="11"/>
        <v>0.19477846968414203</v>
      </c>
    </row>
    <row r="20" spans="2:36" ht="15.95" customHeight="1">
      <c r="B20" t="s">
        <v>22</v>
      </c>
      <c r="F20"/>
      <c r="G20" s="1" t="s">
        <v>56</v>
      </c>
      <c r="H20" s="39">
        <f>H17/5</f>
        <v>7.2</v>
      </c>
      <c r="I20" s="39">
        <f>I17/5</f>
        <v>150.4</v>
      </c>
      <c r="J20" s="39">
        <f>J17/5</f>
        <v>0.3286</v>
      </c>
      <c r="K20" s="59">
        <v>-0.5</v>
      </c>
      <c r="L20" s="64">
        <v>0.5</v>
      </c>
      <c r="M20" s="64">
        <v>-0.5</v>
      </c>
      <c r="N20" s="52">
        <f t="shared" si="12"/>
        <v>0.64085638205578843</v>
      </c>
      <c r="O20" s="53">
        <f t="shared" si="13"/>
        <v>-0.28359458252715963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0.19444444444444448</v>
      </c>
      <c r="X20" s="40"/>
      <c r="Y20" s="40">
        <f t="shared" si="2"/>
        <v>0.40334239363518515</v>
      </c>
      <c r="Z20" s="41">
        <f t="shared" si="3"/>
        <v>-0.60987674252226654</v>
      </c>
      <c r="AA20" s="39">
        <f t="shared" si="4"/>
        <v>2</v>
      </c>
      <c r="AB20" s="39">
        <f t="shared" si="5"/>
        <v>0.27659574468085102</v>
      </c>
      <c r="AC20" s="40"/>
      <c r="AD20" s="40">
        <f t="shared" si="6"/>
        <v>8.8904908554544387E-2</v>
      </c>
      <c r="AE20" s="41">
        <f t="shared" si="7"/>
        <v>-0.71523651520820364</v>
      </c>
      <c r="AF20" s="39">
        <f t="shared" si="8"/>
        <v>3</v>
      </c>
      <c r="AG20" s="39">
        <f t="shared" si="9"/>
        <v>7.2124163116250695E-2</v>
      </c>
      <c r="AH20" s="39"/>
      <c r="AI20" s="40">
        <f t="shared" si="10"/>
        <v>0.64085638205578854</v>
      </c>
      <c r="AJ20" s="41">
        <f t="shared" si="11"/>
        <v>0.21187947685042546</v>
      </c>
    </row>
    <row r="21" spans="2:36" ht="15.95" customHeight="1">
      <c r="B21" t="s">
        <v>20</v>
      </c>
      <c r="F21"/>
      <c r="G21" s="1" t="s">
        <v>57</v>
      </c>
      <c r="H21" s="39">
        <f>ROUND(H20,1-INT(LOG(ABS(H20))+1))</f>
        <v>7</v>
      </c>
      <c r="I21" s="39">
        <f>ROUND(I20,1-INT(LOG(ABS(I20))+1))</f>
        <v>200</v>
      </c>
      <c r="J21" s="39">
        <f>ROUND(J20,1-INT(LOG(ABS(J20))+1))</f>
        <v>0.3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0.3888888888888889</v>
      </c>
      <c r="X21" s="40"/>
      <c r="Y21" s="40">
        <f t="shared" si="2"/>
        <v>0.33683847687741625</v>
      </c>
      <c r="Z21" s="41">
        <f t="shared" si="3"/>
        <v>-0.70123574732089633</v>
      </c>
      <c r="AA21" s="39">
        <f t="shared" si="4"/>
        <v>2</v>
      </c>
      <c r="AB21" s="39">
        <f t="shared" si="5"/>
        <v>0.27659574468085102</v>
      </c>
      <c r="AC21" s="40"/>
      <c r="AD21" s="40">
        <f t="shared" si="6"/>
        <v>8.8904908554544387E-2</v>
      </c>
      <c r="AE21" s="41">
        <f t="shared" si="7"/>
        <v>-0.71523651520820364</v>
      </c>
      <c r="AF21" s="39">
        <f t="shared" si="8"/>
        <v>4</v>
      </c>
      <c r="AG21" s="39">
        <f t="shared" si="9"/>
        <v>0.25471698113207542</v>
      </c>
      <c r="AH21" s="39"/>
      <c r="AI21" s="40">
        <f t="shared" si="10"/>
        <v>0.64085638205578854</v>
      </c>
      <c r="AJ21" s="41">
        <f t="shared" si="11"/>
        <v>0.37000949580071862</v>
      </c>
    </row>
    <row r="22" spans="2:36" ht="15.95" customHeight="1">
      <c r="B22" t="s">
        <v>21</v>
      </c>
      <c r="F22"/>
      <c r="G22" s="1" t="s">
        <v>58</v>
      </c>
      <c r="H22" s="39">
        <f>H21*(INT(H16/H21)+1)</f>
        <v>7</v>
      </c>
      <c r="I22" s="39">
        <f>I21*(INT(I16/I21)+1)</f>
        <v>200</v>
      </c>
      <c r="J22" s="39">
        <f>J21*(INT(J16/J21)+1)</f>
        <v>0.3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0.3888888888888889</v>
      </c>
      <c r="X22" s="40">
        <f>H$22+V22*H$21</f>
        <v>35</v>
      </c>
      <c r="Y22" s="40">
        <f t="shared" si="2"/>
        <v>0.43080773895600705</v>
      </c>
      <c r="Z22" s="41">
        <f t="shared" si="3"/>
        <v>-0.71833675448717993</v>
      </c>
      <c r="AA22" s="39">
        <f t="shared" si="4"/>
        <v>2</v>
      </c>
      <c r="AB22" s="39">
        <f t="shared" si="5"/>
        <v>0.27659574468085102</v>
      </c>
      <c r="AC22" s="40">
        <f>I$22+AA22*I$21</f>
        <v>600</v>
      </c>
      <c r="AD22" s="40">
        <f t="shared" si="6"/>
        <v>5.4702894221977515E-2</v>
      </c>
      <c r="AE22" s="41">
        <f t="shared" si="7"/>
        <v>-0.76222114624749904</v>
      </c>
      <c r="AF22" s="39">
        <f t="shared" si="8"/>
        <v>4</v>
      </c>
      <c r="AG22" s="39">
        <f t="shared" si="9"/>
        <v>0.25471698113207542</v>
      </c>
      <c r="AH22" s="39">
        <f>J$22+AF22*J$21</f>
        <v>1.5</v>
      </c>
      <c r="AI22" s="40">
        <f t="shared" si="10"/>
        <v>0.73482564413437945</v>
      </c>
      <c r="AJ22" s="41">
        <f t="shared" si="11"/>
        <v>0.35290848863443514</v>
      </c>
    </row>
    <row r="23" spans="2:36" ht="15.95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2</v>
      </c>
      <c r="J23" s="39">
        <f>INT((J17+J16-J22)/J21)</f>
        <v>5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0.3888888888888889</v>
      </c>
      <c r="X23" s="40"/>
      <c r="Y23" s="40">
        <f t="shared" si="2"/>
        <v>0.33683847687741625</v>
      </c>
      <c r="Z23" s="41">
        <f t="shared" si="3"/>
        <v>-0.70123574732089633</v>
      </c>
      <c r="AA23" s="39">
        <f t="shared" si="4"/>
        <v>2</v>
      </c>
      <c r="AB23" s="39">
        <f t="shared" si="5"/>
        <v>0.27659574468085102</v>
      </c>
      <c r="AC23" s="40"/>
      <c r="AD23" s="40">
        <f t="shared" si="6"/>
        <v>8.8904908554544387E-2</v>
      </c>
      <c r="AE23" s="41">
        <f t="shared" si="7"/>
        <v>-0.71523651520820364</v>
      </c>
      <c r="AF23" s="39">
        <f t="shared" si="8"/>
        <v>4</v>
      </c>
      <c r="AG23" s="39">
        <f t="shared" si="9"/>
        <v>0.25471698113207542</v>
      </c>
      <c r="AH23" s="39"/>
      <c r="AI23" s="40">
        <f t="shared" si="10"/>
        <v>0.64085638205578854</v>
      </c>
      <c r="AJ23" s="41">
        <f t="shared" si="11"/>
        <v>0.37000949580071862</v>
      </c>
    </row>
    <row r="24" spans="2:36" ht="15.95" customHeight="1">
      <c r="F24"/>
      <c r="G24" s="1" t="s">
        <v>60</v>
      </c>
      <c r="H24" s="39">
        <f>(H22-H16)/H17-0.5</f>
        <v>-0.3888888888888889</v>
      </c>
      <c r="I24" s="39">
        <f>(I22-I16)/I17-0.5</f>
        <v>-0.25531914893617025</v>
      </c>
      <c r="J24" s="39">
        <f>(J22-J16)/J17-0.5</f>
        <v>-0.47565429093122336</v>
      </c>
      <c r="K24" s="57">
        <v>-0.5</v>
      </c>
      <c r="L24" s="58">
        <v>-0.5</v>
      </c>
      <c r="M24" s="54">
        <f>(H$27*$H$13+K24*$I$13+L24*$J$13+$D$27)*$C$27</f>
        <v>-0.29883623873011983</v>
      </c>
      <c r="N24" s="51">
        <f>(H$27*$H$14+K24*$I$14+L24*$J$14+$E$27)*$C$27</f>
        <v>-0.11258451086432519</v>
      </c>
      <c r="O24" s="54">
        <f>(K24*$H$13+I$27*$I$13+L24*$J$13+$D$27)*$C$27</f>
        <v>-0.29883623873011983</v>
      </c>
      <c r="P24" s="51">
        <f>(K24*$H$14+I$27*$I$14+L24*$J$14+$E$27)*$C$27</f>
        <v>-0.11258451086432519</v>
      </c>
      <c r="Q24" s="54">
        <f>(K24*$H$13+L24*$I$13+J$27*$J$13+$D$27)*$C$27</f>
        <v>-0.29883623873011983</v>
      </c>
      <c r="R24" s="51">
        <f>(K24*$H$14+L24*$I$14+J$27*$J$14+$E$27)*$C$27</f>
        <v>-0.11258451086432519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0.3888888888888889</v>
      </c>
      <c r="X24" s="40"/>
      <c r="Y24" s="40">
        <f t="shared" si="2"/>
        <v>0.33683847687741625</v>
      </c>
      <c r="Z24" s="41">
        <f t="shared" si="3"/>
        <v>-0.70123574732089633</v>
      </c>
      <c r="AA24" s="39">
        <f t="shared" si="4"/>
        <v>2</v>
      </c>
      <c r="AB24" s="39">
        <f t="shared" si="5"/>
        <v>0.27659574468085102</v>
      </c>
      <c r="AC24" s="40"/>
      <c r="AD24" s="40">
        <f t="shared" si="6"/>
        <v>8.8904908554544387E-2</v>
      </c>
      <c r="AE24" s="41">
        <f t="shared" si="7"/>
        <v>-0.71523651520820364</v>
      </c>
      <c r="AF24" s="39">
        <f t="shared" si="8"/>
        <v>5</v>
      </c>
      <c r="AG24" s="39">
        <f t="shared" si="9"/>
        <v>0.43730979914790014</v>
      </c>
      <c r="AH24" s="39"/>
      <c r="AI24" s="40">
        <f t="shared" si="10"/>
        <v>0.64085638205578854</v>
      </c>
      <c r="AJ24" s="41">
        <f t="shared" si="11"/>
        <v>0.52813951475101173</v>
      </c>
    </row>
    <row r="25" spans="2:36" ht="15.95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0.19444444444444445</v>
      </c>
      <c r="I25" s="39">
        <f>I21/I17</f>
        <v>0.26595744680851063</v>
      </c>
      <c r="J25" s="39">
        <f>J21/J17</f>
        <v>0.18259281801582469</v>
      </c>
      <c r="K25" s="57">
        <v>0.5</v>
      </c>
      <c r="L25" s="58">
        <v>-0.5</v>
      </c>
      <c r="M25" s="54">
        <f>(H$27*$H$13+K25*$I$13+L25*$J$13+$D$27)*$C$27</f>
        <v>0.64085638205578843</v>
      </c>
      <c r="N25" s="51">
        <f>(H$27*$H$14+K25*$I$14+L25*$J$14+$E$27)*$C$27</f>
        <v>-0.28359458252715963</v>
      </c>
      <c r="O25" s="54">
        <f>(K25*$H$13+I$27*$I$13+L25*$J$13+$D$27)*$C$27</f>
        <v>-0.64085638205578865</v>
      </c>
      <c r="P25" s="51">
        <f>(K25*$H$14+I$27*$I$14+L25*$J$14+$E$27)*$C$27</f>
        <v>-0.58243082125727907</v>
      </c>
      <c r="Q25" s="54">
        <f>(K25*$H$13+L25*$I$13+J$27*$J$13+$D$27)*$C$27</f>
        <v>-0.64085638205578865</v>
      </c>
      <c r="R25" s="51">
        <f>(K25*$H$14+L25*$I$14+J$27*$J$14+$E$27)*$C$27</f>
        <v>-0.58243082125727907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0.3888888888888889</v>
      </c>
      <c r="X25" s="40">
        <f>H$22+V25*H$21</f>
        <v>35</v>
      </c>
      <c r="Y25" s="40">
        <f t="shared" si="2"/>
        <v>0.43080773895600705</v>
      </c>
      <c r="Z25" s="41">
        <f t="shared" si="3"/>
        <v>-0.71833675448717993</v>
      </c>
      <c r="AA25" s="39">
        <f t="shared" si="4"/>
        <v>2</v>
      </c>
      <c r="AB25" s="39">
        <f t="shared" si="5"/>
        <v>0.27659574468085102</v>
      </c>
      <c r="AC25" s="40">
        <f>I$22+AA25*I$21</f>
        <v>600</v>
      </c>
      <c r="AD25" s="40">
        <f t="shared" si="6"/>
        <v>5.4702894221977515E-2</v>
      </c>
      <c r="AE25" s="41">
        <f t="shared" si="7"/>
        <v>-0.76222114624749904</v>
      </c>
      <c r="AF25" s="39">
        <f t="shared" si="8"/>
        <v>5</v>
      </c>
      <c r="AG25" s="39">
        <f t="shared" si="9"/>
        <v>0.43730979914790014</v>
      </c>
      <c r="AH25" s="39">
        <f>J$22+AF25*J$21</f>
        <v>1.8</v>
      </c>
      <c r="AI25" s="40">
        <f t="shared" si="10"/>
        <v>0.73482564413437945</v>
      </c>
      <c r="AJ25" s="41">
        <f t="shared" si="11"/>
        <v>0.51103850758472835</v>
      </c>
    </row>
    <row r="26" spans="2:36" ht="15.95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0.64085638205578865</v>
      </c>
      <c r="N26" s="51">
        <f>(H$27*$H$14+K26*$I$14+L26*$J$14+$E$27)*$C$27</f>
        <v>0.58243082125727907</v>
      </c>
      <c r="O26" s="54">
        <f>(K26*$H$13+I$27*$I$13+L26*$J$13+$D$27)*$C$27</f>
        <v>-0.64085638205578843</v>
      </c>
      <c r="P26" s="51">
        <f>(K26*$H$14+I$27*$I$14+L26*$J$14+$E$27)*$C$27</f>
        <v>0.28359458252715963</v>
      </c>
      <c r="Q26" s="54">
        <f>(K26*$H$13+L26*$I$13+J$27*$J$13+$D$27)*$C$27</f>
        <v>0.29883623873011972</v>
      </c>
      <c r="R26" s="51">
        <f>(K26*$H$14+L26*$I$14+J$27*$J$14+$E$27)*$C$27</f>
        <v>-0.75344089292011351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0.3888888888888889</v>
      </c>
      <c r="X26" s="40"/>
      <c r="Y26" s="40">
        <f t="shared" si="2"/>
        <v>0.33683847687741625</v>
      </c>
      <c r="Z26" s="41">
        <f t="shared" si="3"/>
        <v>-0.70123574732089633</v>
      </c>
      <c r="AA26" s="39">
        <f t="shared" si="4"/>
        <v>2</v>
      </c>
      <c r="AB26" s="39">
        <f t="shared" si="5"/>
        <v>0.27659574468085102</v>
      </c>
      <c r="AC26" s="40"/>
      <c r="AD26" s="40">
        <f t="shared" si="6"/>
        <v>8.8904908554544387E-2</v>
      </c>
      <c r="AE26" s="41">
        <f t="shared" si="7"/>
        <v>-0.71523651520820364</v>
      </c>
      <c r="AF26" s="39">
        <f t="shared" si="8"/>
        <v>5</v>
      </c>
      <c r="AG26" s="39">
        <f t="shared" si="9"/>
        <v>0.43730979914790014</v>
      </c>
      <c r="AH26" s="39"/>
      <c r="AI26" s="40">
        <f t="shared" si="10"/>
        <v>0.64085638205578854</v>
      </c>
      <c r="AJ26" s="41">
        <f t="shared" si="11"/>
        <v>0.52813951475101173</v>
      </c>
    </row>
    <row r="27" spans="2:36" ht="15.95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-0.29883623873011972</v>
      </c>
      <c r="N27" s="51">
        <f>(H$27*$H$14+K27*$I$14+L27*$J$14+$E$27)*$C$27</f>
        <v>0.75344089292011351</v>
      </c>
      <c r="O27" s="54">
        <f>(K27*$H$13+I$27*$I$13+L27*$J$13+$D$27)*$C$27</f>
        <v>-0.29883623873011972</v>
      </c>
      <c r="P27" s="51">
        <f>(K27*$H$14+I$27*$I$14+L27*$J$14+$E$27)*$C$27</f>
        <v>0.75344089292011351</v>
      </c>
      <c r="Q27" s="54">
        <f>(K27*$H$13+L27*$I$13+J$27*$J$13+$D$27)*$C$27</f>
        <v>0.64085638205578843</v>
      </c>
      <c r="R27" s="51">
        <f>(K27*$H$14+L27*$I$14+J$27*$J$14+$E$27)*$C$27</f>
        <v>-0.28359458252715963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0.3888888888888889</v>
      </c>
      <c r="X27" s="40"/>
      <c r="Y27" s="40">
        <f t="shared" si="2"/>
        <v>0.33683847687741625</v>
      </c>
      <c r="Z27" s="41">
        <f t="shared" si="3"/>
        <v>-0.70123574732089633</v>
      </c>
      <c r="AA27" s="39">
        <f t="shared" si="4"/>
        <v>2</v>
      </c>
      <c r="AB27" s="39">
        <f t="shared" si="5"/>
        <v>0.27659574468085102</v>
      </c>
      <c r="AC27" s="40"/>
      <c r="AD27" s="40">
        <f t="shared" si="6"/>
        <v>8.8904908554544387E-2</v>
      </c>
      <c r="AE27" s="41">
        <f t="shared" si="7"/>
        <v>-0.71523651520820364</v>
      </c>
      <c r="AF27" s="39">
        <f t="shared" si="8"/>
        <v>5</v>
      </c>
      <c r="AG27" s="39">
        <f t="shared" si="9"/>
        <v>0.43730979914790014</v>
      </c>
      <c r="AH27" s="39"/>
      <c r="AI27" s="40">
        <f t="shared" si="10"/>
        <v>0.64085638205578854</v>
      </c>
      <c r="AJ27" s="41">
        <f t="shared" si="11"/>
        <v>0.52813951475101173</v>
      </c>
    </row>
    <row r="28" spans="2:36" ht="15.95" customHeight="1">
      <c r="K28" s="59">
        <v>-0.5</v>
      </c>
      <c r="L28" s="60">
        <v>-0.5</v>
      </c>
      <c r="M28" s="54">
        <f>(H$27*$H$13+K28*$I$13+L28*$J$13+$D$27)*$C$27</f>
        <v>-0.29883623873011983</v>
      </c>
      <c r="N28" s="51">
        <f>(H$27*$H$14+K28*$I$14+L28*$J$14+$E$27)*$C$27</f>
        <v>-0.11258451086432519</v>
      </c>
      <c r="O28" s="54">
        <f>(K28*$H$13+I$27*$I$13+L28*$J$13+$D$27)*$C$27</f>
        <v>-0.29883623873011983</v>
      </c>
      <c r="P28" s="51">
        <f>(K28*$H$14+I$27*$I$14+L28*$J$14+$E$27)*$C$27</f>
        <v>-0.11258451086432519</v>
      </c>
      <c r="Q28" s="54">
        <f>(K28*$H$13+L28*$I$13+J$27*$J$13+$D$27)*$C$27</f>
        <v>-0.29883623873011983</v>
      </c>
      <c r="R28" s="51">
        <f>(K28*$H$14+L28*$I$14+J$27*$J$14+$E$27)*$C$27</f>
        <v>-0.11258451086432519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0.3888888888888889</v>
      </c>
      <c r="X28" s="40">
        <f>H$22+V28*H$21</f>
        <v>35</v>
      </c>
      <c r="Y28" s="40">
        <f t="shared" si="2"/>
        <v>0.43080773895600705</v>
      </c>
      <c r="Z28" s="41">
        <f t="shared" si="3"/>
        <v>-0.71833675448717993</v>
      </c>
      <c r="AA28" s="39">
        <f t="shared" si="4"/>
        <v>2</v>
      </c>
      <c r="AB28" s="39">
        <f t="shared" si="5"/>
        <v>0.27659574468085102</v>
      </c>
      <c r="AC28" s="40">
        <f>I$22+AA28*I$21</f>
        <v>600</v>
      </c>
      <c r="AD28" s="40">
        <f t="shared" si="6"/>
        <v>5.4702894221977515E-2</v>
      </c>
      <c r="AE28" s="41">
        <f t="shared" si="7"/>
        <v>-0.76222114624749904</v>
      </c>
      <c r="AF28" s="39">
        <f t="shared" si="8"/>
        <v>5</v>
      </c>
      <c r="AG28" s="39">
        <f t="shared" si="9"/>
        <v>0.43730979914790014</v>
      </c>
      <c r="AH28" s="39">
        <f>J$22+AF28*J$21</f>
        <v>1.8</v>
      </c>
      <c r="AI28" s="40">
        <f t="shared" si="10"/>
        <v>0.73482564413437945</v>
      </c>
      <c r="AJ28" s="41">
        <f t="shared" si="11"/>
        <v>0.51103850758472835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0.3888888888888889</v>
      </c>
      <c r="X29" s="42"/>
      <c r="Y29" s="42">
        <f t="shared" si="2"/>
        <v>0.33683847687741625</v>
      </c>
      <c r="Z29" s="43">
        <f t="shared" si="3"/>
        <v>-0.70123574732089633</v>
      </c>
      <c r="AA29" s="42">
        <f t="shared" si="4"/>
        <v>2</v>
      </c>
      <c r="AB29" s="42">
        <f t="shared" si="5"/>
        <v>0.27659574468085102</v>
      </c>
      <c r="AC29" s="42"/>
      <c r="AD29" s="42">
        <f t="shared" si="6"/>
        <v>8.8904908554544387E-2</v>
      </c>
      <c r="AE29" s="43">
        <f t="shared" si="7"/>
        <v>-0.71523651520820364</v>
      </c>
      <c r="AF29" s="42">
        <f t="shared" si="8"/>
        <v>5</v>
      </c>
      <c r="AG29" s="42">
        <f t="shared" si="9"/>
        <v>0.43730979914790014</v>
      </c>
      <c r="AH29" s="42"/>
      <c r="AI29" s="42">
        <f t="shared" si="10"/>
        <v>0.64085638205578854</v>
      </c>
      <c r="AJ29" s="43">
        <f t="shared" si="11"/>
        <v>0.52813951475101173</v>
      </c>
    </row>
    <row r="30" spans="2:36"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8">
      <c r="B32" s="55" t="s">
        <v>34</v>
      </c>
      <c r="C32" s="56" t="s">
        <v>86</v>
      </c>
      <c r="D32" s="56" t="s">
        <v>87</v>
      </c>
      <c r="E32" s="56" t="s">
        <v>85</v>
      </c>
      <c r="F32" s="55" t="s">
        <v>23</v>
      </c>
      <c r="G32" s="10" t="s">
        <v>0</v>
      </c>
      <c r="H32" s="33" t="s">
        <v>82</v>
      </c>
      <c r="I32" s="33" t="s">
        <v>83</v>
      </c>
      <c r="J32" s="33" t="s">
        <v>84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79"/>
      <c r="C33">
        <v>3</v>
      </c>
      <c r="D33">
        <v>16</v>
      </c>
      <c r="E33">
        <v>0.437</v>
      </c>
      <c r="F33" s="78"/>
      <c r="G33" s="76">
        <f t="shared" ref="G33:G39" si="14">D$19*(L33-R33)</f>
        <v>9.3296711180672953E-2</v>
      </c>
      <c r="H33" s="76">
        <f t="shared" ref="H33:J39" si="15">(C33-H$16)/H$17-0.5</f>
        <v>-0.5</v>
      </c>
      <c r="I33" s="75">
        <f t="shared" si="15"/>
        <v>-0.5</v>
      </c>
      <c r="J33" s="75">
        <f t="shared" si="15"/>
        <v>-0.39227023737066341</v>
      </c>
      <c r="K33" s="76">
        <f t="shared" ref="K33:K39" si="16">(H33*$H$13+I33*$I$13+J33*$J$13+$D$27)*$C$27</f>
        <v>-0.29883623873011983</v>
      </c>
      <c r="L33" s="77">
        <f t="shared" ref="L33:L39" si="17">(H33*$H$14+I33*$I$14+J33*$J$14+$E$27)*$C$27</f>
        <v>-1.928779968365224E-2</v>
      </c>
      <c r="M33" s="76">
        <f t="shared" ref="M33:M39" si="18">(H$27*$H$13+I33*$I$13+J33*$J$13+$D$27)*$C$27</f>
        <v>-0.29883623873011983</v>
      </c>
      <c r="N33" s="77">
        <f t="shared" ref="N33:N39" si="19">(H$27*$H$14+I33*$I$14+J33*$J$14+$E$27)*$C$27</f>
        <v>-1.928779968365224E-2</v>
      </c>
      <c r="O33" s="76">
        <f t="shared" ref="O33:O39" si="20">(H33*$H$13+I$27*$I$13+J33*$J$13+$D$27)*$C$27</f>
        <v>-0.29883623873011983</v>
      </c>
      <c r="P33" s="77">
        <f t="shared" ref="P33:P39" si="21">(H33*$H$14+I$27*$I$14+J33*$J$14+$E$27)*$C$27</f>
        <v>-1.928779968365224E-2</v>
      </c>
      <c r="Q33" s="76">
        <f t="shared" ref="Q33:Q39" si="22">(H33*$H$13+I33*$I$13+J$27*$J$13+$D$27)*$C$27</f>
        <v>-0.29883623873011983</v>
      </c>
      <c r="R33" s="77">
        <f t="shared" ref="R33:R39" si="23">(H33*$H$14+I33*$I$14+J$27*$J$14+$E$27)*$C$27</f>
        <v>-0.11258451086432519</v>
      </c>
      <c r="AI33" s="5"/>
    </row>
    <row r="34" spans="2:35">
      <c r="B34" s="79"/>
      <c r="C34">
        <v>3</v>
      </c>
      <c r="D34">
        <v>32</v>
      </c>
      <c r="E34">
        <v>0.312</v>
      </c>
      <c r="F34" s="78"/>
      <c r="G34" s="76">
        <f t="shared" si="14"/>
        <v>2.7409203284717465E-2</v>
      </c>
      <c r="H34" s="76">
        <f t="shared" si="15"/>
        <v>-0.5</v>
      </c>
      <c r="I34" s="75">
        <f t="shared" si="15"/>
        <v>-0.47872340425531917</v>
      </c>
      <c r="J34" s="75">
        <f t="shared" si="15"/>
        <v>-0.4683505782105904</v>
      </c>
      <c r="K34" s="76">
        <f t="shared" si="16"/>
        <v>-0.27884277871339841</v>
      </c>
      <c r="L34" s="77">
        <f t="shared" si="17"/>
        <v>-8.8813819742646738E-2</v>
      </c>
      <c r="M34" s="76">
        <f t="shared" si="18"/>
        <v>-0.27884277871339841</v>
      </c>
      <c r="N34" s="77">
        <f t="shared" si="19"/>
        <v>-8.8813819742646738E-2</v>
      </c>
      <c r="O34" s="76">
        <f t="shared" si="20"/>
        <v>-0.29883623873011983</v>
      </c>
      <c r="P34" s="77">
        <f t="shared" si="21"/>
        <v>-8.5175307579607729E-2</v>
      </c>
      <c r="Q34" s="76">
        <f t="shared" si="22"/>
        <v>-0.27884277871339841</v>
      </c>
      <c r="R34" s="77">
        <f t="shared" si="23"/>
        <v>-0.1162230230273642</v>
      </c>
    </row>
    <row r="35" spans="2:35">
      <c r="B35" s="79"/>
      <c r="C35">
        <v>3</v>
      </c>
      <c r="D35">
        <v>48</v>
      </c>
      <c r="E35">
        <v>0.27033333333333298</v>
      </c>
      <c r="F35" s="78"/>
      <c r="G35" s="75">
        <f t="shared" si="14"/>
        <v>5.4467006527321171E-3</v>
      </c>
      <c r="H35" s="76">
        <f t="shared" si="15"/>
        <v>-0.5</v>
      </c>
      <c r="I35" s="75">
        <f t="shared" si="15"/>
        <v>-0.45744680851063829</v>
      </c>
      <c r="J35" s="75">
        <f t="shared" si="15"/>
        <v>-0.49371069182389959</v>
      </c>
      <c r="K35" s="76">
        <f t="shared" si="16"/>
        <v>-0.25884931869667688</v>
      </c>
      <c r="L35" s="77">
        <f t="shared" si="17"/>
        <v>-0.11441483453767115</v>
      </c>
      <c r="M35" s="76">
        <f t="shared" si="18"/>
        <v>-0.25884931869667688</v>
      </c>
      <c r="N35" s="77">
        <f t="shared" si="19"/>
        <v>-0.11441483453767115</v>
      </c>
      <c r="O35" s="76">
        <f t="shared" si="20"/>
        <v>-0.29883623873011983</v>
      </c>
      <c r="P35" s="77">
        <f t="shared" si="21"/>
        <v>-0.10713781021159308</v>
      </c>
      <c r="Q35" s="76">
        <f t="shared" si="22"/>
        <v>-0.25884931869667688</v>
      </c>
      <c r="R35" s="77">
        <f t="shared" si="23"/>
        <v>-0.11986153519040327</v>
      </c>
    </row>
    <row r="36" spans="2:35">
      <c r="B36" s="79"/>
      <c r="C36">
        <v>3</v>
      </c>
      <c r="D36">
        <v>64</v>
      </c>
      <c r="E36">
        <v>0.265666666666667</v>
      </c>
      <c r="F36" s="78"/>
      <c r="G36" s="75">
        <f t="shared" si="14"/>
        <v>2.9869003579501285E-3</v>
      </c>
      <c r="H36" s="76">
        <f t="shared" si="15"/>
        <v>-0.5</v>
      </c>
      <c r="I36" s="75">
        <f t="shared" si="15"/>
        <v>-0.43617021276595747</v>
      </c>
      <c r="J36" s="75">
        <f t="shared" si="15"/>
        <v>-0.49655102454858979</v>
      </c>
      <c r="K36" s="76">
        <f t="shared" si="16"/>
        <v>-0.23885585867995549</v>
      </c>
      <c r="L36" s="77">
        <f t="shared" si="17"/>
        <v>-0.12051314699549215</v>
      </c>
      <c r="M36" s="76">
        <f t="shared" si="18"/>
        <v>-0.23885585867995549</v>
      </c>
      <c r="N36" s="77">
        <f t="shared" si="19"/>
        <v>-0.12051314699549215</v>
      </c>
      <c r="O36" s="76">
        <f t="shared" si="20"/>
        <v>-0.29883623873011983</v>
      </c>
      <c r="P36" s="77">
        <f t="shared" si="21"/>
        <v>-0.10959761050637506</v>
      </c>
      <c r="Q36" s="76">
        <f t="shared" si="22"/>
        <v>-0.23885585867995549</v>
      </c>
      <c r="R36" s="77">
        <f t="shared" si="23"/>
        <v>-0.12350004735344228</v>
      </c>
    </row>
    <row r="37" spans="2:35">
      <c r="B37" s="79"/>
      <c r="C37">
        <v>3</v>
      </c>
      <c r="D37">
        <v>80</v>
      </c>
      <c r="E37">
        <v>0.27</v>
      </c>
      <c r="F37" s="78"/>
      <c r="G37" s="75">
        <f t="shared" si="14"/>
        <v>5.271000631676459E-3</v>
      </c>
      <c r="H37" s="76">
        <f t="shared" si="15"/>
        <v>-0.5</v>
      </c>
      <c r="I37" s="75">
        <f t="shared" si="15"/>
        <v>-0.41489361702127658</v>
      </c>
      <c r="J37" s="75">
        <f t="shared" si="15"/>
        <v>-0.49391357273280584</v>
      </c>
      <c r="K37" s="76">
        <f t="shared" si="16"/>
        <v>-0.21886239866323395</v>
      </c>
      <c r="L37" s="77">
        <f t="shared" si="17"/>
        <v>-0.12186755888480483</v>
      </c>
      <c r="M37" s="76">
        <f t="shared" si="18"/>
        <v>-0.21886239866323395</v>
      </c>
      <c r="N37" s="77">
        <f t="shared" si="19"/>
        <v>-0.12186755888480483</v>
      </c>
      <c r="O37" s="76">
        <f t="shared" si="20"/>
        <v>-0.29883623873011983</v>
      </c>
      <c r="P37" s="77">
        <f t="shared" si="21"/>
        <v>-0.10731351023264873</v>
      </c>
      <c r="Q37" s="76">
        <f t="shared" si="22"/>
        <v>-0.21886239866323395</v>
      </c>
      <c r="R37" s="77">
        <f t="shared" si="23"/>
        <v>-0.12713855951648129</v>
      </c>
    </row>
    <row r="38" spans="2:35">
      <c r="B38" s="79"/>
      <c r="C38">
        <v>3</v>
      </c>
      <c r="D38">
        <v>96</v>
      </c>
      <c r="E38">
        <v>0.270666666666667</v>
      </c>
      <c r="F38" s="78"/>
      <c r="G38" s="75">
        <f t="shared" si="14"/>
        <v>5.6224006737883858E-3</v>
      </c>
      <c r="H38" s="76">
        <f t="shared" si="15"/>
        <v>-0.5</v>
      </c>
      <c r="I38" s="75">
        <f t="shared" si="15"/>
        <v>-0.39361702127659576</v>
      </c>
      <c r="J38" s="75">
        <f t="shared" si="15"/>
        <v>-0.49350781091499268</v>
      </c>
      <c r="K38" s="76">
        <f t="shared" si="16"/>
        <v>-0.19886893864651253</v>
      </c>
      <c r="L38" s="77">
        <f t="shared" si="17"/>
        <v>-0.12515467100573197</v>
      </c>
      <c r="M38" s="76">
        <f t="shared" si="18"/>
        <v>-0.19886893864651253</v>
      </c>
      <c r="N38" s="77">
        <f t="shared" si="19"/>
        <v>-0.12515467100573197</v>
      </c>
      <c r="O38" s="76">
        <f t="shared" si="20"/>
        <v>-0.29883623873011983</v>
      </c>
      <c r="P38" s="77">
        <f t="shared" si="21"/>
        <v>-0.10696211019053681</v>
      </c>
      <c r="Q38" s="76">
        <f t="shared" si="22"/>
        <v>-0.19886893864651253</v>
      </c>
      <c r="R38" s="77">
        <f t="shared" si="23"/>
        <v>-0.13077707167952035</v>
      </c>
    </row>
    <row r="39" spans="2:35">
      <c r="B39" s="79"/>
      <c r="C39">
        <v>3</v>
      </c>
      <c r="D39">
        <v>112</v>
      </c>
      <c r="E39">
        <v>0.296333333333333</v>
      </c>
      <c r="F39" s="78"/>
      <c r="G39" s="75">
        <f t="shared" si="14"/>
        <v>1.9151302295090877E-2</v>
      </c>
      <c r="H39" s="75">
        <f t="shared" si="15"/>
        <v>-0.5</v>
      </c>
      <c r="I39" s="75">
        <f t="shared" si="15"/>
        <v>-0.37234042553191493</v>
      </c>
      <c r="J39" s="75">
        <f t="shared" si="15"/>
        <v>-0.47788598092919476</v>
      </c>
      <c r="K39" s="75">
        <f t="shared" si="16"/>
        <v>-0.17887547862979111</v>
      </c>
      <c r="L39" s="75">
        <f t="shared" si="17"/>
        <v>-0.11526428154746848</v>
      </c>
      <c r="M39" s="75">
        <f t="shared" si="18"/>
        <v>-0.17887547862979111</v>
      </c>
      <c r="N39" s="75">
        <f t="shared" si="19"/>
        <v>-0.11526428154746848</v>
      </c>
      <c r="O39" s="75">
        <f t="shared" si="20"/>
        <v>-0.29883623873011983</v>
      </c>
      <c r="P39" s="75">
        <f t="shared" si="21"/>
        <v>-9.3433208569234316E-2</v>
      </c>
      <c r="Q39" s="75">
        <f t="shared" si="22"/>
        <v>-0.17887547862979111</v>
      </c>
      <c r="R39" s="75">
        <f t="shared" si="23"/>
        <v>-0.13441558384255936</v>
      </c>
    </row>
    <row r="40" spans="2:35">
      <c r="B40" s="81"/>
      <c r="C40">
        <v>3</v>
      </c>
      <c r="D40">
        <v>128</v>
      </c>
      <c r="E40">
        <v>0.30133333333333301</v>
      </c>
      <c r="F40" s="78"/>
      <c r="G40" s="75">
        <f t="shared" ref="G40:G71" si="24">D$19*(L40-R40)</f>
        <v>2.1786802610929079E-2</v>
      </c>
      <c r="H40" s="76">
        <f t="shared" ref="H40:H71" si="25">(C40-H$16)/H$17-0.5</f>
        <v>-0.5</v>
      </c>
      <c r="I40" s="75">
        <f t="shared" ref="I40:I71" si="26">(D40-I$16)/I$17-0.5</f>
        <v>-0.35106382978723405</v>
      </c>
      <c r="J40" s="75">
        <f t="shared" ref="J40:J71" si="27">(E40-J$16)/J$17-0.5</f>
        <v>-0.47484276729559771</v>
      </c>
      <c r="K40" s="76">
        <f t="shared" ref="K40:K71" si="28">(H40*$H$13+I40*$I$13+J40*$J$13+$D$27)*$C$27</f>
        <v>-0.15888201861306964</v>
      </c>
      <c r="L40" s="77">
        <f t="shared" ref="L40:L71" si="29">(H40*$H$14+I40*$I$14+J40*$J$14+$E$27)*$C$27</f>
        <v>-0.11626729339466935</v>
      </c>
      <c r="M40" s="76">
        <f t="shared" ref="M40:M71" si="30">(H$27*$H$13+I40*$I$13+J40*$J$13+$D$27)*$C$27</f>
        <v>-0.15888201861306964</v>
      </c>
      <c r="N40" s="77">
        <f t="shared" ref="N40:N71" si="31">(H$27*$H$14+I40*$I$14+J40*$J$14+$E$27)*$C$27</f>
        <v>-0.11626729339466935</v>
      </c>
      <c r="O40" s="76">
        <f t="shared" ref="O40:O71" si="32">(H40*$H$13+I$27*$I$13+J40*$J$13+$D$27)*$C$27</f>
        <v>-0.29883623873011983</v>
      </c>
      <c r="P40" s="77">
        <f t="shared" ref="P40:P71" si="33">(H40*$H$14+I$27*$I$14+J40*$J$14+$E$27)*$C$27</f>
        <v>-9.0797708253396114E-2</v>
      </c>
      <c r="Q40" s="76">
        <f t="shared" ref="Q40:Q71" si="34">(H40*$H$13+I40*$I$13+J$27*$J$13+$D$27)*$C$27</f>
        <v>-0.15888201861306964</v>
      </c>
      <c r="R40" s="75">
        <f t="shared" ref="R40:R71" si="35">(H40*$H$14+I40*$I$14+J$27*$J$14+$E$27)*$C$27</f>
        <v>-0.13805409600559843</v>
      </c>
    </row>
    <row r="41" spans="2:35">
      <c r="B41" s="81"/>
      <c r="C41">
        <v>3</v>
      </c>
      <c r="D41">
        <v>144</v>
      </c>
      <c r="E41">
        <v>0.32266666666666699</v>
      </c>
      <c r="F41" s="78"/>
      <c r="G41" s="75">
        <f t="shared" si="24"/>
        <v>3.3031603958505851E-2</v>
      </c>
      <c r="H41" s="76">
        <f t="shared" si="25"/>
        <v>-0.5</v>
      </c>
      <c r="I41" s="75">
        <f t="shared" si="26"/>
        <v>-0.32978723404255317</v>
      </c>
      <c r="J41" s="75">
        <f t="shared" si="27"/>
        <v>-0.46185838912558308</v>
      </c>
      <c r="K41" s="76">
        <f t="shared" si="28"/>
        <v>-0.13888855859634816</v>
      </c>
      <c r="L41" s="77">
        <f t="shared" si="29"/>
        <v>-0.10866100421013158</v>
      </c>
      <c r="M41" s="76">
        <f t="shared" si="30"/>
        <v>-0.13888855859634816</v>
      </c>
      <c r="N41" s="77">
        <f t="shared" si="31"/>
        <v>-0.10866100421013158</v>
      </c>
      <c r="O41" s="76">
        <f t="shared" si="32"/>
        <v>-0.29883623873011983</v>
      </c>
      <c r="P41" s="77">
        <f t="shared" si="33"/>
        <v>-7.9552906905819343E-2</v>
      </c>
      <c r="Q41" s="76">
        <f t="shared" si="34"/>
        <v>-0.13888855859634816</v>
      </c>
      <c r="R41" s="75">
        <f t="shared" si="35"/>
        <v>-0.14169260816863744</v>
      </c>
    </row>
    <row r="42" spans="2:35">
      <c r="B42" s="81"/>
      <c r="C42">
        <v>3</v>
      </c>
      <c r="D42">
        <v>160</v>
      </c>
      <c r="E42">
        <v>0.34300000000000003</v>
      </c>
      <c r="F42" s="78"/>
      <c r="G42" s="75">
        <f t="shared" si="24"/>
        <v>4.3749305242914482E-2</v>
      </c>
      <c r="H42" s="76">
        <f t="shared" si="25"/>
        <v>-0.5</v>
      </c>
      <c r="I42" s="75">
        <f t="shared" si="26"/>
        <v>-0.30851063829787234</v>
      </c>
      <c r="J42" s="75">
        <f t="shared" si="27"/>
        <v>-0.44948265368228846</v>
      </c>
      <c r="K42" s="76">
        <f t="shared" si="28"/>
        <v>-0.11889509857962674</v>
      </c>
      <c r="L42" s="77">
        <f t="shared" si="29"/>
        <v>-0.10158181508876196</v>
      </c>
      <c r="M42" s="76">
        <f t="shared" si="30"/>
        <v>-0.11889509857962674</v>
      </c>
      <c r="N42" s="77">
        <f t="shared" si="31"/>
        <v>-0.10158181508876196</v>
      </c>
      <c r="O42" s="76">
        <f t="shared" si="32"/>
        <v>-0.29883623873011983</v>
      </c>
      <c r="P42" s="77">
        <f t="shared" si="33"/>
        <v>-6.8835205621410711E-2</v>
      </c>
      <c r="Q42" s="76">
        <f t="shared" si="34"/>
        <v>-0.11889509857962674</v>
      </c>
      <c r="R42" s="75">
        <f t="shared" si="35"/>
        <v>-0.14533112033167644</v>
      </c>
    </row>
    <row r="43" spans="2:35">
      <c r="B43" s="81"/>
      <c r="C43">
        <v>3</v>
      </c>
      <c r="D43">
        <v>176</v>
      </c>
      <c r="E43">
        <v>0.37466666666666698</v>
      </c>
      <c r="F43" s="78"/>
      <c r="G43" s="75">
        <f t="shared" si="24"/>
        <v>6.0440807243223316E-2</v>
      </c>
      <c r="H43" s="76">
        <f t="shared" si="25"/>
        <v>-0.5</v>
      </c>
      <c r="I43" s="75">
        <f t="shared" si="26"/>
        <v>-0.28723404255319152</v>
      </c>
      <c r="J43" s="75">
        <f t="shared" si="27"/>
        <v>-0.43020896733617348</v>
      </c>
      <c r="K43" s="76">
        <f t="shared" si="28"/>
        <v>-9.8901638562905264E-2</v>
      </c>
      <c r="L43" s="77">
        <f t="shared" si="29"/>
        <v>-8.8528825251492194E-2</v>
      </c>
      <c r="M43" s="76">
        <f t="shared" si="30"/>
        <v>-9.8901638562905264E-2</v>
      </c>
      <c r="N43" s="77">
        <f t="shared" si="31"/>
        <v>-8.8528825251492194E-2</v>
      </c>
      <c r="O43" s="76">
        <f t="shared" si="32"/>
        <v>-0.29883623873011983</v>
      </c>
      <c r="P43" s="77">
        <f t="shared" si="33"/>
        <v>-5.2143703621101878E-2</v>
      </c>
      <c r="Q43" s="76">
        <f t="shared" si="34"/>
        <v>-9.8901638562905264E-2</v>
      </c>
      <c r="R43" s="75">
        <f t="shared" si="35"/>
        <v>-0.14896963249471551</v>
      </c>
    </row>
    <row r="44" spans="2:35">
      <c r="B44" s="81"/>
      <c r="C44">
        <v>3</v>
      </c>
      <c r="D44">
        <v>192</v>
      </c>
      <c r="E44">
        <v>0.41033333333333299</v>
      </c>
      <c r="F44" s="78"/>
      <c r="G44" s="75">
        <f t="shared" si="24"/>
        <v>7.9240709496202266E-2</v>
      </c>
      <c r="H44" s="76">
        <f t="shared" si="25"/>
        <v>-0.5</v>
      </c>
      <c r="I44" s="75">
        <f t="shared" si="26"/>
        <v>-0.26595744680851063</v>
      </c>
      <c r="J44" s="75">
        <f t="shared" si="27"/>
        <v>-0.4085007100831814</v>
      </c>
      <c r="K44" s="76">
        <f t="shared" si="28"/>
        <v>-7.8908178546183816E-2</v>
      </c>
      <c r="L44" s="77">
        <f t="shared" si="29"/>
        <v>-7.3367435161552252E-2</v>
      </c>
      <c r="M44" s="76">
        <f t="shared" si="30"/>
        <v>-7.8908178546183816E-2</v>
      </c>
      <c r="N44" s="77">
        <f t="shared" si="31"/>
        <v>-7.3367435161552252E-2</v>
      </c>
      <c r="O44" s="76">
        <f t="shared" si="32"/>
        <v>-0.29883623873011983</v>
      </c>
      <c r="P44" s="77">
        <f t="shared" si="33"/>
        <v>-3.3343801368122927E-2</v>
      </c>
      <c r="Q44" s="76">
        <f t="shared" si="34"/>
        <v>-7.8908178546183816E-2</v>
      </c>
      <c r="R44" s="75">
        <f t="shared" si="35"/>
        <v>-0.15260814465775452</v>
      </c>
    </row>
    <row r="45" spans="2:35">
      <c r="B45" s="81"/>
      <c r="C45">
        <v>3</v>
      </c>
      <c r="D45">
        <v>208</v>
      </c>
      <c r="E45">
        <v>0.421333333333333</v>
      </c>
      <c r="F45" s="78"/>
      <c r="G45" s="75">
        <f t="shared" si="24"/>
        <v>8.5038810191046366E-2</v>
      </c>
      <c r="H45" s="76">
        <f t="shared" si="25"/>
        <v>-0.5</v>
      </c>
      <c r="I45" s="75">
        <f t="shared" si="26"/>
        <v>-0.24468085106382981</v>
      </c>
      <c r="J45" s="75">
        <f t="shared" si="27"/>
        <v>-0.40180564008926778</v>
      </c>
      <c r="K45" s="76">
        <f t="shared" si="28"/>
        <v>-5.8914718529462361E-2</v>
      </c>
      <c r="L45" s="77">
        <f t="shared" si="29"/>
        <v>-7.1207846629747218E-2</v>
      </c>
      <c r="M45" s="76">
        <f t="shared" si="30"/>
        <v>-5.8914718529462361E-2</v>
      </c>
      <c r="N45" s="77">
        <f t="shared" si="31"/>
        <v>-7.1207846629747218E-2</v>
      </c>
      <c r="O45" s="76">
        <f t="shared" si="32"/>
        <v>-0.29883623873011983</v>
      </c>
      <c r="P45" s="77">
        <f t="shared" si="33"/>
        <v>-2.7545700673278828E-2</v>
      </c>
      <c r="Q45" s="76">
        <f t="shared" si="34"/>
        <v>-5.8914718529462375E-2</v>
      </c>
      <c r="R45" s="75">
        <f t="shared" si="35"/>
        <v>-0.15624665682079358</v>
      </c>
    </row>
    <row r="46" spans="2:35">
      <c r="B46" s="81"/>
      <c r="C46">
        <v>3</v>
      </c>
      <c r="D46">
        <v>224</v>
      </c>
      <c r="E46">
        <v>0.45266666666666699</v>
      </c>
      <c r="F46" s="78"/>
      <c r="G46" s="75">
        <f t="shared" si="24"/>
        <v>0.10155461217029954</v>
      </c>
      <c r="H46" s="76">
        <f t="shared" si="25"/>
        <v>-0.5</v>
      </c>
      <c r="I46" s="75">
        <f t="shared" si="26"/>
        <v>-0.22340425531914893</v>
      </c>
      <c r="J46" s="75">
        <f t="shared" si="27"/>
        <v>-0.38273483465205904</v>
      </c>
      <c r="K46" s="76">
        <f t="shared" si="28"/>
        <v>-3.8921258512740885E-2</v>
      </c>
      <c r="L46" s="77">
        <f t="shared" si="29"/>
        <v>-5.8330556813533052E-2</v>
      </c>
      <c r="M46" s="76">
        <f t="shared" si="30"/>
        <v>-3.8921258512740885E-2</v>
      </c>
      <c r="N46" s="77">
        <f t="shared" si="31"/>
        <v>-5.8330556813533052E-2</v>
      </c>
      <c r="O46" s="76">
        <f t="shared" si="32"/>
        <v>-0.29883623873011983</v>
      </c>
      <c r="P46" s="77">
        <f t="shared" si="33"/>
        <v>-1.1029898694025653E-2</v>
      </c>
      <c r="Q46" s="76">
        <f t="shared" si="34"/>
        <v>-3.8921258512740899E-2</v>
      </c>
      <c r="R46" s="75">
        <f t="shared" si="35"/>
        <v>-0.15988516898383259</v>
      </c>
    </row>
    <row r="47" spans="2:35">
      <c r="B47" s="81"/>
      <c r="C47">
        <v>3</v>
      </c>
      <c r="D47">
        <v>240</v>
      </c>
      <c r="E47">
        <v>0.47799999999999998</v>
      </c>
      <c r="F47" s="78"/>
      <c r="G47" s="75">
        <f t="shared" si="24"/>
        <v>0.11490781377054637</v>
      </c>
      <c r="H47" s="76">
        <f t="shared" si="25"/>
        <v>-0.5</v>
      </c>
      <c r="I47" s="75">
        <f t="shared" si="26"/>
        <v>-0.2021276595744681</v>
      </c>
      <c r="J47" s="75">
        <f t="shared" si="27"/>
        <v>-0.36731588557516737</v>
      </c>
      <c r="K47" s="76">
        <f t="shared" si="28"/>
        <v>-1.8927798496019461E-2</v>
      </c>
      <c r="L47" s="77">
        <f t="shared" si="29"/>
        <v>-4.8615867376325228E-2</v>
      </c>
      <c r="M47" s="76">
        <f t="shared" si="30"/>
        <v>-1.8927798496019461E-2</v>
      </c>
      <c r="N47" s="77">
        <f t="shared" si="31"/>
        <v>-4.8615867376325228E-2</v>
      </c>
      <c r="O47" s="76">
        <f t="shared" si="32"/>
        <v>-0.29883623873011983</v>
      </c>
      <c r="P47" s="77">
        <f t="shared" si="33"/>
        <v>2.3233029062211807E-3</v>
      </c>
      <c r="Q47" s="76">
        <f t="shared" si="34"/>
        <v>-1.8927798496019478E-2</v>
      </c>
      <c r="R47" s="75">
        <f t="shared" si="35"/>
        <v>-0.1635236811468716</v>
      </c>
    </row>
    <row r="48" spans="2:35">
      <c r="B48" s="81"/>
      <c r="C48">
        <v>3</v>
      </c>
      <c r="D48">
        <v>256</v>
      </c>
      <c r="E48">
        <v>0.505</v>
      </c>
      <c r="F48" s="78"/>
      <c r="G48" s="75">
        <f t="shared" si="24"/>
        <v>0.12913951547607266</v>
      </c>
      <c r="H48" s="76">
        <f t="shared" si="25"/>
        <v>-0.5</v>
      </c>
      <c r="I48" s="75">
        <f t="shared" si="26"/>
        <v>-0.18085106382978722</v>
      </c>
      <c r="J48" s="75">
        <f t="shared" si="27"/>
        <v>-0.35088253195374319</v>
      </c>
      <c r="K48" s="76">
        <f t="shared" si="28"/>
        <v>1.0656615207020174E-3</v>
      </c>
      <c r="L48" s="77">
        <f t="shared" si="29"/>
        <v>-3.8022677833838003E-2</v>
      </c>
      <c r="M48" s="76">
        <f t="shared" si="30"/>
        <v>1.0656615207020174E-3</v>
      </c>
      <c r="N48" s="77">
        <f t="shared" si="31"/>
        <v>-3.8022677833838003E-2</v>
      </c>
      <c r="O48" s="76">
        <f t="shared" si="32"/>
        <v>-0.29883623873011983</v>
      </c>
      <c r="P48" s="77">
        <f t="shared" si="33"/>
        <v>1.655500461174747E-2</v>
      </c>
      <c r="Q48" s="76">
        <f t="shared" si="34"/>
        <v>1.0656615207019992E-3</v>
      </c>
      <c r="R48" s="75">
        <f t="shared" si="35"/>
        <v>-0.16716219330991067</v>
      </c>
    </row>
    <row r="49" spans="2:18">
      <c r="B49" s="81"/>
      <c r="C49">
        <v>3</v>
      </c>
      <c r="D49">
        <v>272</v>
      </c>
      <c r="E49">
        <v>0.55600000000000005</v>
      </c>
      <c r="F49" s="78"/>
      <c r="G49" s="75">
        <f t="shared" si="24"/>
        <v>0.15602161869762254</v>
      </c>
      <c r="H49" s="76">
        <f t="shared" si="25"/>
        <v>-0.5</v>
      </c>
      <c r="I49" s="75">
        <f t="shared" si="26"/>
        <v>-0.15957446808510639</v>
      </c>
      <c r="J49" s="75">
        <f t="shared" si="27"/>
        <v>-0.31984175289105293</v>
      </c>
      <c r="K49" s="76">
        <f t="shared" si="28"/>
        <v>2.105912153742347E-2</v>
      </c>
      <c r="L49" s="77">
        <f t="shared" si="29"/>
        <v>-1.4779086775327133E-2</v>
      </c>
      <c r="M49" s="76">
        <f t="shared" si="30"/>
        <v>2.105912153742347E-2</v>
      </c>
      <c r="N49" s="77">
        <f t="shared" si="31"/>
        <v>-1.4779086775327133E-2</v>
      </c>
      <c r="O49" s="76">
        <f t="shared" si="32"/>
        <v>-0.29883623873011983</v>
      </c>
      <c r="P49" s="77">
        <f t="shared" si="33"/>
        <v>4.343710783329735E-2</v>
      </c>
      <c r="Q49" s="76">
        <f t="shared" si="34"/>
        <v>2.1059121537423446E-2</v>
      </c>
      <c r="R49" s="75">
        <f t="shared" si="35"/>
        <v>-0.17080070547294968</v>
      </c>
    </row>
    <row r="50" spans="2:18">
      <c r="B50" s="81"/>
      <c r="C50">
        <v>3</v>
      </c>
      <c r="D50">
        <v>288</v>
      </c>
      <c r="E50">
        <v>0.58233333333333304</v>
      </c>
      <c r="F50" s="78"/>
      <c r="G50" s="75">
        <f t="shared" si="24"/>
        <v>0.16990192036103702</v>
      </c>
      <c r="H50" s="76">
        <f t="shared" si="25"/>
        <v>-0.5</v>
      </c>
      <c r="I50" s="75">
        <f t="shared" si="26"/>
        <v>-0.13829787234042551</v>
      </c>
      <c r="J50" s="75">
        <f t="shared" si="27"/>
        <v>-0.30381416108744186</v>
      </c>
      <c r="K50" s="76">
        <f t="shared" si="28"/>
        <v>4.105258155414495E-2</v>
      </c>
      <c r="L50" s="77">
        <f t="shared" si="29"/>
        <v>-4.5372972749517237E-3</v>
      </c>
      <c r="M50" s="76">
        <f t="shared" si="30"/>
        <v>4.105258155414495E-2</v>
      </c>
      <c r="N50" s="77">
        <f t="shared" si="31"/>
        <v>-4.5372972749517237E-3</v>
      </c>
      <c r="O50" s="76">
        <f t="shared" si="32"/>
        <v>-0.29883623873011983</v>
      </c>
      <c r="P50" s="77">
        <f t="shared" si="33"/>
        <v>5.7317409496711824E-2</v>
      </c>
      <c r="Q50" s="76">
        <f t="shared" si="34"/>
        <v>4.1052581554144922E-2</v>
      </c>
      <c r="R50" s="75">
        <f t="shared" si="35"/>
        <v>-0.17443921763598874</v>
      </c>
    </row>
    <row r="51" spans="2:18">
      <c r="B51" s="81"/>
      <c r="C51">
        <v>3</v>
      </c>
      <c r="D51">
        <v>304</v>
      </c>
      <c r="E51">
        <v>0.61866666666666703</v>
      </c>
      <c r="F51" s="78"/>
      <c r="G51" s="75">
        <f t="shared" si="24"/>
        <v>0.18905322265612842</v>
      </c>
      <c r="H51" s="76">
        <f t="shared" si="25"/>
        <v>-0.5</v>
      </c>
      <c r="I51" s="75">
        <f t="shared" si="26"/>
        <v>-0.11702127659574468</v>
      </c>
      <c r="J51" s="75">
        <f t="shared" si="27"/>
        <v>-0.28170014201663601</v>
      </c>
      <c r="K51" s="76">
        <f t="shared" si="28"/>
        <v>6.1046041570866384E-2</v>
      </c>
      <c r="L51" s="77">
        <f t="shared" si="29"/>
        <v>1.0975492857100672E-2</v>
      </c>
      <c r="M51" s="76">
        <f t="shared" si="30"/>
        <v>6.1046041570866384E-2</v>
      </c>
      <c r="N51" s="77">
        <f t="shared" si="31"/>
        <v>1.0975492857100672E-2</v>
      </c>
      <c r="O51" s="76">
        <f t="shared" si="32"/>
        <v>-0.29883623873011983</v>
      </c>
      <c r="P51" s="77">
        <f t="shared" si="33"/>
        <v>7.6468711791803229E-2</v>
      </c>
      <c r="Q51" s="76">
        <f t="shared" si="34"/>
        <v>6.1046041570866356E-2</v>
      </c>
      <c r="R51" s="75">
        <f t="shared" si="35"/>
        <v>-0.17807772979902775</v>
      </c>
    </row>
    <row r="52" spans="2:18">
      <c r="B52" s="81"/>
      <c r="C52">
        <v>3</v>
      </c>
      <c r="D52">
        <v>320</v>
      </c>
      <c r="E52">
        <v>0.65033333333333299</v>
      </c>
      <c r="F52" s="78"/>
      <c r="G52" s="75">
        <f t="shared" si="24"/>
        <v>0.20574472465643678</v>
      </c>
      <c r="H52" s="76">
        <f t="shared" si="25"/>
        <v>-0.5</v>
      </c>
      <c r="I52" s="75">
        <f t="shared" si="26"/>
        <v>-9.5744680851063857E-2</v>
      </c>
      <c r="J52" s="75">
        <f t="shared" si="27"/>
        <v>-0.26242645567052159</v>
      </c>
      <c r="K52" s="76">
        <f t="shared" si="28"/>
        <v>8.1039501587587812E-2</v>
      </c>
      <c r="L52" s="77">
        <f t="shared" si="29"/>
        <v>2.4028482694370024E-2</v>
      </c>
      <c r="M52" s="76">
        <f t="shared" si="30"/>
        <v>8.1039501587587812E-2</v>
      </c>
      <c r="N52" s="77">
        <f t="shared" si="31"/>
        <v>2.4028482694370024E-2</v>
      </c>
      <c r="O52" s="76">
        <f t="shared" si="32"/>
        <v>-0.29883623873011983</v>
      </c>
      <c r="P52" s="77">
        <f t="shared" si="33"/>
        <v>9.316021379211159E-2</v>
      </c>
      <c r="Q52" s="76">
        <f t="shared" si="34"/>
        <v>8.1039501587587784E-2</v>
      </c>
      <c r="R52" s="75">
        <f t="shared" si="35"/>
        <v>-0.18171624196206676</v>
      </c>
    </row>
    <row r="53" spans="2:18">
      <c r="B53" s="81"/>
      <c r="C53">
        <v>3</v>
      </c>
      <c r="D53">
        <v>336</v>
      </c>
      <c r="E53">
        <v>0.66033333333333299</v>
      </c>
      <c r="F53" s="78"/>
      <c r="G53" s="75">
        <f t="shared" si="24"/>
        <v>0.21101572528811319</v>
      </c>
      <c r="H53" s="76">
        <f t="shared" si="25"/>
        <v>-0.5</v>
      </c>
      <c r="I53" s="75">
        <f t="shared" si="26"/>
        <v>-7.4468085106382975E-2</v>
      </c>
      <c r="J53" s="75">
        <f t="shared" si="27"/>
        <v>-0.25634002840332748</v>
      </c>
      <c r="K53" s="76">
        <f t="shared" si="28"/>
        <v>0.1010329616043093</v>
      </c>
      <c r="L53" s="77">
        <f t="shared" si="29"/>
        <v>2.566097116300739E-2</v>
      </c>
      <c r="M53" s="76">
        <f t="shared" si="30"/>
        <v>0.1010329616043093</v>
      </c>
      <c r="N53" s="77">
        <f t="shared" si="31"/>
        <v>2.566097116300739E-2</v>
      </c>
      <c r="O53" s="76">
        <f t="shared" si="32"/>
        <v>-0.29883623873011983</v>
      </c>
      <c r="P53" s="77">
        <f t="shared" si="33"/>
        <v>9.8431214423787994E-2</v>
      </c>
      <c r="Q53" s="76">
        <f t="shared" si="34"/>
        <v>0.10103296160430927</v>
      </c>
      <c r="R53" s="75">
        <f t="shared" si="35"/>
        <v>-0.1853547541251058</v>
      </c>
    </row>
    <row r="54" spans="2:18">
      <c r="B54" s="81"/>
      <c r="C54">
        <v>3</v>
      </c>
      <c r="D54">
        <v>352</v>
      </c>
      <c r="E54">
        <v>0.67100000000000004</v>
      </c>
      <c r="F54" s="78"/>
      <c r="G54" s="75">
        <f t="shared" si="24"/>
        <v>0.21663812596190163</v>
      </c>
      <c r="H54" s="76">
        <f t="shared" si="25"/>
        <v>-0.5</v>
      </c>
      <c r="I54" s="75">
        <f t="shared" si="26"/>
        <v>-5.3191489361702149E-2</v>
      </c>
      <c r="J54" s="75">
        <f t="shared" si="27"/>
        <v>-0.24984783931832011</v>
      </c>
      <c r="K54" s="76">
        <f t="shared" si="28"/>
        <v>0.12102642162103072</v>
      </c>
      <c r="L54" s="77">
        <f t="shared" si="29"/>
        <v>2.7644859673756794E-2</v>
      </c>
      <c r="M54" s="76">
        <f t="shared" si="30"/>
        <v>0.12102642162103072</v>
      </c>
      <c r="N54" s="77">
        <f t="shared" si="31"/>
        <v>2.7644859673756794E-2</v>
      </c>
      <c r="O54" s="76">
        <f t="shared" si="32"/>
        <v>-0.29883623873011983</v>
      </c>
      <c r="P54" s="77">
        <f t="shared" si="33"/>
        <v>0.10405361509757644</v>
      </c>
      <c r="Q54" s="76">
        <f t="shared" si="34"/>
        <v>0.12102642162103069</v>
      </c>
      <c r="R54" s="75">
        <f t="shared" si="35"/>
        <v>-0.18899326628814483</v>
      </c>
    </row>
    <row r="55" spans="2:18">
      <c r="B55" s="81"/>
      <c r="C55">
        <v>3</v>
      </c>
      <c r="D55">
        <v>368</v>
      </c>
      <c r="E55">
        <v>0.68633333333333302</v>
      </c>
      <c r="F55" s="78"/>
      <c r="G55" s="75">
        <f t="shared" si="24"/>
        <v>0.22472032693047195</v>
      </c>
      <c r="H55" s="76">
        <f t="shared" si="25"/>
        <v>-0.5</v>
      </c>
      <c r="I55" s="75">
        <f t="shared" si="26"/>
        <v>-3.1914893617021267E-2</v>
      </c>
      <c r="J55" s="75">
        <f t="shared" si="27"/>
        <v>-0.24051531750862265</v>
      </c>
      <c r="K55" s="76">
        <f t="shared" si="28"/>
        <v>0.14101988163775223</v>
      </c>
      <c r="L55" s="77">
        <f t="shared" si="29"/>
        <v>3.2088548479288076E-2</v>
      </c>
      <c r="M55" s="76">
        <f t="shared" si="30"/>
        <v>0.14101988163775223</v>
      </c>
      <c r="N55" s="77">
        <f t="shared" si="31"/>
        <v>3.2088548479288076E-2</v>
      </c>
      <c r="O55" s="76">
        <f t="shared" si="32"/>
        <v>-0.29883623873011983</v>
      </c>
      <c r="P55" s="77">
        <f t="shared" si="33"/>
        <v>0.11213581606614675</v>
      </c>
      <c r="Q55" s="76">
        <f t="shared" si="34"/>
        <v>0.1410198816377522</v>
      </c>
      <c r="R55" s="75">
        <f t="shared" si="35"/>
        <v>-0.19263177845118387</v>
      </c>
    </row>
    <row r="56" spans="2:18">
      <c r="B56" s="81"/>
      <c r="C56">
        <v>3</v>
      </c>
      <c r="D56">
        <v>384</v>
      </c>
      <c r="E56">
        <v>0.69133333333333302</v>
      </c>
      <c r="F56" s="78"/>
      <c r="G56" s="75">
        <f t="shared" si="24"/>
        <v>0.22735582724631018</v>
      </c>
      <c r="H56" s="76">
        <f t="shared" si="25"/>
        <v>-0.5</v>
      </c>
      <c r="I56" s="75">
        <f t="shared" si="26"/>
        <v>-1.0638297872340441E-2</v>
      </c>
      <c r="J56" s="75">
        <f t="shared" si="27"/>
        <v>-0.23747210387502554</v>
      </c>
      <c r="K56" s="76">
        <f t="shared" si="28"/>
        <v>0.16101334165447365</v>
      </c>
      <c r="L56" s="77">
        <f t="shared" si="29"/>
        <v>3.1085536632087268E-2</v>
      </c>
      <c r="M56" s="76">
        <f t="shared" si="30"/>
        <v>0.16101334165447365</v>
      </c>
      <c r="N56" s="77">
        <f t="shared" si="31"/>
        <v>3.1085536632087268E-2</v>
      </c>
      <c r="O56" s="76">
        <f t="shared" si="32"/>
        <v>-0.29883623873011983</v>
      </c>
      <c r="P56" s="77">
        <f t="shared" si="33"/>
        <v>0.11477131638198498</v>
      </c>
      <c r="Q56" s="76">
        <f t="shared" si="34"/>
        <v>0.16101334165447362</v>
      </c>
      <c r="R56" s="75">
        <f t="shared" si="35"/>
        <v>-0.19627029061422291</v>
      </c>
    </row>
    <row r="57" spans="2:18">
      <c r="B57" s="81"/>
      <c r="C57">
        <v>3</v>
      </c>
      <c r="D57">
        <v>400</v>
      </c>
      <c r="E57">
        <v>0.712666666666667</v>
      </c>
      <c r="F57" s="78"/>
      <c r="G57" s="75">
        <f t="shared" si="24"/>
        <v>0.23860062859388692</v>
      </c>
      <c r="H57" s="76">
        <f t="shared" si="25"/>
        <v>-0.5</v>
      </c>
      <c r="I57" s="75">
        <f t="shared" si="26"/>
        <v>1.0638297872340385E-2</v>
      </c>
      <c r="J57" s="75">
        <f t="shared" si="27"/>
        <v>-0.22448772570501097</v>
      </c>
      <c r="K57" s="76">
        <f t="shared" si="28"/>
        <v>0.18100680167119507</v>
      </c>
      <c r="L57" s="77">
        <f t="shared" si="29"/>
        <v>3.8691825816625003E-2</v>
      </c>
      <c r="M57" s="76">
        <f t="shared" si="30"/>
        <v>0.18100680167119507</v>
      </c>
      <c r="N57" s="77">
        <f t="shared" si="31"/>
        <v>3.8691825816625003E-2</v>
      </c>
      <c r="O57" s="76">
        <f t="shared" si="32"/>
        <v>-0.29883623873011977</v>
      </c>
      <c r="P57" s="77">
        <f t="shared" si="33"/>
        <v>0.12601611772956173</v>
      </c>
      <c r="Q57" s="76">
        <f t="shared" si="34"/>
        <v>0.18100680167119504</v>
      </c>
      <c r="R57" s="75">
        <f t="shared" si="35"/>
        <v>-0.19990880277726192</v>
      </c>
    </row>
    <row r="58" spans="2:18">
      <c r="B58" s="81"/>
      <c r="C58">
        <v>3</v>
      </c>
      <c r="D58">
        <v>416</v>
      </c>
      <c r="E58">
        <v>0.72799999999999998</v>
      </c>
      <c r="F58" s="78"/>
      <c r="G58" s="75">
        <f t="shared" si="24"/>
        <v>0.2466828295624573</v>
      </c>
      <c r="H58" s="76">
        <f t="shared" si="25"/>
        <v>-0.5</v>
      </c>
      <c r="I58" s="75">
        <f t="shared" si="26"/>
        <v>3.1914893617021267E-2</v>
      </c>
      <c r="J58" s="75">
        <f t="shared" si="27"/>
        <v>-0.21515520389531345</v>
      </c>
      <c r="K58" s="76">
        <f t="shared" si="28"/>
        <v>0.20100026168791654</v>
      </c>
      <c r="L58" s="77">
        <f t="shared" si="29"/>
        <v>4.313551462215634E-2</v>
      </c>
      <c r="M58" s="76">
        <f t="shared" si="30"/>
        <v>0.20100026168791654</v>
      </c>
      <c r="N58" s="77">
        <f t="shared" si="31"/>
        <v>4.313551462215634E-2</v>
      </c>
      <c r="O58" s="76">
        <f t="shared" si="32"/>
        <v>-0.29883623873011977</v>
      </c>
      <c r="P58" s="77">
        <f t="shared" si="33"/>
        <v>0.1340983186981321</v>
      </c>
      <c r="Q58" s="76">
        <f t="shared" si="34"/>
        <v>0.20100026168791651</v>
      </c>
      <c r="R58" s="75">
        <f t="shared" si="35"/>
        <v>-0.20354731494030096</v>
      </c>
    </row>
    <row r="59" spans="2:18">
      <c r="B59" s="81"/>
      <c r="C59">
        <v>3</v>
      </c>
      <c r="D59">
        <v>432</v>
      </c>
      <c r="E59">
        <v>0.754</v>
      </c>
      <c r="F59" s="78"/>
      <c r="G59" s="75">
        <f t="shared" si="24"/>
        <v>0.260387431204816</v>
      </c>
      <c r="H59" s="76">
        <f t="shared" si="25"/>
        <v>-0.5</v>
      </c>
      <c r="I59" s="75">
        <f t="shared" si="26"/>
        <v>5.3191489361702149E-2</v>
      </c>
      <c r="J59" s="75">
        <f t="shared" si="27"/>
        <v>-0.19933049300060862</v>
      </c>
      <c r="K59" s="76">
        <f t="shared" si="28"/>
        <v>0.22099372170463805</v>
      </c>
      <c r="L59" s="77">
        <f t="shared" si="29"/>
        <v>5.3201604101476035E-2</v>
      </c>
      <c r="M59" s="76">
        <f t="shared" si="30"/>
        <v>0.22099372170463805</v>
      </c>
      <c r="N59" s="77">
        <f t="shared" si="31"/>
        <v>5.3201604101476035E-2</v>
      </c>
      <c r="O59" s="76">
        <f t="shared" si="32"/>
        <v>-0.29883623873011977</v>
      </c>
      <c r="P59" s="77">
        <f t="shared" si="33"/>
        <v>0.14780292034049083</v>
      </c>
      <c r="Q59" s="76">
        <f t="shared" si="34"/>
        <v>0.22099372170463802</v>
      </c>
      <c r="R59" s="75">
        <f t="shared" si="35"/>
        <v>-0.20718582710333999</v>
      </c>
    </row>
    <row r="60" spans="2:18">
      <c r="B60" s="81"/>
      <c r="C60">
        <v>3</v>
      </c>
      <c r="D60">
        <v>448</v>
      </c>
      <c r="E60">
        <v>0.76400000000000001</v>
      </c>
      <c r="F60" s="78"/>
      <c r="G60" s="75">
        <f t="shared" si="24"/>
        <v>0.26565843183649251</v>
      </c>
      <c r="H60" s="76">
        <f t="shared" si="25"/>
        <v>-0.5</v>
      </c>
      <c r="I60" s="75">
        <f t="shared" si="26"/>
        <v>7.4468085106383031E-2</v>
      </c>
      <c r="J60" s="75">
        <f t="shared" si="27"/>
        <v>-0.19324406573341446</v>
      </c>
      <c r="K60" s="76">
        <f t="shared" si="28"/>
        <v>0.24098718172135952</v>
      </c>
      <c r="L60" s="77">
        <f t="shared" si="29"/>
        <v>5.4834092570113457E-2</v>
      </c>
      <c r="M60" s="76">
        <f t="shared" si="30"/>
        <v>0.24098718172135952</v>
      </c>
      <c r="N60" s="77">
        <f t="shared" si="31"/>
        <v>5.4834092570113457E-2</v>
      </c>
      <c r="O60" s="76">
        <f t="shared" si="32"/>
        <v>-0.29883623873011977</v>
      </c>
      <c r="P60" s="77">
        <f t="shared" si="33"/>
        <v>0.15307392097216729</v>
      </c>
      <c r="Q60" s="76">
        <f t="shared" si="34"/>
        <v>0.24098718172135949</v>
      </c>
      <c r="R60" s="75">
        <f t="shared" si="35"/>
        <v>-0.21082433926637903</v>
      </c>
    </row>
    <row r="61" spans="2:18">
      <c r="B61" s="81"/>
      <c r="C61">
        <v>3</v>
      </c>
      <c r="D61">
        <v>464</v>
      </c>
      <c r="E61">
        <v>0.82199999999999995</v>
      </c>
      <c r="F61" s="78"/>
      <c r="G61" s="75">
        <f t="shared" si="24"/>
        <v>0.29623023550021577</v>
      </c>
      <c r="H61" s="76">
        <f t="shared" si="25"/>
        <v>-0.5</v>
      </c>
      <c r="I61" s="75">
        <f t="shared" si="26"/>
        <v>9.5744680851063801E-2</v>
      </c>
      <c r="J61" s="75">
        <f t="shared" si="27"/>
        <v>-0.1579427875836884</v>
      </c>
      <c r="K61" s="76">
        <f t="shared" si="28"/>
        <v>0.26098064173808094</v>
      </c>
      <c r="L61" s="77">
        <f t="shared" si="29"/>
        <v>8.1767384070797727E-2</v>
      </c>
      <c r="M61" s="76">
        <f t="shared" si="30"/>
        <v>0.26098064173808094</v>
      </c>
      <c r="N61" s="77">
        <f t="shared" si="31"/>
        <v>8.1767384070797727E-2</v>
      </c>
      <c r="O61" s="76">
        <f t="shared" si="32"/>
        <v>-0.29883623873011977</v>
      </c>
      <c r="P61" s="77">
        <f t="shared" si="33"/>
        <v>0.18364572463589057</v>
      </c>
      <c r="Q61" s="76">
        <f t="shared" si="34"/>
        <v>0.26098064173808089</v>
      </c>
      <c r="R61" s="75">
        <f t="shared" si="35"/>
        <v>-0.21446285142941804</v>
      </c>
    </row>
    <row r="62" spans="2:18">
      <c r="B62" s="81"/>
      <c r="C62">
        <v>3</v>
      </c>
      <c r="D62">
        <v>480</v>
      </c>
      <c r="E62">
        <v>0.83199999999999996</v>
      </c>
      <c r="F62" s="78"/>
      <c r="G62" s="75">
        <f t="shared" si="24"/>
        <v>0.30150123613189223</v>
      </c>
      <c r="H62" s="76">
        <f t="shared" si="25"/>
        <v>-0.5</v>
      </c>
      <c r="I62" s="75">
        <f t="shared" si="26"/>
        <v>0.11702127659574468</v>
      </c>
      <c r="J62" s="75">
        <f t="shared" si="27"/>
        <v>-0.15185636031649424</v>
      </c>
      <c r="K62" s="76">
        <f t="shared" si="28"/>
        <v>0.28097410175480242</v>
      </c>
      <c r="L62" s="77">
        <f t="shared" si="29"/>
        <v>8.3399872539435149E-2</v>
      </c>
      <c r="M62" s="76">
        <f t="shared" si="30"/>
        <v>0.28097410175480242</v>
      </c>
      <c r="N62" s="77">
        <f t="shared" si="31"/>
        <v>8.3399872539435149E-2</v>
      </c>
      <c r="O62" s="76">
        <f t="shared" si="32"/>
        <v>-0.29883623873011977</v>
      </c>
      <c r="P62" s="77">
        <f t="shared" si="33"/>
        <v>0.18891672526756703</v>
      </c>
      <c r="Q62" s="76">
        <f t="shared" si="34"/>
        <v>0.28097410175480236</v>
      </c>
      <c r="R62" s="75">
        <f t="shared" si="35"/>
        <v>-0.21810136359245708</v>
      </c>
    </row>
    <row r="63" spans="2:18">
      <c r="B63" s="81"/>
      <c r="C63">
        <v>3</v>
      </c>
      <c r="D63">
        <v>496</v>
      </c>
      <c r="E63">
        <v>0.85266666666666702</v>
      </c>
      <c r="F63" s="78"/>
      <c r="G63" s="75">
        <f t="shared" si="24"/>
        <v>0.31239463743735707</v>
      </c>
      <c r="H63" s="76">
        <f t="shared" si="25"/>
        <v>-0.5</v>
      </c>
      <c r="I63" s="75">
        <f t="shared" si="26"/>
        <v>0.13829787234042556</v>
      </c>
      <c r="J63" s="75">
        <f t="shared" si="27"/>
        <v>-0.13927774396429277</v>
      </c>
      <c r="K63" s="76">
        <f t="shared" si="28"/>
        <v>0.30096756177152389</v>
      </c>
      <c r="L63" s="77">
        <f t="shared" si="29"/>
        <v>9.0654761681860929E-2</v>
      </c>
      <c r="M63" s="76">
        <f t="shared" si="30"/>
        <v>0.30096756177152389</v>
      </c>
      <c r="N63" s="77">
        <f t="shared" si="31"/>
        <v>9.0654761681860929E-2</v>
      </c>
      <c r="O63" s="76">
        <f t="shared" si="32"/>
        <v>-0.29883623873011977</v>
      </c>
      <c r="P63" s="77">
        <f t="shared" si="33"/>
        <v>0.19981012657303185</v>
      </c>
      <c r="Q63" s="76">
        <f t="shared" si="34"/>
        <v>0.30096756177152384</v>
      </c>
      <c r="R63" s="75">
        <f t="shared" si="35"/>
        <v>-0.22173987575549611</v>
      </c>
    </row>
    <row r="64" spans="2:18">
      <c r="B64" s="81"/>
      <c r="C64">
        <v>3</v>
      </c>
      <c r="D64">
        <v>512</v>
      </c>
      <c r="E64">
        <v>0.86333333333333295</v>
      </c>
      <c r="F64" s="78"/>
      <c r="G64" s="75">
        <f t="shared" si="24"/>
        <v>0.31801703811114485</v>
      </c>
      <c r="H64" s="76">
        <f t="shared" si="25"/>
        <v>-0.5</v>
      </c>
      <c r="I64" s="75">
        <f t="shared" si="26"/>
        <v>0.15957446808510634</v>
      </c>
      <c r="J64" s="75">
        <f t="shared" si="27"/>
        <v>-0.13278555487928612</v>
      </c>
      <c r="K64" s="76">
        <f t="shared" si="28"/>
        <v>0.32096102178824526</v>
      </c>
      <c r="L64" s="77">
        <f t="shared" si="29"/>
        <v>9.2638650192609695E-2</v>
      </c>
      <c r="M64" s="76">
        <f t="shared" si="30"/>
        <v>0.32096102178824526</v>
      </c>
      <c r="N64" s="77">
        <f t="shared" si="31"/>
        <v>9.2638650192609695E-2</v>
      </c>
      <c r="O64" s="76">
        <f t="shared" si="32"/>
        <v>-0.29883623873011977</v>
      </c>
      <c r="P64" s="77">
        <f t="shared" si="33"/>
        <v>0.20543252724681965</v>
      </c>
      <c r="Q64" s="76">
        <f t="shared" si="34"/>
        <v>0.3209610217882452</v>
      </c>
      <c r="R64" s="75">
        <f t="shared" si="35"/>
        <v>-0.22537838791853515</v>
      </c>
    </row>
    <row r="65" spans="2:18">
      <c r="B65" s="81"/>
      <c r="C65">
        <v>3</v>
      </c>
      <c r="D65">
        <v>528</v>
      </c>
      <c r="E65">
        <v>0.93066666666666698</v>
      </c>
      <c r="F65" s="78"/>
      <c r="G65" s="75">
        <f t="shared" si="24"/>
        <v>0.35350844236443324</v>
      </c>
      <c r="H65" s="76">
        <f t="shared" si="25"/>
        <v>-0.5</v>
      </c>
      <c r="I65" s="75">
        <f t="shared" si="26"/>
        <v>0.18085106382978722</v>
      </c>
      <c r="J65" s="75">
        <f t="shared" si="27"/>
        <v>-9.1803611280178332E-2</v>
      </c>
      <c r="K65" s="76">
        <f t="shared" si="28"/>
        <v>0.34095448180496679</v>
      </c>
      <c r="L65" s="77">
        <f t="shared" si="29"/>
        <v>0.12449154228285911</v>
      </c>
      <c r="M65" s="76">
        <f t="shared" si="30"/>
        <v>0.34095448180496679</v>
      </c>
      <c r="N65" s="77">
        <f t="shared" si="31"/>
        <v>0.12449154228285911</v>
      </c>
      <c r="O65" s="76">
        <f t="shared" si="32"/>
        <v>-0.29883623873011977</v>
      </c>
      <c r="P65" s="77">
        <f t="shared" si="33"/>
        <v>0.24092393150010807</v>
      </c>
      <c r="Q65" s="76">
        <f t="shared" si="34"/>
        <v>0.34095448180496674</v>
      </c>
      <c r="R65" s="75">
        <f t="shared" si="35"/>
        <v>-0.22901690008157416</v>
      </c>
    </row>
    <row r="66" spans="2:18">
      <c r="B66" s="81"/>
      <c r="C66">
        <v>3</v>
      </c>
      <c r="D66">
        <v>544</v>
      </c>
      <c r="E66">
        <v>0.94133333333333302</v>
      </c>
      <c r="F66" s="78"/>
      <c r="G66" s="75">
        <f t="shared" si="24"/>
        <v>0.35913084303822113</v>
      </c>
      <c r="H66" s="76">
        <f t="shared" si="25"/>
        <v>-0.5</v>
      </c>
      <c r="I66" s="75">
        <f t="shared" si="26"/>
        <v>0.2021276595744681</v>
      </c>
      <c r="J66" s="75">
        <f t="shared" si="27"/>
        <v>-8.5311422195171627E-2</v>
      </c>
      <c r="K66" s="76">
        <f t="shared" si="28"/>
        <v>0.36094794182168821</v>
      </c>
      <c r="L66" s="77">
        <f t="shared" si="29"/>
        <v>0.12647543079360793</v>
      </c>
      <c r="M66" s="76">
        <f t="shared" si="30"/>
        <v>0.36094794182168821</v>
      </c>
      <c r="N66" s="77">
        <f t="shared" si="31"/>
        <v>0.12647543079360793</v>
      </c>
      <c r="O66" s="76">
        <f t="shared" si="32"/>
        <v>-0.29883623873011977</v>
      </c>
      <c r="P66" s="77">
        <f t="shared" si="33"/>
        <v>0.24654633217389593</v>
      </c>
      <c r="Q66" s="76">
        <f t="shared" si="34"/>
        <v>0.36094794182168816</v>
      </c>
      <c r="R66" s="75">
        <f t="shared" si="35"/>
        <v>-0.2326554122446132</v>
      </c>
    </row>
    <row r="67" spans="2:18">
      <c r="B67" s="81"/>
      <c r="C67">
        <v>3</v>
      </c>
      <c r="D67">
        <v>560</v>
      </c>
      <c r="E67">
        <v>0.94633333333333303</v>
      </c>
      <c r="F67" s="78"/>
      <c r="G67" s="75">
        <f t="shared" si="24"/>
        <v>0.36176634335405933</v>
      </c>
      <c r="H67" s="76">
        <f t="shared" si="25"/>
        <v>-0.5</v>
      </c>
      <c r="I67" s="75">
        <f t="shared" si="26"/>
        <v>0.22340425531914898</v>
      </c>
      <c r="J67" s="75">
        <f t="shared" si="27"/>
        <v>-8.2268208561574574E-2</v>
      </c>
      <c r="K67" s="76">
        <f t="shared" si="28"/>
        <v>0.38094140183840974</v>
      </c>
      <c r="L67" s="77">
        <f t="shared" si="29"/>
        <v>0.12547241894640709</v>
      </c>
      <c r="M67" s="76">
        <f t="shared" si="30"/>
        <v>0.38094140183840974</v>
      </c>
      <c r="N67" s="77">
        <f t="shared" si="31"/>
        <v>0.12547241894640709</v>
      </c>
      <c r="O67" s="76">
        <f t="shared" si="32"/>
        <v>-0.29883623873011977</v>
      </c>
      <c r="P67" s="77">
        <f t="shared" si="33"/>
        <v>0.24918183248973413</v>
      </c>
      <c r="Q67" s="76">
        <f t="shared" si="34"/>
        <v>0.38094140183840969</v>
      </c>
      <c r="R67" s="75">
        <f t="shared" si="35"/>
        <v>-0.23629392440765223</v>
      </c>
    </row>
    <row r="68" spans="2:18">
      <c r="B68" s="81"/>
      <c r="C68">
        <v>3</v>
      </c>
      <c r="D68">
        <v>576</v>
      </c>
      <c r="E68">
        <v>0.95166666666666699</v>
      </c>
      <c r="F68" s="78"/>
      <c r="G68" s="75">
        <f t="shared" si="24"/>
        <v>0.36457754369095374</v>
      </c>
      <c r="H68" s="76">
        <f t="shared" si="25"/>
        <v>-0.5</v>
      </c>
      <c r="I68" s="75">
        <f t="shared" si="26"/>
        <v>0.24468085106382975</v>
      </c>
      <c r="J68" s="75">
        <f t="shared" si="27"/>
        <v>-7.9022114019070611E-2</v>
      </c>
      <c r="K68" s="76">
        <f t="shared" si="28"/>
        <v>0.40093486185513111</v>
      </c>
      <c r="L68" s="77">
        <f t="shared" si="29"/>
        <v>0.12464510712026253</v>
      </c>
      <c r="M68" s="76">
        <f t="shared" si="30"/>
        <v>0.40093486185513111</v>
      </c>
      <c r="N68" s="77">
        <f t="shared" si="31"/>
        <v>0.12464510712026253</v>
      </c>
      <c r="O68" s="76">
        <f t="shared" si="32"/>
        <v>-0.29883623873011977</v>
      </c>
      <c r="P68" s="77">
        <f t="shared" si="33"/>
        <v>0.25199303282662855</v>
      </c>
      <c r="Q68" s="76">
        <f t="shared" si="34"/>
        <v>0.40093486185513105</v>
      </c>
      <c r="R68" s="75">
        <f t="shared" si="35"/>
        <v>-0.23993243657069124</v>
      </c>
    </row>
    <row r="69" spans="2:18">
      <c r="B69" s="81"/>
      <c r="C69">
        <v>3</v>
      </c>
      <c r="D69">
        <v>592</v>
      </c>
      <c r="E69">
        <v>0.97199999999999998</v>
      </c>
      <c r="F69" s="78"/>
      <c r="G69" s="75">
        <f t="shared" si="24"/>
        <v>0.37529524497536237</v>
      </c>
      <c r="H69" s="76">
        <f t="shared" si="25"/>
        <v>-0.5</v>
      </c>
      <c r="I69" s="75">
        <f t="shared" si="26"/>
        <v>0.26595744680851063</v>
      </c>
      <c r="J69" s="75">
        <f t="shared" si="27"/>
        <v>-6.6646378575776044E-2</v>
      </c>
      <c r="K69" s="76">
        <f t="shared" si="28"/>
        <v>0.42092832187185258</v>
      </c>
      <c r="L69" s="77">
        <f t="shared" si="29"/>
        <v>0.13172429624163204</v>
      </c>
      <c r="M69" s="76">
        <f t="shared" si="30"/>
        <v>0.42092832187185258</v>
      </c>
      <c r="N69" s="77">
        <f t="shared" si="31"/>
        <v>0.13172429624163204</v>
      </c>
      <c r="O69" s="76">
        <f t="shared" si="32"/>
        <v>-0.29883623873011977</v>
      </c>
      <c r="P69" s="77">
        <f t="shared" si="33"/>
        <v>0.26271073411103713</v>
      </c>
      <c r="Q69" s="76">
        <f t="shared" si="34"/>
        <v>0.42092832187185253</v>
      </c>
      <c r="R69" s="75">
        <f t="shared" si="35"/>
        <v>-0.24357094873373031</v>
      </c>
    </row>
    <row r="70" spans="2:18">
      <c r="B70" s="81"/>
      <c r="C70">
        <v>3</v>
      </c>
      <c r="D70">
        <v>608</v>
      </c>
      <c r="E70">
        <v>0.98299999999999998</v>
      </c>
      <c r="F70" s="78"/>
      <c r="G70" s="75">
        <f t="shared" si="24"/>
        <v>0.38109334567020642</v>
      </c>
      <c r="H70" s="76">
        <f t="shared" si="25"/>
        <v>-0.5</v>
      </c>
      <c r="I70" s="75">
        <f t="shared" si="26"/>
        <v>0.28723404255319152</v>
      </c>
      <c r="J70" s="75">
        <f t="shared" si="27"/>
        <v>-5.9951308581862484E-2</v>
      </c>
      <c r="K70" s="76">
        <f t="shared" si="28"/>
        <v>0.440921781888574</v>
      </c>
      <c r="L70" s="77">
        <f t="shared" si="29"/>
        <v>0.1338838847734371</v>
      </c>
      <c r="M70" s="76">
        <f t="shared" si="30"/>
        <v>0.440921781888574</v>
      </c>
      <c r="N70" s="77">
        <f t="shared" si="31"/>
        <v>0.1338838847734371</v>
      </c>
      <c r="O70" s="76">
        <f t="shared" si="32"/>
        <v>-0.29883623873011977</v>
      </c>
      <c r="P70" s="77">
        <f t="shared" si="33"/>
        <v>0.26850883480588122</v>
      </c>
      <c r="Q70" s="76">
        <f t="shared" si="34"/>
        <v>0.44092178188857395</v>
      </c>
      <c r="R70" s="75">
        <f t="shared" si="35"/>
        <v>-0.24720946089676932</v>
      </c>
    </row>
    <row r="71" spans="2:18">
      <c r="B71" s="81"/>
      <c r="C71">
        <v>3</v>
      </c>
      <c r="D71">
        <v>624</v>
      </c>
      <c r="E71">
        <v>0.99866666666666704</v>
      </c>
      <c r="F71" s="78"/>
      <c r="G71" s="75">
        <f t="shared" si="24"/>
        <v>0.38935124665983301</v>
      </c>
      <c r="H71" s="76">
        <f t="shared" si="25"/>
        <v>-0.5</v>
      </c>
      <c r="I71" s="75">
        <f t="shared" si="26"/>
        <v>0.30851063829787229</v>
      </c>
      <c r="J71" s="75">
        <f t="shared" si="27"/>
        <v>-5.0415905863258059E-2</v>
      </c>
      <c r="K71" s="76">
        <f t="shared" si="28"/>
        <v>0.46091524190529543</v>
      </c>
      <c r="L71" s="77">
        <f t="shared" si="29"/>
        <v>0.13850327360002468</v>
      </c>
      <c r="M71" s="76">
        <f t="shared" si="30"/>
        <v>0.46091524190529543</v>
      </c>
      <c r="N71" s="77">
        <f t="shared" si="31"/>
        <v>0.13850327360002468</v>
      </c>
      <c r="O71" s="76">
        <f t="shared" si="32"/>
        <v>-0.29883623873011977</v>
      </c>
      <c r="P71" s="77">
        <f t="shared" si="33"/>
        <v>0.27676673579550787</v>
      </c>
      <c r="Q71" s="76">
        <f t="shared" si="34"/>
        <v>0.46091524190529537</v>
      </c>
      <c r="R71" s="75">
        <f t="shared" si="35"/>
        <v>-0.25084797305980833</v>
      </c>
    </row>
    <row r="72" spans="2:18">
      <c r="B72" s="81"/>
      <c r="C72">
        <v>3</v>
      </c>
      <c r="D72">
        <v>640</v>
      </c>
      <c r="E72">
        <v>1.0033333333333301</v>
      </c>
      <c r="F72" s="78"/>
      <c r="G72" s="75">
        <f t="shared" ref="G72:G103" si="36">D$19*(L72-R72)</f>
        <v>0.3918110469546135</v>
      </c>
      <c r="H72" s="76">
        <f t="shared" ref="H72:H103" si="37">(C72-H$16)/H$17-0.5</f>
        <v>-0.5</v>
      </c>
      <c r="I72" s="75">
        <f t="shared" ref="I72:I103" si="38">(D72-I$16)/I$17-0.5</f>
        <v>0.32978723404255317</v>
      </c>
      <c r="J72" s="75">
        <f t="shared" ref="J72:J103" si="39">(E72-J$16)/J$17-0.5</f>
        <v>-4.7575573138569638E-2</v>
      </c>
      <c r="K72" s="76">
        <f t="shared" ref="K72:K103" si="40">(H72*$H$13+I72*$I$13+J72*$J$13+$D$27)*$C$27</f>
        <v>0.48090870192201696</v>
      </c>
      <c r="L72" s="77">
        <f t="shared" ref="L72:L103" si="41">(H72*$H$14+I72*$I$14+J72*$J$14+$E$27)*$C$27</f>
        <v>0.1373245617317661</v>
      </c>
      <c r="M72" s="76">
        <f t="shared" ref="M72:M103" si="42">(H$27*$H$13+I72*$I$13+J72*$J$13+$D$27)*$C$27</f>
        <v>0.48090870192201696</v>
      </c>
      <c r="N72" s="77">
        <f t="shared" ref="N72:N103" si="43">(H$27*$H$14+I72*$I$14+J72*$J$14+$E$27)*$C$27</f>
        <v>0.1373245617317661</v>
      </c>
      <c r="O72" s="76">
        <f t="shared" ref="O72:O103" si="44">(H72*$H$13+I$27*$I$13+J72*$J$13+$D$27)*$C$27</f>
        <v>-0.29883623873011977</v>
      </c>
      <c r="P72" s="77">
        <f t="shared" ref="P72:P103" si="45">(H72*$H$14+I$27*$I$14+J72*$J$14+$E$27)*$C$27</f>
        <v>0.2792265360902883</v>
      </c>
      <c r="Q72" s="76">
        <f t="shared" ref="Q72:Q103" si="46">(H72*$H$13+I72*$I$13+J$27*$J$13+$D$27)*$C$27</f>
        <v>0.4809087019220169</v>
      </c>
      <c r="R72" s="75">
        <f t="shared" ref="R72:R103" si="47">(H72*$H$14+I72*$I$14+J$27*$J$14+$E$27)*$C$27</f>
        <v>-0.25448648522284739</v>
      </c>
    </row>
    <row r="73" spans="2:18">
      <c r="B73" s="81"/>
      <c r="C73">
        <v>3</v>
      </c>
      <c r="D73">
        <v>656</v>
      </c>
      <c r="E73">
        <v>1.0246666666666699</v>
      </c>
      <c r="F73" s="78"/>
      <c r="G73" s="75">
        <f t="shared" si="36"/>
        <v>0.40305584830219338</v>
      </c>
      <c r="H73" s="76">
        <f t="shared" si="37"/>
        <v>-0.5</v>
      </c>
      <c r="I73" s="75">
        <f t="shared" si="38"/>
        <v>0.35106382978723405</v>
      </c>
      <c r="J73" s="75">
        <f t="shared" si="39"/>
        <v>-3.4591194968551453E-2</v>
      </c>
      <c r="K73" s="76">
        <f t="shared" si="40"/>
        <v>0.50090216193873838</v>
      </c>
      <c r="L73" s="77">
        <f t="shared" si="41"/>
        <v>0.14493085091630692</v>
      </c>
      <c r="M73" s="76">
        <f t="shared" si="42"/>
        <v>0.50090216193873838</v>
      </c>
      <c r="N73" s="77">
        <f t="shared" si="43"/>
        <v>0.14493085091630692</v>
      </c>
      <c r="O73" s="76">
        <f t="shared" si="44"/>
        <v>-0.29883623873011977</v>
      </c>
      <c r="P73" s="77">
        <f t="shared" si="45"/>
        <v>0.29047133743786813</v>
      </c>
      <c r="Q73" s="76">
        <f t="shared" si="46"/>
        <v>0.50090216193873827</v>
      </c>
      <c r="R73" s="75">
        <f t="shared" si="47"/>
        <v>-0.25812499738588646</v>
      </c>
    </row>
    <row r="74" spans="2:18">
      <c r="B74" s="81"/>
      <c r="C74">
        <v>3</v>
      </c>
      <c r="D74">
        <v>672</v>
      </c>
      <c r="E74">
        <v>1.0293333333333301</v>
      </c>
      <c r="F74" s="78"/>
      <c r="G74" s="75">
        <f t="shared" si="36"/>
        <v>0.40551564859697226</v>
      </c>
      <c r="H74" s="76">
        <f t="shared" si="37"/>
        <v>-0.5</v>
      </c>
      <c r="I74" s="75">
        <f t="shared" si="38"/>
        <v>0.37234042553191493</v>
      </c>
      <c r="J74" s="75">
        <f t="shared" si="39"/>
        <v>-3.1750862243864808E-2</v>
      </c>
      <c r="K74" s="76">
        <f t="shared" si="40"/>
        <v>0.52089562195545991</v>
      </c>
      <c r="L74" s="77">
        <f t="shared" si="41"/>
        <v>0.14375213904804679</v>
      </c>
      <c r="M74" s="76">
        <f t="shared" si="42"/>
        <v>0.52089562195545991</v>
      </c>
      <c r="N74" s="77">
        <f t="shared" si="43"/>
        <v>0.14375213904804679</v>
      </c>
      <c r="O74" s="76">
        <f t="shared" si="44"/>
        <v>-0.29883623873011977</v>
      </c>
      <c r="P74" s="77">
        <f t="shared" si="45"/>
        <v>0.29293113773264706</v>
      </c>
      <c r="Q74" s="76">
        <f t="shared" si="46"/>
        <v>0.5208956219554598</v>
      </c>
      <c r="R74" s="75">
        <f t="shared" si="47"/>
        <v>-0.26176350954892547</v>
      </c>
    </row>
    <row r="75" spans="2:18">
      <c r="B75" s="81"/>
      <c r="C75">
        <v>3</v>
      </c>
      <c r="D75">
        <v>688</v>
      </c>
      <c r="E75">
        <v>1.04</v>
      </c>
      <c r="F75" s="78"/>
      <c r="G75" s="75">
        <f t="shared" si="36"/>
        <v>0.41113804927076214</v>
      </c>
      <c r="H75" s="76">
        <f t="shared" si="37"/>
        <v>-0.5</v>
      </c>
      <c r="I75" s="75">
        <f t="shared" si="38"/>
        <v>0.3936170212765957</v>
      </c>
      <c r="J75" s="75">
        <f t="shared" si="39"/>
        <v>-2.5258673158855716E-2</v>
      </c>
      <c r="K75" s="76">
        <f t="shared" si="40"/>
        <v>0.54088908197218122</v>
      </c>
      <c r="L75" s="77">
        <f t="shared" si="41"/>
        <v>0.14573602755879769</v>
      </c>
      <c r="M75" s="76">
        <f t="shared" si="42"/>
        <v>0.54088908197218122</v>
      </c>
      <c r="N75" s="77">
        <f t="shared" si="43"/>
        <v>0.14573602755879769</v>
      </c>
      <c r="O75" s="76">
        <f t="shared" si="44"/>
        <v>-0.29883623873011977</v>
      </c>
      <c r="P75" s="77">
        <f t="shared" si="45"/>
        <v>0.29855353840643695</v>
      </c>
      <c r="Q75" s="76">
        <f t="shared" si="46"/>
        <v>0.54088908197218111</v>
      </c>
      <c r="R75" s="75">
        <f t="shared" si="47"/>
        <v>-0.26540202171196448</v>
      </c>
    </row>
    <row r="76" spans="2:18">
      <c r="B76" s="81"/>
      <c r="C76">
        <v>3</v>
      </c>
      <c r="D76">
        <v>704</v>
      </c>
      <c r="E76">
        <v>1.05066666666667</v>
      </c>
      <c r="F76" s="78"/>
      <c r="G76" s="75">
        <f t="shared" si="36"/>
        <v>0.41676044994455202</v>
      </c>
      <c r="H76" s="76">
        <f t="shared" si="37"/>
        <v>-0.5</v>
      </c>
      <c r="I76" s="75">
        <f t="shared" si="38"/>
        <v>0.41489361702127658</v>
      </c>
      <c r="J76" s="75">
        <f t="shared" si="39"/>
        <v>-1.8766484073846679E-2</v>
      </c>
      <c r="K76" s="76">
        <f t="shared" si="40"/>
        <v>0.56088254198890275</v>
      </c>
      <c r="L76" s="77">
        <f t="shared" si="41"/>
        <v>0.14771991606954854</v>
      </c>
      <c r="M76" s="76">
        <f t="shared" si="42"/>
        <v>0.56088254198890275</v>
      </c>
      <c r="N76" s="77">
        <f t="shared" si="43"/>
        <v>0.14771991606954854</v>
      </c>
      <c r="O76" s="76">
        <f t="shared" si="44"/>
        <v>-0.29883623873011977</v>
      </c>
      <c r="P76" s="77">
        <f t="shared" si="45"/>
        <v>0.30417593908022683</v>
      </c>
      <c r="Q76" s="76">
        <f t="shared" si="46"/>
        <v>0.56088254198890264</v>
      </c>
      <c r="R76" s="75">
        <f t="shared" si="47"/>
        <v>-0.26904053387500348</v>
      </c>
    </row>
    <row r="77" spans="2:18">
      <c r="B77" s="81"/>
      <c r="C77">
        <v>3</v>
      </c>
      <c r="D77">
        <v>720</v>
      </c>
      <c r="E77">
        <v>1.07633333333333</v>
      </c>
      <c r="F77" s="78"/>
      <c r="G77" s="75">
        <f t="shared" si="36"/>
        <v>0.43028935156585146</v>
      </c>
      <c r="H77" s="76">
        <f t="shared" si="37"/>
        <v>-0.5</v>
      </c>
      <c r="I77" s="75">
        <f t="shared" si="38"/>
        <v>0.43617021276595747</v>
      </c>
      <c r="J77" s="75">
        <f t="shared" si="39"/>
        <v>-3.1446540880523122E-3</v>
      </c>
      <c r="K77" s="76">
        <f t="shared" si="40"/>
        <v>0.58087600200562428</v>
      </c>
      <c r="L77" s="77">
        <f t="shared" si="41"/>
        <v>0.15761030552780891</v>
      </c>
      <c r="M77" s="76">
        <f t="shared" si="42"/>
        <v>0.58087600200562428</v>
      </c>
      <c r="N77" s="77">
        <f t="shared" si="43"/>
        <v>0.15761030552780891</v>
      </c>
      <c r="O77" s="76">
        <f t="shared" si="44"/>
        <v>-0.29883623873011977</v>
      </c>
      <c r="P77" s="77">
        <f t="shared" si="45"/>
        <v>0.31770484070152627</v>
      </c>
      <c r="Q77" s="76">
        <f t="shared" si="46"/>
        <v>0.58087600200562417</v>
      </c>
      <c r="R77" s="75">
        <f t="shared" si="47"/>
        <v>-0.27267904603804255</v>
      </c>
    </row>
    <row r="78" spans="2:18">
      <c r="B78" s="81"/>
      <c r="C78">
        <v>3</v>
      </c>
      <c r="D78">
        <v>736</v>
      </c>
      <c r="E78">
        <v>1.0920000000000001</v>
      </c>
      <c r="F78" s="78"/>
      <c r="G78" s="75">
        <f t="shared" si="36"/>
        <v>0.43854725255547966</v>
      </c>
      <c r="H78" s="76">
        <f t="shared" si="37"/>
        <v>-0.5</v>
      </c>
      <c r="I78" s="75">
        <f t="shared" si="38"/>
        <v>0.45744680851063835</v>
      </c>
      <c r="J78" s="75">
        <f t="shared" si="39"/>
        <v>6.3907486305538885E-3</v>
      </c>
      <c r="K78" s="76">
        <f t="shared" si="40"/>
        <v>0.6008694620223457</v>
      </c>
      <c r="L78" s="77">
        <f t="shared" si="41"/>
        <v>0.16222969435439805</v>
      </c>
      <c r="M78" s="76">
        <f t="shared" si="42"/>
        <v>0.6008694620223457</v>
      </c>
      <c r="N78" s="77">
        <f t="shared" si="43"/>
        <v>0.16222969435439805</v>
      </c>
      <c r="O78" s="76">
        <f t="shared" si="44"/>
        <v>-0.29883623873011977</v>
      </c>
      <c r="P78" s="77">
        <f t="shared" si="45"/>
        <v>0.32596274169115447</v>
      </c>
      <c r="Q78" s="76">
        <f t="shared" si="46"/>
        <v>0.60086946202234559</v>
      </c>
      <c r="R78" s="75">
        <f t="shared" si="47"/>
        <v>-0.27631755820108161</v>
      </c>
    </row>
    <row r="79" spans="2:18">
      <c r="B79" s="81"/>
      <c r="C79">
        <v>3</v>
      </c>
      <c r="D79">
        <v>752</v>
      </c>
      <c r="E79">
        <v>1.1076666666666699</v>
      </c>
      <c r="F79" s="78"/>
      <c r="G79" s="75">
        <f t="shared" si="36"/>
        <v>0.44680515354510775</v>
      </c>
      <c r="H79" s="76">
        <f t="shared" si="37"/>
        <v>-0.5</v>
      </c>
      <c r="I79" s="75">
        <f t="shared" si="38"/>
        <v>0.47872340425531912</v>
      </c>
      <c r="J79" s="75">
        <f t="shared" si="39"/>
        <v>1.5926151349159978E-2</v>
      </c>
      <c r="K79" s="76">
        <f t="shared" si="40"/>
        <v>0.62086292203906712</v>
      </c>
      <c r="L79" s="77">
        <f t="shared" si="41"/>
        <v>0.16684908318098712</v>
      </c>
      <c r="M79" s="76">
        <f t="shared" si="42"/>
        <v>0.62086292203906712</v>
      </c>
      <c r="N79" s="77">
        <f t="shared" si="43"/>
        <v>0.16684908318098712</v>
      </c>
      <c r="O79" s="76">
        <f t="shared" si="44"/>
        <v>-0.29883623873011977</v>
      </c>
      <c r="P79" s="77">
        <f t="shared" si="45"/>
        <v>0.3342206426807825</v>
      </c>
      <c r="Q79" s="76">
        <f t="shared" si="46"/>
        <v>0.62086292203906701</v>
      </c>
      <c r="R79" s="75">
        <f t="shared" si="47"/>
        <v>-0.27995607036412062</v>
      </c>
    </row>
    <row r="80" spans="2:18">
      <c r="B80" s="81"/>
      <c r="C80">
        <v>3</v>
      </c>
      <c r="D80">
        <v>768</v>
      </c>
      <c r="E80">
        <v>1.1136666666666699</v>
      </c>
      <c r="F80" s="78"/>
      <c r="G80" s="75">
        <f t="shared" si="36"/>
        <v>0.44996775392411359</v>
      </c>
      <c r="H80" s="76">
        <f t="shared" si="37"/>
        <v>-0.5</v>
      </c>
      <c r="I80" s="75">
        <f t="shared" si="38"/>
        <v>0.5</v>
      </c>
      <c r="J80" s="75">
        <f t="shared" si="39"/>
        <v>1.9578007709476486E-2</v>
      </c>
      <c r="K80" s="76">
        <f t="shared" si="40"/>
        <v>0.64085638205578854</v>
      </c>
      <c r="L80" s="77">
        <f t="shared" si="41"/>
        <v>0.16637317139695396</v>
      </c>
      <c r="M80" s="76">
        <f t="shared" si="42"/>
        <v>0.64085638205578854</v>
      </c>
      <c r="N80" s="77">
        <f t="shared" si="43"/>
        <v>0.16637317139695396</v>
      </c>
      <c r="O80" s="76">
        <f t="shared" si="44"/>
        <v>-0.29883623873011977</v>
      </c>
      <c r="P80" s="77">
        <f t="shared" si="45"/>
        <v>0.3373832430597884</v>
      </c>
      <c r="Q80" s="76">
        <f t="shared" si="46"/>
        <v>0.64085638205578843</v>
      </c>
      <c r="R80" s="75">
        <f t="shared" si="47"/>
        <v>-0.28359458252715963</v>
      </c>
    </row>
    <row r="81" spans="2:18">
      <c r="B81" s="81"/>
      <c r="C81">
        <v>6</v>
      </c>
      <c r="D81">
        <v>16</v>
      </c>
      <c r="E81">
        <v>0.29666666666666702</v>
      </c>
      <c r="F81" s="78"/>
      <c r="G81" s="75">
        <f t="shared" si="36"/>
        <v>1.9327002316147146E-2</v>
      </c>
      <c r="H81" s="76">
        <f t="shared" si="37"/>
        <v>-0.41666666666666669</v>
      </c>
      <c r="I81" s="75">
        <f t="shared" si="38"/>
        <v>-0.5</v>
      </c>
      <c r="J81" s="75">
        <f t="shared" si="39"/>
        <v>-0.47768310002028785</v>
      </c>
      <c r="K81" s="76">
        <f t="shared" si="40"/>
        <v>-0.3273379173405922</v>
      </c>
      <c r="L81" s="77">
        <f t="shared" si="41"/>
        <v>-0.13241136774759082</v>
      </c>
      <c r="M81" s="76">
        <f t="shared" si="42"/>
        <v>-0.29883623873011983</v>
      </c>
      <c r="N81" s="77">
        <f t="shared" si="43"/>
        <v>-9.3257508548178047E-2</v>
      </c>
      <c r="O81" s="76">
        <f t="shared" si="44"/>
        <v>-0.3273379173405922</v>
      </c>
      <c r="P81" s="77">
        <f t="shared" si="45"/>
        <v>-0.13241136774759082</v>
      </c>
      <c r="Q81" s="76">
        <f t="shared" si="46"/>
        <v>-0.3273379173405922</v>
      </c>
      <c r="R81" s="75">
        <f t="shared" si="47"/>
        <v>-0.15173837006373797</v>
      </c>
    </row>
    <row r="82" spans="2:18">
      <c r="B82" s="81"/>
      <c r="C82">
        <v>6</v>
      </c>
      <c r="D82">
        <v>32</v>
      </c>
      <c r="E82">
        <v>0.26500000000000001</v>
      </c>
      <c r="F82" s="78"/>
      <c r="G82" s="75">
        <f t="shared" si="36"/>
        <v>2.6355003158382573E-3</v>
      </c>
      <c r="H82" s="76">
        <f t="shared" si="37"/>
        <v>-0.41666666666666669</v>
      </c>
      <c r="I82" s="75">
        <f t="shared" si="38"/>
        <v>-0.47872340425531917</v>
      </c>
      <c r="J82" s="75">
        <f t="shared" si="39"/>
        <v>-0.49695678636640289</v>
      </c>
      <c r="K82" s="76">
        <f t="shared" si="40"/>
        <v>-0.30734445732387078</v>
      </c>
      <c r="L82" s="77">
        <f t="shared" si="41"/>
        <v>-0.15274138191093878</v>
      </c>
      <c r="M82" s="76">
        <f t="shared" si="42"/>
        <v>-0.27884277871339841</v>
      </c>
      <c r="N82" s="77">
        <f t="shared" si="43"/>
        <v>-0.11358752271152595</v>
      </c>
      <c r="O82" s="76">
        <f t="shared" si="44"/>
        <v>-0.3273379173405922</v>
      </c>
      <c r="P82" s="77">
        <f t="shared" si="45"/>
        <v>-0.14910286974789971</v>
      </c>
      <c r="Q82" s="76">
        <f t="shared" si="46"/>
        <v>-0.30734445732387078</v>
      </c>
      <c r="R82" s="75">
        <f t="shared" si="47"/>
        <v>-0.15537688222677704</v>
      </c>
    </row>
    <row r="83" spans="2:18">
      <c r="B83" s="81"/>
      <c r="C83">
        <v>6</v>
      </c>
      <c r="D83">
        <v>48</v>
      </c>
      <c r="E83">
        <v>0.275666666666667</v>
      </c>
      <c r="F83" s="78"/>
      <c r="G83" s="75">
        <f t="shared" si="36"/>
        <v>8.2579009896265876E-3</v>
      </c>
      <c r="H83" s="76">
        <f t="shared" si="37"/>
        <v>-0.41666666666666669</v>
      </c>
      <c r="I83" s="75">
        <f t="shared" si="38"/>
        <v>-0.45744680851063829</v>
      </c>
      <c r="J83" s="75">
        <f t="shared" si="39"/>
        <v>-0.49046459728139563</v>
      </c>
      <c r="K83" s="76">
        <f t="shared" si="40"/>
        <v>-0.2873509973071493</v>
      </c>
      <c r="L83" s="77">
        <f t="shared" si="41"/>
        <v>-0.15075749340018946</v>
      </c>
      <c r="M83" s="76">
        <f t="shared" si="42"/>
        <v>-0.25884931869667688</v>
      </c>
      <c r="N83" s="77">
        <f t="shared" si="43"/>
        <v>-0.11160363420077668</v>
      </c>
      <c r="O83" s="76">
        <f t="shared" si="44"/>
        <v>-0.3273379173405922</v>
      </c>
      <c r="P83" s="77">
        <f t="shared" si="45"/>
        <v>-0.14348046907411138</v>
      </c>
      <c r="Q83" s="76">
        <f t="shared" si="46"/>
        <v>-0.2873509973071493</v>
      </c>
      <c r="R83" s="75">
        <f t="shared" si="47"/>
        <v>-0.15901539438981604</v>
      </c>
    </row>
    <row r="84" spans="2:18">
      <c r="B84" s="81"/>
      <c r="C84">
        <v>6</v>
      </c>
      <c r="D84">
        <v>64</v>
      </c>
      <c r="E84">
        <v>0.30133333333333301</v>
      </c>
      <c r="F84" s="78"/>
      <c r="G84" s="75">
        <f t="shared" si="36"/>
        <v>2.1786802610929079E-2</v>
      </c>
      <c r="H84" s="76">
        <f t="shared" si="37"/>
        <v>-0.41666666666666669</v>
      </c>
      <c r="I84" s="75">
        <f t="shared" si="38"/>
        <v>-0.43617021276595747</v>
      </c>
      <c r="J84" s="75">
        <f t="shared" si="39"/>
        <v>-0.47484276729559771</v>
      </c>
      <c r="K84" s="76">
        <f t="shared" si="40"/>
        <v>-0.26735753729042788</v>
      </c>
      <c r="L84" s="77">
        <f t="shared" si="41"/>
        <v>-0.14086710394192603</v>
      </c>
      <c r="M84" s="76">
        <f t="shared" si="42"/>
        <v>-0.23885585867995549</v>
      </c>
      <c r="N84" s="77">
        <f t="shared" si="43"/>
        <v>-0.1017132447425132</v>
      </c>
      <c r="O84" s="76">
        <f t="shared" si="44"/>
        <v>-0.3273379173405922</v>
      </c>
      <c r="P84" s="77">
        <f t="shared" si="45"/>
        <v>-0.12995156745280889</v>
      </c>
      <c r="Q84" s="76">
        <f t="shared" si="46"/>
        <v>-0.26735753729042788</v>
      </c>
      <c r="R84" s="75">
        <f t="shared" si="47"/>
        <v>-0.16265390655285511</v>
      </c>
    </row>
    <row r="85" spans="2:18">
      <c r="B85" s="81"/>
      <c r="C85">
        <v>6</v>
      </c>
      <c r="D85">
        <v>80</v>
      </c>
      <c r="E85">
        <v>0.348333333333333</v>
      </c>
      <c r="F85" s="78"/>
      <c r="G85" s="75">
        <f t="shared" si="36"/>
        <v>4.6560505579808342E-2</v>
      </c>
      <c r="H85" s="76">
        <f t="shared" si="37"/>
        <v>-0.41666666666666669</v>
      </c>
      <c r="I85" s="75">
        <f t="shared" si="38"/>
        <v>-0.41489361702127658</v>
      </c>
      <c r="J85" s="75">
        <f t="shared" si="39"/>
        <v>-0.44623655913978516</v>
      </c>
      <c r="K85" s="76">
        <f t="shared" si="40"/>
        <v>-0.24736407727370635</v>
      </c>
      <c r="L85" s="77">
        <f t="shared" si="41"/>
        <v>-0.11973191313608578</v>
      </c>
      <c r="M85" s="76">
        <f t="shared" si="42"/>
        <v>-0.21886239866323395</v>
      </c>
      <c r="N85" s="77">
        <f t="shared" si="43"/>
        <v>-8.0578053936672944E-2</v>
      </c>
      <c r="O85" s="76">
        <f t="shared" si="44"/>
        <v>-0.3273379173405922</v>
      </c>
      <c r="P85" s="77">
        <f t="shared" si="45"/>
        <v>-0.10517786448392963</v>
      </c>
      <c r="Q85" s="76">
        <f t="shared" si="46"/>
        <v>-0.24736407727370635</v>
      </c>
      <c r="R85" s="75">
        <f t="shared" si="47"/>
        <v>-0.16629241871589412</v>
      </c>
    </row>
    <row r="86" spans="2:18">
      <c r="B86" s="81"/>
      <c r="C86">
        <v>6</v>
      </c>
      <c r="D86">
        <v>96</v>
      </c>
      <c r="E86">
        <v>0.400666666666667</v>
      </c>
      <c r="F86" s="78"/>
      <c r="G86" s="75">
        <f t="shared" si="36"/>
        <v>7.4145408885582076E-2</v>
      </c>
      <c r="H86" s="76">
        <f t="shared" si="37"/>
        <v>-0.41666666666666669</v>
      </c>
      <c r="I86" s="75">
        <f t="shared" si="38"/>
        <v>-0.39361702127659576</v>
      </c>
      <c r="J86" s="75">
        <f t="shared" si="39"/>
        <v>-0.41438425644146865</v>
      </c>
      <c r="K86" s="76">
        <f t="shared" si="40"/>
        <v>-0.22737061725698493</v>
      </c>
      <c r="L86" s="77">
        <f t="shared" si="41"/>
        <v>-9.5785521993351053E-2</v>
      </c>
      <c r="M86" s="76">
        <f t="shared" si="42"/>
        <v>-0.19886893864651253</v>
      </c>
      <c r="N86" s="77">
        <f t="shared" si="43"/>
        <v>-5.6631662793938276E-2</v>
      </c>
      <c r="O86" s="76">
        <f t="shared" si="44"/>
        <v>-0.3273379173405922</v>
      </c>
      <c r="P86" s="77">
        <f t="shared" si="45"/>
        <v>-7.7592961178155895E-2</v>
      </c>
      <c r="Q86" s="76">
        <f t="shared" si="46"/>
        <v>-0.22737061725698493</v>
      </c>
      <c r="R86" s="75">
        <f t="shared" si="47"/>
        <v>-0.16993093087893313</v>
      </c>
    </row>
    <row r="87" spans="2:18">
      <c r="B87" s="81"/>
      <c r="C87">
        <v>6</v>
      </c>
      <c r="D87">
        <v>112</v>
      </c>
      <c r="E87">
        <v>0.462666666666667</v>
      </c>
      <c r="F87" s="78"/>
      <c r="G87" s="75">
        <f t="shared" si="36"/>
        <v>0.106825612801976</v>
      </c>
      <c r="H87" s="76">
        <f t="shared" si="37"/>
        <v>-0.41666666666666669</v>
      </c>
      <c r="I87" s="75">
        <f t="shared" si="38"/>
        <v>-0.37234042553191493</v>
      </c>
      <c r="J87" s="75">
        <f t="shared" si="39"/>
        <v>-0.37664840738486488</v>
      </c>
      <c r="K87" s="76">
        <f t="shared" si="40"/>
        <v>-0.20737715724026351</v>
      </c>
      <c r="L87" s="77">
        <f t="shared" si="41"/>
        <v>-6.6743830239996194E-2</v>
      </c>
      <c r="M87" s="76">
        <f t="shared" si="42"/>
        <v>-0.17887547862979111</v>
      </c>
      <c r="N87" s="77">
        <f t="shared" si="43"/>
        <v>-2.7589971040583361E-2</v>
      </c>
      <c r="O87" s="76">
        <f t="shared" si="44"/>
        <v>-0.3273379173405922</v>
      </c>
      <c r="P87" s="77">
        <f t="shared" si="45"/>
        <v>-4.4912757261761971E-2</v>
      </c>
      <c r="Q87" s="76">
        <f t="shared" si="46"/>
        <v>-0.20737715724026351</v>
      </c>
      <c r="R87" s="75">
        <f t="shared" si="47"/>
        <v>-0.17356944304197219</v>
      </c>
    </row>
    <row r="88" spans="2:18">
      <c r="B88" s="81"/>
      <c r="C88">
        <v>6</v>
      </c>
      <c r="D88">
        <v>128</v>
      </c>
      <c r="E88">
        <v>0.50433333333333297</v>
      </c>
      <c r="F88" s="78"/>
      <c r="G88" s="75">
        <f t="shared" si="36"/>
        <v>0.12878811543396074</v>
      </c>
      <c r="H88" s="76">
        <f t="shared" si="37"/>
        <v>-0.41666666666666669</v>
      </c>
      <c r="I88" s="75">
        <f t="shared" si="38"/>
        <v>-0.35106382978723405</v>
      </c>
      <c r="J88" s="75">
        <f t="shared" si="39"/>
        <v>-0.35128829377155635</v>
      </c>
      <c r="K88" s="76">
        <f t="shared" si="40"/>
        <v>-0.18738369722354203</v>
      </c>
      <c r="L88" s="77">
        <f t="shared" si="41"/>
        <v>-4.8419839771050466E-2</v>
      </c>
      <c r="M88" s="76">
        <f t="shared" si="42"/>
        <v>-0.15888201861306964</v>
      </c>
      <c r="N88" s="77">
        <f t="shared" si="43"/>
        <v>-9.2659805716376886E-3</v>
      </c>
      <c r="O88" s="76">
        <f t="shared" si="44"/>
        <v>-0.3273379173405922</v>
      </c>
      <c r="P88" s="77">
        <f t="shared" si="45"/>
        <v>-2.2950254629777234E-2</v>
      </c>
      <c r="Q88" s="76">
        <f t="shared" si="46"/>
        <v>-0.18738369722354203</v>
      </c>
      <c r="R88" s="75">
        <f t="shared" si="47"/>
        <v>-0.1772079552050112</v>
      </c>
    </row>
    <row r="89" spans="2:18">
      <c r="B89" s="81"/>
      <c r="C89">
        <v>6</v>
      </c>
      <c r="D89">
        <v>144</v>
      </c>
      <c r="E89">
        <v>0.57733333333333303</v>
      </c>
      <c r="F89" s="78"/>
      <c r="G89" s="75">
        <f t="shared" si="36"/>
        <v>0.16726642004519882</v>
      </c>
      <c r="H89" s="76">
        <f t="shared" si="37"/>
        <v>-0.41666666666666669</v>
      </c>
      <c r="I89" s="75">
        <f t="shared" si="38"/>
        <v>-0.32978723404255317</v>
      </c>
      <c r="J89" s="75">
        <f t="shared" si="39"/>
        <v>-0.30685737472103891</v>
      </c>
      <c r="K89" s="76">
        <f t="shared" si="40"/>
        <v>-0.16739023720682053</v>
      </c>
      <c r="L89" s="77">
        <f t="shared" si="41"/>
        <v>-1.3580047322851452E-2</v>
      </c>
      <c r="M89" s="76">
        <f t="shared" si="42"/>
        <v>-0.13888855859634813</v>
      </c>
      <c r="N89" s="77">
        <f t="shared" si="43"/>
        <v>2.5573811876561381E-2</v>
      </c>
      <c r="O89" s="76">
        <f t="shared" si="44"/>
        <v>-0.3273379173405922</v>
      </c>
      <c r="P89" s="77">
        <f t="shared" si="45"/>
        <v>1.5528049981460845E-2</v>
      </c>
      <c r="Q89" s="76">
        <f t="shared" si="46"/>
        <v>-0.16739023720682056</v>
      </c>
      <c r="R89" s="75">
        <f t="shared" si="47"/>
        <v>-0.18084646736805027</v>
      </c>
    </row>
    <row r="90" spans="2:18">
      <c r="B90" s="81"/>
      <c r="C90">
        <v>6</v>
      </c>
      <c r="D90">
        <v>160</v>
      </c>
      <c r="E90">
        <v>0.63966666666666705</v>
      </c>
      <c r="F90" s="78"/>
      <c r="G90" s="75">
        <f t="shared" si="36"/>
        <v>0.20012232398264893</v>
      </c>
      <c r="H90" s="76">
        <f t="shared" si="37"/>
        <v>-0.41666666666666669</v>
      </c>
      <c r="I90" s="75">
        <f t="shared" si="38"/>
        <v>-0.30851063829787234</v>
      </c>
      <c r="J90" s="75">
        <f t="shared" si="39"/>
        <v>-0.26891864475552829</v>
      </c>
      <c r="K90" s="76">
        <f t="shared" si="40"/>
        <v>-0.14739677719009911</v>
      </c>
      <c r="L90" s="77">
        <f t="shared" si="41"/>
        <v>1.5637344451559648E-2</v>
      </c>
      <c r="M90" s="76">
        <f t="shared" si="42"/>
        <v>-0.11889509857962671</v>
      </c>
      <c r="N90" s="77">
        <f t="shared" si="43"/>
        <v>5.4791203650972481E-2</v>
      </c>
      <c r="O90" s="76">
        <f t="shared" si="44"/>
        <v>-0.3273379173405922</v>
      </c>
      <c r="P90" s="77">
        <f t="shared" si="45"/>
        <v>4.8383953918910955E-2</v>
      </c>
      <c r="Q90" s="76">
        <f t="shared" si="46"/>
        <v>-0.14739677719009914</v>
      </c>
      <c r="R90" s="75">
        <f t="shared" si="47"/>
        <v>-0.18448497953108928</v>
      </c>
    </row>
    <row r="91" spans="2:18">
      <c r="B91" s="81"/>
      <c r="C91">
        <v>6</v>
      </c>
      <c r="D91">
        <v>176</v>
      </c>
      <c r="E91">
        <v>0.68633333333333302</v>
      </c>
      <c r="F91" s="78"/>
      <c r="G91" s="75">
        <f t="shared" si="36"/>
        <v>0.22472032693047195</v>
      </c>
      <c r="H91" s="76">
        <f t="shared" si="37"/>
        <v>-0.41666666666666669</v>
      </c>
      <c r="I91" s="75">
        <f t="shared" si="38"/>
        <v>-0.28723404255319152</v>
      </c>
      <c r="J91" s="75">
        <f t="shared" si="39"/>
        <v>-0.24051531750862265</v>
      </c>
      <c r="K91" s="76">
        <f t="shared" si="40"/>
        <v>-0.12740331717337763</v>
      </c>
      <c r="L91" s="77">
        <f t="shared" si="41"/>
        <v>3.6596835236343661E-2</v>
      </c>
      <c r="M91" s="76">
        <f t="shared" si="42"/>
        <v>-9.8901638562905236E-2</v>
      </c>
      <c r="N91" s="77">
        <f t="shared" si="43"/>
        <v>7.5750694435756438E-2</v>
      </c>
      <c r="O91" s="76">
        <f t="shared" si="44"/>
        <v>-0.3273379173405922</v>
      </c>
      <c r="P91" s="77">
        <f t="shared" si="45"/>
        <v>7.2981956866733977E-2</v>
      </c>
      <c r="Q91" s="76">
        <f t="shared" si="46"/>
        <v>-0.12740331717337766</v>
      </c>
      <c r="R91" s="75">
        <f t="shared" si="47"/>
        <v>-0.18812349169412829</v>
      </c>
    </row>
    <row r="92" spans="2:18">
      <c r="B92" s="81"/>
      <c r="C92">
        <v>6</v>
      </c>
      <c r="D92">
        <v>192</v>
      </c>
      <c r="E92">
        <v>0.70199999999999996</v>
      </c>
      <c r="F92" s="78"/>
      <c r="G92" s="75">
        <f t="shared" si="36"/>
        <v>0.23297822792009854</v>
      </c>
      <c r="H92" s="76">
        <f t="shared" si="37"/>
        <v>-0.41666666666666669</v>
      </c>
      <c r="I92" s="75">
        <f t="shared" si="38"/>
        <v>-0.26595744680851063</v>
      </c>
      <c r="J92" s="75">
        <f t="shared" si="39"/>
        <v>-0.23097991479001828</v>
      </c>
      <c r="K92" s="76">
        <f t="shared" si="40"/>
        <v>-0.10740985715665619</v>
      </c>
      <c r="L92" s="77">
        <f t="shared" si="41"/>
        <v>4.1216224062931184E-2</v>
      </c>
      <c r="M92" s="76">
        <f t="shared" si="42"/>
        <v>-7.8908178546183788E-2</v>
      </c>
      <c r="N92" s="77">
        <f t="shared" si="43"/>
        <v>8.0370083262344016E-2</v>
      </c>
      <c r="O92" s="76">
        <f t="shared" si="44"/>
        <v>-0.3273379173405922</v>
      </c>
      <c r="P92" s="77">
        <f t="shared" si="45"/>
        <v>8.1239857856360564E-2</v>
      </c>
      <c r="Q92" s="76">
        <f t="shared" si="46"/>
        <v>-0.10740985715665621</v>
      </c>
      <c r="R92" s="75">
        <f t="shared" si="47"/>
        <v>-0.19176200385716735</v>
      </c>
    </row>
    <row r="93" spans="2:18">
      <c r="B93" s="81"/>
      <c r="C93">
        <v>6</v>
      </c>
      <c r="D93">
        <v>208</v>
      </c>
      <c r="E93">
        <v>0.71233333333333304</v>
      </c>
      <c r="F93" s="78"/>
      <c r="G93" s="75">
        <f t="shared" si="36"/>
        <v>0.23842492857283071</v>
      </c>
      <c r="H93" s="76">
        <f t="shared" si="37"/>
        <v>-0.41666666666666669</v>
      </c>
      <c r="I93" s="75">
        <f t="shared" si="38"/>
        <v>-0.24468085106382981</v>
      </c>
      <c r="J93" s="75">
        <f t="shared" si="39"/>
        <v>-0.22469060661391782</v>
      </c>
      <c r="K93" s="76">
        <f t="shared" si="40"/>
        <v>-8.7416397139934737E-2</v>
      </c>
      <c r="L93" s="77">
        <f t="shared" si="41"/>
        <v>4.3024412552624347E-2</v>
      </c>
      <c r="M93" s="76">
        <f t="shared" si="42"/>
        <v>-5.891471852946234E-2</v>
      </c>
      <c r="N93" s="77">
        <f t="shared" si="43"/>
        <v>8.2178271752037124E-2</v>
      </c>
      <c r="O93" s="76">
        <f t="shared" si="44"/>
        <v>-0.32733791734059214</v>
      </c>
      <c r="P93" s="77">
        <f t="shared" si="45"/>
        <v>8.6686558509092737E-2</v>
      </c>
      <c r="Q93" s="76">
        <f t="shared" si="46"/>
        <v>-8.7416397139934765E-2</v>
      </c>
      <c r="R93" s="75">
        <f t="shared" si="47"/>
        <v>-0.19540051602020636</v>
      </c>
    </row>
    <row r="94" spans="2:18">
      <c r="B94" s="81"/>
      <c r="C94">
        <v>6</v>
      </c>
      <c r="D94">
        <v>224</v>
      </c>
      <c r="E94">
        <v>0.71766666666666701</v>
      </c>
      <c r="F94" s="78"/>
      <c r="G94" s="75">
        <f t="shared" si="36"/>
        <v>0.24123612890972515</v>
      </c>
      <c r="H94" s="76">
        <f t="shared" si="37"/>
        <v>-0.41666666666666669</v>
      </c>
      <c r="I94" s="75">
        <f t="shared" si="38"/>
        <v>-0.22340425531914893</v>
      </c>
      <c r="J94" s="75">
        <f t="shared" si="39"/>
        <v>-0.22144451207141386</v>
      </c>
      <c r="K94" s="76">
        <f t="shared" si="40"/>
        <v>-6.7422937123213261E-2</v>
      </c>
      <c r="L94" s="77">
        <f t="shared" si="41"/>
        <v>4.2197100726479753E-2</v>
      </c>
      <c r="M94" s="76">
        <f t="shared" si="42"/>
        <v>-3.8921258512740864E-2</v>
      </c>
      <c r="N94" s="77">
        <f t="shared" si="43"/>
        <v>8.1350959925892558E-2</v>
      </c>
      <c r="O94" s="76">
        <f t="shared" si="44"/>
        <v>-0.32733791734059214</v>
      </c>
      <c r="P94" s="77">
        <f t="shared" si="45"/>
        <v>8.949775884598718E-2</v>
      </c>
      <c r="Q94" s="76">
        <f t="shared" si="46"/>
        <v>-6.7422937123213289E-2</v>
      </c>
      <c r="R94" s="75">
        <f t="shared" si="47"/>
        <v>-0.1990390281832454</v>
      </c>
    </row>
    <row r="95" spans="2:18">
      <c r="B95" s="81"/>
      <c r="C95">
        <v>6</v>
      </c>
      <c r="D95">
        <v>240</v>
      </c>
      <c r="E95">
        <v>0.749</v>
      </c>
      <c r="F95" s="78"/>
      <c r="G95" s="75">
        <f t="shared" si="36"/>
        <v>0.2577519308889778</v>
      </c>
      <c r="H95" s="76">
        <f t="shared" si="37"/>
        <v>-0.41666666666666669</v>
      </c>
      <c r="I95" s="75">
        <f t="shared" si="38"/>
        <v>-0.2021276595744681</v>
      </c>
      <c r="J95" s="75">
        <f t="shared" si="39"/>
        <v>-0.20237370663420573</v>
      </c>
      <c r="K95" s="76">
        <f t="shared" si="40"/>
        <v>-4.7429477106491841E-2</v>
      </c>
      <c r="L95" s="77">
        <f t="shared" si="41"/>
        <v>5.5074390542693363E-2</v>
      </c>
      <c r="M95" s="76">
        <f t="shared" si="42"/>
        <v>-1.892779849601944E-2</v>
      </c>
      <c r="N95" s="77">
        <f t="shared" si="43"/>
        <v>9.4228249742106196E-2</v>
      </c>
      <c r="O95" s="76">
        <f t="shared" si="44"/>
        <v>-0.32733791734059214</v>
      </c>
      <c r="P95" s="77">
        <f t="shared" si="45"/>
        <v>0.10601356082523983</v>
      </c>
      <c r="Q95" s="76">
        <f t="shared" si="46"/>
        <v>-4.7429477106491875E-2</v>
      </c>
      <c r="R95" s="75">
        <f t="shared" si="47"/>
        <v>-0.20267754034628443</v>
      </c>
    </row>
    <row r="96" spans="2:18">
      <c r="B96" s="81"/>
      <c r="C96">
        <v>6</v>
      </c>
      <c r="D96">
        <v>256</v>
      </c>
      <c r="E96">
        <v>0.78500000000000003</v>
      </c>
      <c r="F96" s="78"/>
      <c r="G96" s="75">
        <f t="shared" si="36"/>
        <v>0.27672753316301302</v>
      </c>
      <c r="H96" s="76">
        <f t="shared" si="37"/>
        <v>-0.41666666666666669</v>
      </c>
      <c r="I96" s="75">
        <f t="shared" si="38"/>
        <v>-0.18085106382978722</v>
      </c>
      <c r="J96" s="75">
        <f t="shared" si="39"/>
        <v>-0.18046256847230674</v>
      </c>
      <c r="K96" s="76">
        <f t="shared" si="40"/>
        <v>-2.7436017089770358E-2</v>
      </c>
      <c r="L96" s="77">
        <f t="shared" si="41"/>
        <v>7.0411480653689518E-2</v>
      </c>
      <c r="M96" s="76">
        <f t="shared" si="42"/>
        <v>1.0656615207020382E-3</v>
      </c>
      <c r="N96" s="77">
        <f t="shared" si="43"/>
        <v>0.10956533985310232</v>
      </c>
      <c r="O96" s="76">
        <f t="shared" si="44"/>
        <v>-0.32733791734059214</v>
      </c>
      <c r="P96" s="77">
        <f t="shared" si="45"/>
        <v>0.12498916309927502</v>
      </c>
      <c r="Q96" s="76">
        <f t="shared" si="46"/>
        <v>-2.7436017089770399E-2</v>
      </c>
      <c r="R96" s="75">
        <f t="shared" si="47"/>
        <v>-0.20631605250932347</v>
      </c>
    </row>
    <row r="97" spans="2:18">
      <c r="B97" s="81"/>
      <c r="C97">
        <v>6</v>
      </c>
      <c r="D97">
        <v>272</v>
      </c>
      <c r="E97">
        <v>0.82166666666666699</v>
      </c>
      <c r="F97" s="78"/>
      <c r="G97" s="75">
        <f t="shared" si="36"/>
        <v>0.29605453547916005</v>
      </c>
      <c r="H97" s="76">
        <f t="shared" si="37"/>
        <v>-0.41666666666666669</v>
      </c>
      <c r="I97" s="75">
        <f t="shared" si="38"/>
        <v>-0.15957446808510639</v>
      </c>
      <c r="J97" s="75">
        <f t="shared" si="39"/>
        <v>-0.15814566849259465</v>
      </c>
      <c r="K97" s="76">
        <f t="shared" si="40"/>
        <v>-7.4425570730489079E-3</v>
      </c>
      <c r="L97" s="77">
        <f t="shared" si="41"/>
        <v>8.6099970806797599E-2</v>
      </c>
      <c r="M97" s="76">
        <f t="shared" si="42"/>
        <v>2.1059121537423488E-2</v>
      </c>
      <c r="N97" s="77">
        <f t="shared" si="43"/>
        <v>0.1252538300062104</v>
      </c>
      <c r="O97" s="76">
        <f t="shared" si="44"/>
        <v>-0.32733791734059214</v>
      </c>
      <c r="P97" s="77">
        <f t="shared" si="45"/>
        <v>0.14431616541542211</v>
      </c>
      <c r="Q97" s="76">
        <f t="shared" si="46"/>
        <v>-7.4425570730489504E-3</v>
      </c>
      <c r="R97" s="75">
        <f t="shared" si="47"/>
        <v>-0.20995456467236248</v>
      </c>
    </row>
    <row r="98" spans="2:18">
      <c r="B98" s="81"/>
      <c r="C98">
        <v>6</v>
      </c>
      <c r="D98">
        <v>288</v>
      </c>
      <c r="E98">
        <v>0.84233333333333305</v>
      </c>
      <c r="F98" s="78"/>
      <c r="G98" s="75">
        <f t="shared" si="36"/>
        <v>0.3069479367846244</v>
      </c>
      <c r="H98" s="76">
        <f t="shared" si="37"/>
        <v>-0.41666666666666669</v>
      </c>
      <c r="I98" s="75">
        <f t="shared" si="38"/>
        <v>-0.13829787234042551</v>
      </c>
      <c r="J98" s="75">
        <f t="shared" si="39"/>
        <v>-0.14556705214039378</v>
      </c>
      <c r="K98" s="76">
        <f t="shared" si="40"/>
        <v>1.255090294367257E-2</v>
      </c>
      <c r="L98" s="77">
        <f t="shared" si="41"/>
        <v>9.3354859949222879E-2</v>
      </c>
      <c r="M98" s="76">
        <f t="shared" si="42"/>
        <v>4.1052581554144964E-2</v>
      </c>
      <c r="N98" s="77">
        <f t="shared" si="43"/>
        <v>0.13250871914863566</v>
      </c>
      <c r="O98" s="76">
        <f t="shared" si="44"/>
        <v>-0.32733791734059214</v>
      </c>
      <c r="P98" s="77">
        <f t="shared" si="45"/>
        <v>0.15520956672088643</v>
      </c>
      <c r="Q98" s="76">
        <f t="shared" si="46"/>
        <v>1.2550902943672526E-2</v>
      </c>
      <c r="R98" s="75">
        <f t="shared" si="47"/>
        <v>-0.21359307683540152</v>
      </c>
    </row>
    <row r="99" spans="2:18">
      <c r="B99" s="81"/>
      <c r="C99">
        <v>6</v>
      </c>
      <c r="D99">
        <v>304</v>
      </c>
      <c r="E99">
        <v>0.86333333333333295</v>
      </c>
      <c r="F99" s="78"/>
      <c r="G99" s="75">
        <f t="shared" si="36"/>
        <v>0.31801703811114485</v>
      </c>
      <c r="H99" s="76">
        <f t="shared" si="37"/>
        <v>-0.41666666666666669</v>
      </c>
      <c r="I99" s="75">
        <f t="shared" si="38"/>
        <v>-0.11702127659574468</v>
      </c>
      <c r="J99" s="75">
        <f t="shared" si="39"/>
        <v>-0.13278555487928612</v>
      </c>
      <c r="K99" s="76">
        <f t="shared" si="40"/>
        <v>3.2544362960394008E-2</v>
      </c>
      <c r="L99" s="77">
        <f t="shared" si="41"/>
        <v>0.10078544911270429</v>
      </c>
      <c r="M99" s="76">
        <f t="shared" si="42"/>
        <v>6.1046041570866405E-2</v>
      </c>
      <c r="N99" s="77">
        <f t="shared" si="43"/>
        <v>0.13993930831211709</v>
      </c>
      <c r="O99" s="76">
        <f t="shared" si="44"/>
        <v>-0.32733791734059214</v>
      </c>
      <c r="P99" s="77">
        <f t="shared" si="45"/>
        <v>0.16627866804740687</v>
      </c>
      <c r="Q99" s="76">
        <f t="shared" si="46"/>
        <v>3.2544362960393959E-2</v>
      </c>
      <c r="R99" s="75">
        <f t="shared" si="47"/>
        <v>-0.21723158899844056</v>
      </c>
    </row>
    <row r="100" spans="2:18">
      <c r="B100" s="81"/>
      <c r="C100">
        <v>6</v>
      </c>
      <c r="D100">
        <v>320</v>
      </c>
      <c r="E100">
        <v>0.89966666666666695</v>
      </c>
      <c r="F100" s="78"/>
      <c r="G100" s="75">
        <f t="shared" si="36"/>
        <v>0.33716834040623628</v>
      </c>
      <c r="H100" s="76">
        <f t="shared" si="37"/>
        <v>-0.41666666666666669</v>
      </c>
      <c r="I100" s="75">
        <f t="shared" si="38"/>
        <v>-9.5744680851063857E-2</v>
      </c>
      <c r="J100" s="75">
        <f t="shared" si="39"/>
        <v>-0.11067153580848027</v>
      </c>
      <c r="K100" s="76">
        <f t="shared" si="40"/>
        <v>5.2537822977115428E-2</v>
      </c>
      <c r="L100" s="77">
        <f t="shared" si="41"/>
        <v>0.1162982392447567</v>
      </c>
      <c r="M100" s="76">
        <f t="shared" si="42"/>
        <v>8.1039501587587826E-2</v>
      </c>
      <c r="N100" s="77">
        <f t="shared" si="43"/>
        <v>0.15545209844416952</v>
      </c>
      <c r="O100" s="76">
        <f t="shared" si="44"/>
        <v>-0.32733791734059214</v>
      </c>
      <c r="P100" s="77">
        <f t="shared" si="45"/>
        <v>0.18542997034249831</v>
      </c>
      <c r="Q100" s="76">
        <f t="shared" si="46"/>
        <v>5.253782297711538E-2</v>
      </c>
      <c r="R100" s="75">
        <f t="shared" si="47"/>
        <v>-0.22087010116147957</v>
      </c>
    </row>
    <row r="101" spans="2:18">
      <c r="B101" s="81"/>
      <c r="C101">
        <v>6</v>
      </c>
      <c r="D101">
        <v>336</v>
      </c>
      <c r="E101">
        <v>0.90466666666666695</v>
      </c>
      <c r="F101" s="78"/>
      <c r="G101" s="75">
        <f t="shared" si="36"/>
        <v>0.33980384072207448</v>
      </c>
      <c r="H101" s="76">
        <f t="shared" si="37"/>
        <v>-0.41666666666666669</v>
      </c>
      <c r="I101" s="75">
        <f t="shared" si="38"/>
        <v>-7.4468085106382975E-2</v>
      </c>
      <c r="J101" s="75">
        <f t="shared" si="39"/>
        <v>-0.10762832217488316</v>
      </c>
      <c r="K101" s="76">
        <f t="shared" si="40"/>
        <v>7.2531282993836918E-2</v>
      </c>
      <c r="L101" s="77">
        <f t="shared" si="41"/>
        <v>0.1152952273975559</v>
      </c>
      <c r="M101" s="76">
        <f t="shared" si="42"/>
        <v>0.10103296160430932</v>
      </c>
      <c r="N101" s="77">
        <f t="shared" si="43"/>
        <v>0.15444908659696871</v>
      </c>
      <c r="O101" s="76">
        <f t="shared" si="44"/>
        <v>-0.32733791734059214</v>
      </c>
      <c r="P101" s="77">
        <f t="shared" si="45"/>
        <v>0.18806547065833654</v>
      </c>
      <c r="Q101" s="76">
        <f t="shared" si="46"/>
        <v>7.2531282993836876E-2</v>
      </c>
      <c r="R101" s="75">
        <f t="shared" si="47"/>
        <v>-0.2245086133245186</v>
      </c>
    </row>
    <row r="102" spans="2:18">
      <c r="B102" s="81"/>
      <c r="C102">
        <v>6</v>
      </c>
      <c r="D102">
        <v>352</v>
      </c>
      <c r="E102">
        <v>0.920333333333333</v>
      </c>
      <c r="F102" s="78"/>
      <c r="G102" s="75">
        <f t="shared" si="36"/>
        <v>0.34806174171170062</v>
      </c>
      <c r="H102" s="76">
        <f t="shared" si="37"/>
        <v>-0.41666666666666669</v>
      </c>
      <c r="I102" s="75">
        <f t="shared" si="38"/>
        <v>-5.3191489361702149E-2</v>
      </c>
      <c r="J102" s="75">
        <f t="shared" si="39"/>
        <v>-9.8092919456279348E-2</v>
      </c>
      <c r="K102" s="76">
        <f t="shared" si="40"/>
        <v>9.2524743010558338E-2</v>
      </c>
      <c r="L102" s="77">
        <f t="shared" si="41"/>
        <v>0.11991461622414297</v>
      </c>
      <c r="M102" s="76">
        <f t="shared" si="42"/>
        <v>0.12102642162103074</v>
      </c>
      <c r="N102" s="77">
        <f t="shared" si="43"/>
        <v>0.15906847542355579</v>
      </c>
      <c r="O102" s="76">
        <f t="shared" si="44"/>
        <v>-0.32733791734059214</v>
      </c>
      <c r="P102" s="77">
        <f t="shared" si="45"/>
        <v>0.19632337164796265</v>
      </c>
      <c r="Q102" s="76">
        <f t="shared" si="46"/>
        <v>9.2524743010558297E-2</v>
      </c>
      <c r="R102" s="75">
        <f t="shared" si="47"/>
        <v>-0.22814712548755764</v>
      </c>
    </row>
    <row r="103" spans="2:18">
      <c r="B103" s="81"/>
      <c r="C103">
        <v>6</v>
      </c>
      <c r="D103">
        <v>368</v>
      </c>
      <c r="E103">
        <v>1.0296666666666701</v>
      </c>
      <c r="F103" s="78"/>
      <c r="G103" s="75">
        <f t="shared" si="36"/>
        <v>0.40569134861803158</v>
      </c>
      <c r="H103" s="76">
        <f t="shared" si="37"/>
        <v>-0.41666666666666669</v>
      </c>
      <c r="I103" s="75">
        <f t="shared" si="38"/>
        <v>-3.1914893617021267E-2</v>
      </c>
      <c r="J103" s="75">
        <f t="shared" si="39"/>
        <v>-3.1547981334954345E-2</v>
      </c>
      <c r="K103" s="76">
        <f t="shared" si="40"/>
        <v>0.11251820302727984</v>
      </c>
      <c r="L103" s="77">
        <f t="shared" si="41"/>
        <v>0.1739057109674349</v>
      </c>
      <c r="M103" s="76">
        <f t="shared" si="42"/>
        <v>0.14101988163775225</v>
      </c>
      <c r="N103" s="77">
        <f t="shared" si="43"/>
        <v>0.21305957016684771</v>
      </c>
      <c r="O103" s="76">
        <f t="shared" si="44"/>
        <v>-0.32733791734059214</v>
      </c>
      <c r="P103" s="77">
        <f t="shared" si="45"/>
        <v>0.25395297855429361</v>
      </c>
      <c r="Q103" s="76">
        <f t="shared" si="46"/>
        <v>0.11251820302727979</v>
      </c>
      <c r="R103" s="75">
        <f t="shared" si="47"/>
        <v>-0.23178563765059668</v>
      </c>
    </row>
    <row r="104" spans="2:18">
      <c r="B104" s="81"/>
      <c r="C104">
        <v>6</v>
      </c>
      <c r="D104">
        <v>384</v>
      </c>
      <c r="E104">
        <v>1.07633333333333</v>
      </c>
      <c r="F104" s="78"/>
      <c r="G104" s="75">
        <f t="shared" ref="G104:G135" si="48">D$19*(L104-R104)</f>
        <v>0.43028935156585146</v>
      </c>
      <c r="H104" s="76">
        <f t="shared" ref="H104:H135" si="49">(C104-H$16)/H$17-0.5</f>
        <v>-0.41666666666666669</v>
      </c>
      <c r="I104" s="75">
        <f t="shared" ref="I104:I135" si="50">(D104-I$16)/I$17-0.5</f>
        <v>-1.0638297872340441E-2</v>
      </c>
      <c r="J104" s="75">
        <f t="shared" ref="J104:J135" si="51">(E104-J$16)/J$17-0.5</f>
        <v>-3.1446540880523122E-3</v>
      </c>
      <c r="K104" s="76">
        <f t="shared" ref="K104:K135" si="52">(H104*$H$13+I104*$I$13+J104*$J$13+$D$27)*$C$27</f>
        <v>0.13251166304400128</v>
      </c>
      <c r="L104" s="77">
        <f t="shared" ref="L104:L135" si="53">(H104*$H$14+I104*$I$14+J104*$J$14+$E$27)*$C$27</f>
        <v>0.19486520175221575</v>
      </c>
      <c r="M104" s="76">
        <f t="shared" ref="M104:M135" si="54">(H$27*$H$13+I104*$I$13+J104*$J$13+$D$27)*$C$27</f>
        <v>0.16101334165447367</v>
      </c>
      <c r="N104" s="77">
        <f t="shared" ref="N104:N135" si="55">(H$27*$H$14+I104*$I$14+J104*$J$14+$E$27)*$C$27</f>
        <v>0.23401906095162855</v>
      </c>
      <c r="O104" s="76">
        <f t="shared" ref="O104:O135" si="56">(H104*$H$13+I$27*$I$13+J104*$J$13+$D$27)*$C$27</f>
        <v>-0.32733791734059214</v>
      </c>
      <c r="P104" s="77">
        <f t="shared" ref="P104:P135" si="57">(H104*$H$14+I$27*$I$14+J104*$J$14+$E$27)*$C$27</f>
        <v>0.27855098150211349</v>
      </c>
      <c r="Q104" s="76">
        <f t="shared" ref="Q104:Q135" si="58">(H104*$H$13+I104*$I$13+J$27*$J$13+$D$27)*$C$27</f>
        <v>0.13251166304400122</v>
      </c>
      <c r="R104" s="75">
        <f t="shared" ref="R104:R135" si="59">(H104*$H$14+I104*$I$14+J$27*$J$14+$E$27)*$C$27</f>
        <v>-0.23542414981363571</v>
      </c>
    </row>
    <row r="105" spans="2:18">
      <c r="B105" s="81"/>
      <c r="C105">
        <v>6</v>
      </c>
      <c r="D105">
        <v>400</v>
      </c>
      <c r="E105">
        <v>0.93600000000000005</v>
      </c>
      <c r="F105" s="78"/>
      <c r="G105" s="75">
        <f t="shared" si="48"/>
        <v>0.35631964270132721</v>
      </c>
      <c r="H105" s="76">
        <f t="shared" si="49"/>
        <v>-0.41666666666666669</v>
      </c>
      <c r="I105" s="75">
        <f t="shared" si="50"/>
        <v>1.0638297872340385E-2</v>
      </c>
      <c r="J105" s="75">
        <f t="shared" si="51"/>
        <v>-8.8557516737674979E-2</v>
      </c>
      <c r="K105" s="76">
        <f t="shared" si="52"/>
        <v>0.1525051230607227</v>
      </c>
      <c r="L105" s="77">
        <f t="shared" si="53"/>
        <v>0.11725698072465247</v>
      </c>
      <c r="M105" s="76">
        <f t="shared" si="54"/>
        <v>0.18100680167119509</v>
      </c>
      <c r="N105" s="77">
        <f t="shared" si="55"/>
        <v>0.15641083992406529</v>
      </c>
      <c r="O105" s="76">
        <f t="shared" si="56"/>
        <v>-0.32733791734059214</v>
      </c>
      <c r="P105" s="77">
        <f t="shared" si="57"/>
        <v>0.20458127263758924</v>
      </c>
      <c r="Q105" s="76">
        <f t="shared" si="58"/>
        <v>0.15250512306072264</v>
      </c>
      <c r="R105" s="75">
        <f t="shared" si="59"/>
        <v>-0.23906266197667472</v>
      </c>
    </row>
    <row r="106" spans="2:18">
      <c r="B106" s="81"/>
      <c r="C106">
        <v>6</v>
      </c>
      <c r="D106">
        <v>416</v>
      </c>
      <c r="E106">
        <v>0.96733333333333305</v>
      </c>
      <c r="F106" s="78"/>
      <c r="G106" s="75">
        <f t="shared" si="48"/>
        <v>0.37283544468057989</v>
      </c>
      <c r="H106" s="76">
        <f t="shared" si="49"/>
        <v>-0.41666666666666669</v>
      </c>
      <c r="I106" s="75">
        <f t="shared" si="50"/>
        <v>3.1914893617021267E-2</v>
      </c>
      <c r="J106" s="75">
        <f t="shared" si="51"/>
        <v>-6.9486711300466797E-2</v>
      </c>
      <c r="K106" s="76">
        <f t="shared" si="52"/>
        <v>0.1724985830774442</v>
      </c>
      <c r="L106" s="77">
        <f t="shared" si="53"/>
        <v>0.13013427054086613</v>
      </c>
      <c r="M106" s="76">
        <f t="shared" si="54"/>
        <v>0.20100026168791657</v>
      </c>
      <c r="N106" s="77">
        <f t="shared" si="55"/>
        <v>0.16928812974027893</v>
      </c>
      <c r="O106" s="76">
        <f t="shared" si="56"/>
        <v>-0.32733791734059214</v>
      </c>
      <c r="P106" s="77">
        <f t="shared" si="57"/>
        <v>0.22109707461684192</v>
      </c>
      <c r="Q106" s="76">
        <f t="shared" si="58"/>
        <v>0.17249858307744415</v>
      </c>
      <c r="R106" s="75">
        <f t="shared" si="59"/>
        <v>-0.24270117413971376</v>
      </c>
    </row>
    <row r="107" spans="2:18">
      <c r="B107" s="81"/>
      <c r="C107">
        <v>6</v>
      </c>
      <c r="D107">
        <v>432</v>
      </c>
      <c r="E107">
        <v>0.98799999999999999</v>
      </c>
      <c r="F107" s="78"/>
      <c r="G107" s="75">
        <f t="shared" si="48"/>
        <v>0.38372884598604462</v>
      </c>
      <c r="H107" s="76">
        <f t="shared" si="49"/>
        <v>-0.41666666666666669</v>
      </c>
      <c r="I107" s="75">
        <f t="shared" si="50"/>
        <v>5.3191489361702149E-2</v>
      </c>
      <c r="J107" s="75">
        <f t="shared" si="51"/>
        <v>-5.6908094948265375E-2</v>
      </c>
      <c r="K107" s="76">
        <f t="shared" si="52"/>
        <v>0.19249204309416568</v>
      </c>
      <c r="L107" s="77">
        <f t="shared" si="53"/>
        <v>0.13738915968329185</v>
      </c>
      <c r="M107" s="76">
        <f t="shared" si="54"/>
        <v>0.22099372170463807</v>
      </c>
      <c r="N107" s="77">
        <f t="shared" si="55"/>
        <v>0.17654301888270466</v>
      </c>
      <c r="O107" s="76">
        <f t="shared" si="56"/>
        <v>-0.32733791734059214</v>
      </c>
      <c r="P107" s="77">
        <f t="shared" si="57"/>
        <v>0.23199047592230668</v>
      </c>
      <c r="Q107" s="76">
        <f t="shared" si="58"/>
        <v>0.19249204309416562</v>
      </c>
      <c r="R107" s="75">
        <f t="shared" si="59"/>
        <v>-0.2463396863027528</v>
      </c>
    </row>
    <row r="108" spans="2:18">
      <c r="B108" s="81"/>
      <c r="C108">
        <v>6</v>
      </c>
      <c r="D108">
        <v>448</v>
      </c>
      <c r="E108">
        <v>1.02433333333333</v>
      </c>
      <c r="F108" s="78"/>
      <c r="G108" s="75">
        <f t="shared" si="48"/>
        <v>0.40288014828113394</v>
      </c>
      <c r="H108" s="76">
        <f t="shared" si="49"/>
        <v>-0.41666666666666669</v>
      </c>
      <c r="I108" s="75">
        <f t="shared" si="50"/>
        <v>7.4468085106383031E-2</v>
      </c>
      <c r="J108" s="75">
        <f t="shared" si="51"/>
        <v>-3.4794075877461972E-2</v>
      </c>
      <c r="K108" s="76">
        <f t="shared" si="52"/>
        <v>0.21248550311088715</v>
      </c>
      <c r="L108" s="77">
        <f t="shared" si="53"/>
        <v>0.15290194981534211</v>
      </c>
      <c r="M108" s="76">
        <f t="shared" si="54"/>
        <v>0.24098718172135955</v>
      </c>
      <c r="N108" s="77">
        <f t="shared" si="55"/>
        <v>0.19205580901475491</v>
      </c>
      <c r="O108" s="76">
        <f t="shared" si="56"/>
        <v>-0.32733791734059214</v>
      </c>
      <c r="P108" s="77">
        <f t="shared" si="57"/>
        <v>0.25114177821739597</v>
      </c>
      <c r="Q108" s="76">
        <f t="shared" si="58"/>
        <v>0.2124855031108871</v>
      </c>
      <c r="R108" s="75">
        <f t="shared" si="59"/>
        <v>-0.24997819846579183</v>
      </c>
    </row>
    <row r="109" spans="2:18">
      <c r="B109" s="81"/>
      <c r="C109">
        <v>6</v>
      </c>
      <c r="D109">
        <v>464</v>
      </c>
      <c r="E109">
        <v>1.0920000000000001</v>
      </c>
      <c r="F109" s="78"/>
      <c r="G109" s="75">
        <f t="shared" si="48"/>
        <v>0.43854725255547966</v>
      </c>
      <c r="H109" s="76">
        <f t="shared" si="49"/>
        <v>-0.41666666666666669</v>
      </c>
      <c r="I109" s="75">
        <f t="shared" si="50"/>
        <v>9.5744680851063801E-2</v>
      </c>
      <c r="J109" s="75">
        <f t="shared" si="51"/>
        <v>6.3907486305538885E-3</v>
      </c>
      <c r="K109" s="76">
        <f t="shared" si="52"/>
        <v>0.23247896312760852</v>
      </c>
      <c r="L109" s="77">
        <f t="shared" si="53"/>
        <v>0.18493054192664879</v>
      </c>
      <c r="M109" s="76">
        <f t="shared" si="54"/>
        <v>0.26098064173808094</v>
      </c>
      <c r="N109" s="77">
        <f t="shared" si="55"/>
        <v>0.22408440112606159</v>
      </c>
      <c r="O109" s="76">
        <f t="shared" si="56"/>
        <v>-0.32733791734059214</v>
      </c>
      <c r="P109" s="77">
        <f t="shared" si="57"/>
        <v>0.28680888249174169</v>
      </c>
      <c r="Q109" s="76">
        <f t="shared" si="58"/>
        <v>0.23247896312760846</v>
      </c>
      <c r="R109" s="75">
        <f t="shared" si="59"/>
        <v>-0.25361671062883084</v>
      </c>
    </row>
    <row r="110" spans="2:18">
      <c r="B110" s="81"/>
      <c r="C110">
        <v>6</v>
      </c>
      <c r="D110">
        <v>480</v>
      </c>
      <c r="E110">
        <v>1.12333333333333</v>
      </c>
      <c r="F110" s="78"/>
      <c r="G110" s="75">
        <f t="shared" si="48"/>
        <v>0.45506305453473067</v>
      </c>
      <c r="H110" s="76">
        <f t="shared" si="49"/>
        <v>-0.41666666666666669</v>
      </c>
      <c r="I110" s="75">
        <f t="shared" si="50"/>
        <v>0.11702127659574468</v>
      </c>
      <c r="J110" s="75">
        <f t="shared" si="51"/>
        <v>2.5461554067760184E-2</v>
      </c>
      <c r="K110" s="76">
        <f t="shared" si="52"/>
        <v>0.25247242314432999</v>
      </c>
      <c r="L110" s="77">
        <f t="shared" si="53"/>
        <v>0.19780783174286082</v>
      </c>
      <c r="M110" s="76">
        <f t="shared" si="54"/>
        <v>0.28097410175480242</v>
      </c>
      <c r="N110" s="77">
        <f t="shared" si="55"/>
        <v>0.2369616909422736</v>
      </c>
      <c r="O110" s="76">
        <f t="shared" si="56"/>
        <v>-0.32733791734059214</v>
      </c>
      <c r="P110" s="77">
        <f t="shared" si="57"/>
        <v>0.3033246844709927</v>
      </c>
      <c r="Q110" s="76">
        <f t="shared" si="58"/>
        <v>0.25247242314432994</v>
      </c>
      <c r="R110" s="75">
        <f t="shared" si="59"/>
        <v>-0.25725522279186985</v>
      </c>
    </row>
    <row r="111" spans="2:18">
      <c r="B111" s="81"/>
      <c r="C111">
        <v>6</v>
      </c>
      <c r="D111">
        <v>496</v>
      </c>
      <c r="E111">
        <v>1.15966666666667</v>
      </c>
      <c r="F111" s="78"/>
      <c r="G111" s="75">
        <f t="shared" si="48"/>
        <v>0.47421435682982521</v>
      </c>
      <c r="H111" s="76">
        <f t="shared" si="49"/>
        <v>-0.41666666666666669</v>
      </c>
      <c r="I111" s="75">
        <f t="shared" si="50"/>
        <v>0.13829787234042556</v>
      </c>
      <c r="J111" s="75">
        <f t="shared" si="51"/>
        <v>4.7575573138569638E-2</v>
      </c>
      <c r="K111" s="76">
        <f t="shared" si="52"/>
        <v>0.27246588316105147</v>
      </c>
      <c r="L111" s="77">
        <f t="shared" si="53"/>
        <v>0.21332062187491629</v>
      </c>
      <c r="M111" s="76">
        <f t="shared" si="54"/>
        <v>0.30096756177152389</v>
      </c>
      <c r="N111" s="77">
        <f t="shared" si="55"/>
        <v>0.25247448107432913</v>
      </c>
      <c r="O111" s="76">
        <f t="shared" si="56"/>
        <v>-0.32733791734059214</v>
      </c>
      <c r="P111" s="77">
        <f t="shared" si="57"/>
        <v>0.32247598676608724</v>
      </c>
      <c r="Q111" s="76">
        <f t="shared" si="58"/>
        <v>0.27246588316105141</v>
      </c>
      <c r="R111" s="75">
        <f t="shared" si="59"/>
        <v>-0.26089373495490892</v>
      </c>
    </row>
    <row r="112" spans="2:18">
      <c r="B112" s="81"/>
      <c r="C112">
        <v>6</v>
      </c>
      <c r="D112">
        <v>512</v>
      </c>
      <c r="E112">
        <v>1.19566666666667</v>
      </c>
      <c r="F112" s="78"/>
      <c r="G112" s="75">
        <f t="shared" si="48"/>
        <v>0.49318995910386043</v>
      </c>
      <c r="H112" s="76">
        <f t="shared" si="49"/>
        <v>-0.41666666666666669</v>
      </c>
      <c r="I112" s="75">
        <f t="shared" si="50"/>
        <v>0.15957446808510634</v>
      </c>
      <c r="J112" s="75">
        <f t="shared" si="51"/>
        <v>6.9486711300468684E-2</v>
      </c>
      <c r="K112" s="76">
        <f t="shared" si="52"/>
        <v>0.29245934317777289</v>
      </c>
      <c r="L112" s="77">
        <f t="shared" si="53"/>
        <v>0.22865771198591253</v>
      </c>
      <c r="M112" s="76">
        <f t="shared" si="54"/>
        <v>0.32096102178824526</v>
      </c>
      <c r="N112" s="77">
        <f t="shared" si="55"/>
        <v>0.26781157118532534</v>
      </c>
      <c r="O112" s="76">
        <f t="shared" si="56"/>
        <v>-0.32733791734059214</v>
      </c>
      <c r="P112" s="77">
        <f t="shared" si="57"/>
        <v>0.34145158904012252</v>
      </c>
      <c r="Q112" s="76">
        <f t="shared" si="58"/>
        <v>0.29245934317777283</v>
      </c>
      <c r="R112" s="75">
        <f t="shared" si="59"/>
        <v>-0.26453224711794793</v>
      </c>
    </row>
    <row r="113" spans="2:18">
      <c r="B113" s="81"/>
      <c r="C113">
        <v>6</v>
      </c>
      <c r="D113">
        <v>528</v>
      </c>
      <c r="E113">
        <v>1.2793333333333301</v>
      </c>
      <c r="F113" s="78"/>
      <c r="G113" s="75">
        <f t="shared" si="48"/>
        <v>0.53729066438888318</v>
      </c>
      <c r="H113" s="76">
        <f t="shared" si="49"/>
        <v>-0.41666666666666669</v>
      </c>
      <c r="I113" s="75">
        <f t="shared" si="50"/>
        <v>0.18085106382978722</v>
      </c>
      <c r="J113" s="75">
        <f t="shared" si="51"/>
        <v>0.12040981943598905</v>
      </c>
      <c r="K113" s="76">
        <f t="shared" si="52"/>
        <v>0.31245280319449437</v>
      </c>
      <c r="L113" s="77">
        <f t="shared" si="53"/>
        <v>0.26911990510789618</v>
      </c>
      <c r="M113" s="76">
        <f t="shared" si="54"/>
        <v>0.34095448180496679</v>
      </c>
      <c r="N113" s="77">
        <f t="shared" si="55"/>
        <v>0.30827376430730896</v>
      </c>
      <c r="O113" s="76">
        <f t="shared" si="56"/>
        <v>-0.32733791734059214</v>
      </c>
      <c r="P113" s="77">
        <f t="shared" si="57"/>
        <v>0.38555229432514515</v>
      </c>
      <c r="Q113" s="76">
        <f t="shared" si="58"/>
        <v>0.31245280319449431</v>
      </c>
      <c r="R113" s="75">
        <f t="shared" si="59"/>
        <v>-0.26817075928098699</v>
      </c>
    </row>
    <row r="114" spans="2:18">
      <c r="B114" s="81"/>
      <c r="C114">
        <v>6</v>
      </c>
      <c r="D114">
        <v>544</v>
      </c>
      <c r="E114">
        <v>1.3156666666666701</v>
      </c>
      <c r="F114" s="78"/>
      <c r="G114" s="75">
        <f t="shared" si="48"/>
        <v>0.55644196668397772</v>
      </c>
      <c r="H114" s="76">
        <f t="shared" si="49"/>
        <v>-0.41666666666666669</v>
      </c>
      <c r="I114" s="75">
        <f t="shared" si="50"/>
        <v>0.2021276595744681</v>
      </c>
      <c r="J114" s="75">
        <f t="shared" si="51"/>
        <v>0.14252383850679862</v>
      </c>
      <c r="K114" s="76">
        <f t="shared" si="52"/>
        <v>0.33244626321121584</v>
      </c>
      <c r="L114" s="77">
        <f t="shared" si="53"/>
        <v>0.28463269523995177</v>
      </c>
      <c r="M114" s="76">
        <f t="shared" si="54"/>
        <v>0.36094794182168821</v>
      </c>
      <c r="N114" s="77">
        <f t="shared" si="55"/>
        <v>0.32378655443936455</v>
      </c>
      <c r="O114" s="76">
        <f t="shared" si="56"/>
        <v>-0.32733791734059214</v>
      </c>
      <c r="P114" s="77">
        <f t="shared" si="57"/>
        <v>0.4047035966202398</v>
      </c>
      <c r="Q114" s="76">
        <f t="shared" si="58"/>
        <v>0.33244626321121579</v>
      </c>
      <c r="R114" s="75">
        <f t="shared" si="59"/>
        <v>-0.271809271444026</v>
      </c>
    </row>
    <row r="115" spans="2:18">
      <c r="B115" s="81"/>
      <c r="C115">
        <v>6</v>
      </c>
      <c r="D115">
        <v>560</v>
      </c>
      <c r="E115">
        <v>1.3413333333333299</v>
      </c>
      <c r="F115" s="78"/>
      <c r="G115" s="75">
        <f t="shared" si="48"/>
        <v>0.56997086830527699</v>
      </c>
      <c r="H115" s="76">
        <f t="shared" si="49"/>
        <v>-0.41666666666666669</v>
      </c>
      <c r="I115" s="75">
        <f t="shared" si="50"/>
        <v>0.22340425531914898</v>
      </c>
      <c r="J115" s="75">
        <f t="shared" si="51"/>
        <v>0.15814566849259282</v>
      </c>
      <c r="K115" s="76">
        <f t="shared" si="52"/>
        <v>0.35243972322793732</v>
      </c>
      <c r="L115" s="77">
        <f t="shared" si="53"/>
        <v>0.29452308469821198</v>
      </c>
      <c r="M115" s="76">
        <f t="shared" si="54"/>
        <v>0.38094140183840974</v>
      </c>
      <c r="N115" s="77">
        <f t="shared" si="55"/>
        <v>0.33367694389762481</v>
      </c>
      <c r="O115" s="76">
        <f t="shared" si="56"/>
        <v>-0.32733791734059214</v>
      </c>
      <c r="P115" s="77">
        <f t="shared" si="57"/>
        <v>0.41823249824153907</v>
      </c>
      <c r="Q115" s="76">
        <f t="shared" si="58"/>
        <v>0.35243972322793726</v>
      </c>
      <c r="R115" s="75">
        <f t="shared" si="59"/>
        <v>-0.27544778360706501</v>
      </c>
    </row>
    <row r="116" spans="2:18">
      <c r="B116" s="81"/>
      <c r="C116">
        <v>6</v>
      </c>
      <c r="D116">
        <v>576</v>
      </c>
      <c r="E116">
        <v>1.3676666666666699</v>
      </c>
      <c r="F116" s="78"/>
      <c r="G116" s="75">
        <f t="shared" si="48"/>
        <v>0.58385116996869502</v>
      </c>
      <c r="H116" s="76">
        <f t="shared" si="49"/>
        <v>-0.41666666666666669</v>
      </c>
      <c r="I116" s="75">
        <f t="shared" si="50"/>
        <v>0.24468085106382975</v>
      </c>
      <c r="J116" s="75">
        <f t="shared" si="51"/>
        <v>0.17417326029620805</v>
      </c>
      <c r="K116" s="76">
        <f t="shared" si="52"/>
        <v>0.37243318324465868</v>
      </c>
      <c r="L116" s="77">
        <f t="shared" si="53"/>
        <v>0.304764874198591</v>
      </c>
      <c r="M116" s="76">
        <f t="shared" si="54"/>
        <v>0.40093486185513111</v>
      </c>
      <c r="N116" s="77">
        <f t="shared" si="55"/>
        <v>0.34391873339800383</v>
      </c>
      <c r="O116" s="76">
        <f t="shared" si="56"/>
        <v>-0.32733791734059214</v>
      </c>
      <c r="P116" s="77">
        <f t="shared" si="57"/>
        <v>0.4321127999049571</v>
      </c>
      <c r="Q116" s="76">
        <f t="shared" si="58"/>
        <v>0.37243318324465863</v>
      </c>
      <c r="R116" s="75">
        <f t="shared" si="59"/>
        <v>-0.27908629577010408</v>
      </c>
    </row>
    <row r="117" spans="2:18">
      <c r="B117" s="81"/>
      <c r="C117">
        <v>6</v>
      </c>
      <c r="D117">
        <v>592</v>
      </c>
      <c r="E117">
        <v>1.40933333333333</v>
      </c>
      <c r="F117" s="78"/>
      <c r="G117" s="75">
        <f t="shared" si="48"/>
        <v>0.60581367260067687</v>
      </c>
      <c r="H117" s="76">
        <f t="shared" si="49"/>
        <v>-0.41666666666666669</v>
      </c>
      <c r="I117" s="75">
        <f t="shared" si="50"/>
        <v>0.26595744680851063</v>
      </c>
      <c r="J117" s="75">
        <f t="shared" si="51"/>
        <v>0.19953337390951309</v>
      </c>
      <c r="K117" s="76">
        <f t="shared" si="52"/>
        <v>0.39242664326138021</v>
      </c>
      <c r="L117" s="77">
        <f t="shared" si="53"/>
        <v>0.32308886466753373</v>
      </c>
      <c r="M117" s="76">
        <f t="shared" si="54"/>
        <v>0.42092832187185258</v>
      </c>
      <c r="N117" s="77">
        <f t="shared" si="55"/>
        <v>0.3622427238669465</v>
      </c>
      <c r="O117" s="76">
        <f t="shared" si="56"/>
        <v>-0.32733791734059214</v>
      </c>
      <c r="P117" s="77">
        <f t="shared" si="57"/>
        <v>0.45407530253693884</v>
      </c>
      <c r="Q117" s="76">
        <f t="shared" si="58"/>
        <v>0.39242664326138016</v>
      </c>
      <c r="R117" s="75">
        <f t="shared" si="59"/>
        <v>-0.28272480793314309</v>
      </c>
    </row>
    <row r="118" spans="2:18">
      <c r="B118" s="81"/>
      <c r="C118">
        <v>6</v>
      </c>
      <c r="D118">
        <v>608</v>
      </c>
      <c r="E118">
        <v>1.4350000000000001</v>
      </c>
      <c r="F118" s="78"/>
      <c r="G118" s="75">
        <f t="shared" si="48"/>
        <v>0.61934257422198147</v>
      </c>
      <c r="H118" s="76">
        <f t="shared" si="49"/>
        <v>-0.41666666666666669</v>
      </c>
      <c r="I118" s="75">
        <f t="shared" si="50"/>
        <v>0.28723404255319152</v>
      </c>
      <c r="J118" s="75">
        <f t="shared" si="51"/>
        <v>0.21515520389531351</v>
      </c>
      <c r="K118" s="76">
        <f t="shared" si="52"/>
        <v>0.41242010327810164</v>
      </c>
      <c r="L118" s="77">
        <f t="shared" si="53"/>
        <v>0.33297925412579932</v>
      </c>
      <c r="M118" s="76">
        <f t="shared" si="54"/>
        <v>0.440921781888574</v>
      </c>
      <c r="N118" s="77">
        <f t="shared" si="55"/>
        <v>0.37213311332521215</v>
      </c>
      <c r="O118" s="76">
        <f t="shared" si="56"/>
        <v>-0.32733791734059214</v>
      </c>
      <c r="P118" s="77">
        <f t="shared" si="57"/>
        <v>0.4676042041582435</v>
      </c>
      <c r="Q118" s="76">
        <f t="shared" si="58"/>
        <v>0.41242010327810158</v>
      </c>
      <c r="R118" s="75">
        <f t="shared" si="59"/>
        <v>-0.28636332009618215</v>
      </c>
    </row>
    <row r="119" spans="2:18">
      <c r="B119" s="81"/>
      <c r="C119">
        <v>6</v>
      </c>
      <c r="D119">
        <v>624</v>
      </c>
      <c r="E119">
        <v>1.4666666666666699</v>
      </c>
      <c r="F119" s="78"/>
      <c r="G119" s="75">
        <f t="shared" si="48"/>
        <v>0.6360340762222918</v>
      </c>
      <c r="H119" s="76">
        <f t="shared" si="49"/>
        <v>-0.41666666666666669</v>
      </c>
      <c r="I119" s="75">
        <f t="shared" si="50"/>
        <v>0.30851063829787229</v>
      </c>
      <c r="J119" s="75">
        <f t="shared" si="51"/>
        <v>0.23442889024143021</v>
      </c>
      <c r="K119" s="76">
        <f t="shared" si="52"/>
        <v>0.43241356329482311</v>
      </c>
      <c r="L119" s="77">
        <f t="shared" si="53"/>
        <v>0.34603224396307064</v>
      </c>
      <c r="M119" s="76">
        <f t="shared" si="54"/>
        <v>0.46091524190529548</v>
      </c>
      <c r="N119" s="77">
        <f t="shared" si="55"/>
        <v>0.38518610316248347</v>
      </c>
      <c r="O119" s="76">
        <f t="shared" si="56"/>
        <v>-0.32733791734059209</v>
      </c>
      <c r="P119" s="77">
        <f t="shared" si="57"/>
        <v>0.48429570615855388</v>
      </c>
      <c r="Q119" s="76">
        <f t="shared" si="58"/>
        <v>0.432413563294823</v>
      </c>
      <c r="R119" s="75">
        <f t="shared" si="59"/>
        <v>-0.29000183225922116</v>
      </c>
    </row>
    <row r="120" spans="2:18">
      <c r="B120" s="81"/>
      <c r="C120">
        <v>6</v>
      </c>
      <c r="D120">
        <v>640</v>
      </c>
      <c r="E120">
        <v>1.4973333333333301</v>
      </c>
      <c r="F120" s="78"/>
      <c r="G120" s="75">
        <f t="shared" si="48"/>
        <v>0.65219847815942944</v>
      </c>
      <c r="H120" s="76">
        <f t="shared" si="49"/>
        <v>-0.41666666666666669</v>
      </c>
      <c r="I120" s="75">
        <f t="shared" si="50"/>
        <v>0.32978723404255317</v>
      </c>
      <c r="J120" s="75">
        <f t="shared" si="51"/>
        <v>0.25309393386082168</v>
      </c>
      <c r="K120" s="76">
        <f t="shared" si="52"/>
        <v>0.45240702331154459</v>
      </c>
      <c r="L120" s="77">
        <f t="shared" si="53"/>
        <v>0.35855813373716927</v>
      </c>
      <c r="M120" s="76">
        <f t="shared" si="54"/>
        <v>0.48090870192201701</v>
      </c>
      <c r="N120" s="77">
        <f t="shared" si="55"/>
        <v>0.3977119929365821</v>
      </c>
      <c r="O120" s="76">
        <f t="shared" si="56"/>
        <v>-0.32733791734059209</v>
      </c>
      <c r="P120" s="77">
        <f t="shared" si="57"/>
        <v>0.50046010809569152</v>
      </c>
      <c r="Q120" s="76">
        <f t="shared" si="58"/>
        <v>0.45240702331154448</v>
      </c>
      <c r="R120" s="75">
        <f t="shared" si="59"/>
        <v>-0.29364034442226017</v>
      </c>
    </row>
    <row r="121" spans="2:18">
      <c r="B121" s="81"/>
      <c r="C121">
        <v>6</v>
      </c>
      <c r="D121">
        <v>656</v>
      </c>
      <c r="E121">
        <v>1.54466666666667</v>
      </c>
      <c r="F121" s="78"/>
      <c r="G121" s="75">
        <f t="shared" si="48"/>
        <v>0.67714788114936808</v>
      </c>
      <c r="H121" s="76">
        <f t="shared" si="49"/>
        <v>-0.41666666666666669</v>
      </c>
      <c r="I121" s="75">
        <f t="shared" si="50"/>
        <v>0.35106382978723405</v>
      </c>
      <c r="J121" s="75">
        <f t="shared" si="51"/>
        <v>0.2819030229255447</v>
      </c>
      <c r="K121" s="76">
        <f t="shared" si="52"/>
        <v>0.47240048332826606</v>
      </c>
      <c r="L121" s="77">
        <f t="shared" si="53"/>
        <v>0.37986902456406885</v>
      </c>
      <c r="M121" s="76">
        <f t="shared" si="54"/>
        <v>0.50090216193873838</v>
      </c>
      <c r="N121" s="77">
        <f t="shared" si="55"/>
        <v>0.41902288376348162</v>
      </c>
      <c r="O121" s="76">
        <f t="shared" si="56"/>
        <v>-0.32733791734059209</v>
      </c>
      <c r="P121" s="77">
        <f t="shared" si="57"/>
        <v>0.52540951108563005</v>
      </c>
      <c r="Q121" s="76">
        <f t="shared" si="58"/>
        <v>0.47240048332826595</v>
      </c>
      <c r="R121" s="75">
        <f t="shared" si="59"/>
        <v>-0.29727885658529923</v>
      </c>
    </row>
    <row r="122" spans="2:18">
      <c r="B122" s="81"/>
      <c r="C122">
        <v>6</v>
      </c>
      <c r="D122">
        <v>672</v>
      </c>
      <c r="E122">
        <v>1.5753333333333299</v>
      </c>
      <c r="F122" s="78"/>
      <c r="G122" s="75">
        <f t="shared" si="48"/>
        <v>0.69331228308650572</v>
      </c>
      <c r="H122" s="76">
        <f t="shared" si="49"/>
        <v>-0.41666666666666669</v>
      </c>
      <c r="I122" s="75">
        <f t="shared" si="50"/>
        <v>0.37234042553191493</v>
      </c>
      <c r="J122" s="75">
        <f t="shared" si="51"/>
        <v>0.30056806654493606</v>
      </c>
      <c r="K122" s="76">
        <f t="shared" si="52"/>
        <v>0.49239394334498754</v>
      </c>
      <c r="L122" s="77">
        <f t="shared" si="53"/>
        <v>0.39239491433816742</v>
      </c>
      <c r="M122" s="76">
        <f t="shared" si="54"/>
        <v>0.52089562195545991</v>
      </c>
      <c r="N122" s="77">
        <f t="shared" si="55"/>
        <v>0.4315487735375802</v>
      </c>
      <c r="O122" s="76">
        <f t="shared" si="56"/>
        <v>-0.32733791734059209</v>
      </c>
      <c r="P122" s="77">
        <f t="shared" si="57"/>
        <v>0.54157391302276769</v>
      </c>
      <c r="Q122" s="76">
        <f t="shared" si="58"/>
        <v>0.49239394334498743</v>
      </c>
      <c r="R122" s="75">
        <f t="shared" si="59"/>
        <v>-0.30091736874833824</v>
      </c>
    </row>
    <row r="123" spans="2:18">
      <c r="B123" s="81"/>
      <c r="C123">
        <v>6</v>
      </c>
      <c r="D123">
        <v>688</v>
      </c>
      <c r="E123">
        <v>1.607</v>
      </c>
      <c r="F123" s="78"/>
      <c r="G123" s="75">
        <f t="shared" si="48"/>
        <v>0.71000378508681616</v>
      </c>
      <c r="H123" s="76">
        <f t="shared" si="49"/>
        <v>-0.41666666666666669</v>
      </c>
      <c r="I123" s="75">
        <f t="shared" si="50"/>
        <v>0.3936170212765957</v>
      </c>
      <c r="J123" s="75">
        <f t="shared" si="51"/>
        <v>0.31984175289105288</v>
      </c>
      <c r="K123" s="76">
        <f t="shared" si="52"/>
        <v>0.51238740336170885</v>
      </c>
      <c r="L123" s="77">
        <f t="shared" si="53"/>
        <v>0.40544790417543886</v>
      </c>
      <c r="M123" s="76">
        <f t="shared" si="54"/>
        <v>0.54088908197218122</v>
      </c>
      <c r="N123" s="77">
        <f t="shared" si="55"/>
        <v>0.44460176337485163</v>
      </c>
      <c r="O123" s="76">
        <f t="shared" si="56"/>
        <v>-0.32733791734059209</v>
      </c>
      <c r="P123" s="77">
        <f t="shared" si="57"/>
        <v>0.55826541502307814</v>
      </c>
      <c r="Q123" s="76">
        <f t="shared" si="58"/>
        <v>0.51238740336170874</v>
      </c>
      <c r="R123" s="75">
        <f t="shared" si="59"/>
        <v>-0.30455588091137731</v>
      </c>
    </row>
    <row r="124" spans="2:18">
      <c r="B124" s="81"/>
      <c r="C124">
        <v>6</v>
      </c>
      <c r="D124">
        <v>704</v>
      </c>
      <c r="E124">
        <v>1.6379999999999999</v>
      </c>
      <c r="F124" s="78"/>
      <c r="G124" s="75">
        <f t="shared" si="48"/>
        <v>0.72634388704501296</v>
      </c>
      <c r="H124" s="76">
        <f t="shared" si="49"/>
        <v>-0.41666666666666669</v>
      </c>
      <c r="I124" s="75">
        <f t="shared" si="50"/>
        <v>0.41489361702127658</v>
      </c>
      <c r="J124" s="75">
        <f t="shared" si="51"/>
        <v>0.33870967741935476</v>
      </c>
      <c r="K124" s="76">
        <f t="shared" si="52"/>
        <v>0.53238086337843038</v>
      </c>
      <c r="L124" s="77">
        <f t="shared" si="53"/>
        <v>0.4181494939705967</v>
      </c>
      <c r="M124" s="76">
        <f t="shared" si="54"/>
        <v>0.56088254198890275</v>
      </c>
      <c r="N124" s="77">
        <f t="shared" si="55"/>
        <v>0.45730335317000947</v>
      </c>
      <c r="O124" s="76">
        <f t="shared" si="56"/>
        <v>-0.32733791734059209</v>
      </c>
      <c r="P124" s="77">
        <f t="shared" si="57"/>
        <v>0.57460551698127504</v>
      </c>
      <c r="Q124" s="76">
        <f t="shared" si="58"/>
        <v>0.53238086337843027</v>
      </c>
      <c r="R124" s="75">
        <f t="shared" si="59"/>
        <v>-0.30819439307441632</v>
      </c>
    </row>
    <row r="125" spans="2:18">
      <c r="B125" s="81"/>
      <c r="C125">
        <v>6</v>
      </c>
      <c r="D125">
        <v>720</v>
      </c>
      <c r="E125">
        <v>1.6850000000000001</v>
      </c>
      <c r="F125" s="78"/>
      <c r="G125" s="75">
        <f t="shared" si="48"/>
        <v>0.75111759001389233</v>
      </c>
      <c r="H125" s="76">
        <f t="shared" si="49"/>
        <v>-0.41666666666666669</v>
      </c>
      <c r="I125" s="75">
        <f t="shared" si="50"/>
        <v>0.43617021276595747</v>
      </c>
      <c r="J125" s="75">
        <f t="shared" si="51"/>
        <v>0.36731588557516737</v>
      </c>
      <c r="K125" s="76">
        <f t="shared" si="52"/>
        <v>0.55237432339515191</v>
      </c>
      <c r="L125" s="77">
        <f t="shared" si="53"/>
        <v>0.43928468477643701</v>
      </c>
      <c r="M125" s="76">
        <f t="shared" si="54"/>
        <v>0.58087600200562428</v>
      </c>
      <c r="N125" s="77">
        <f t="shared" si="55"/>
        <v>0.47843854397584978</v>
      </c>
      <c r="O125" s="76">
        <f t="shared" si="56"/>
        <v>-0.32733791734059209</v>
      </c>
      <c r="P125" s="77">
        <f t="shared" si="57"/>
        <v>0.59937921995015442</v>
      </c>
      <c r="Q125" s="76">
        <f t="shared" si="58"/>
        <v>0.5523743233951518</v>
      </c>
      <c r="R125" s="75">
        <f t="shared" si="59"/>
        <v>-0.31183290523745533</v>
      </c>
    </row>
    <row r="126" spans="2:18">
      <c r="B126" s="81"/>
      <c r="C126">
        <v>6</v>
      </c>
      <c r="D126">
        <v>736</v>
      </c>
      <c r="E126">
        <v>1.716</v>
      </c>
      <c r="F126" s="78"/>
      <c r="G126" s="75">
        <f t="shared" si="48"/>
        <v>0.76745769197208924</v>
      </c>
      <c r="H126" s="76">
        <f t="shared" si="49"/>
        <v>-0.41666666666666669</v>
      </c>
      <c r="I126" s="75">
        <f t="shared" si="50"/>
        <v>0.45744680851063835</v>
      </c>
      <c r="J126" s="75">
        <f t="shared" si="51"/>
        <v>0.38618381010346925</v>
      </c>
      <c r="K126" s="76">
        <f t="shared" si="52"/>
        <v>0.57236778341187333</v>
      </c>
      <c r="L126" s="77">
        <f t="shared" si="53"/>
        <v>0.4519862745715949</v>
      </c>
      <c r="M126" s="76">
        <f t="shared" si="54"/>
        <v>0.6008694620223457</v>
      </c>
      <c r="N126" s="77">
        <f t="shared" si="55"/>
        <v>0.49114013377100774</v>
      </c>
      <c r="O126" s="76">
        <f t="shared" si="56"/>
        <v>-0.32733791734059209</v>
      </c>
      <c r="P126" s="77">
        <f t="shared" si="57"/>
        <v>0.61571932190835132</v>
      </c>
      <c r="Q126" s="76">
        <f t="shared" si="58"/>
        <v>0.57236778341187322</v>
      </c>
      <c r="R126" s="75">
        <f t="shared" si="59"/>
        <v>-0.31547141740049439</v>
      </c>
    </row>
    <row r="127" spans="2:18">
      <c r="B127" s="81"/>
      <c r="C127">
        <v>6</v>
      </c>
      <c r="D127">
        <v>752</v>
      </c>
      <c r="E127">
        <v>1.7626666666666699</v>
      </c>
      <c r="F127" s="78"/>
      <c r="G127" s="75">
        <f t="shared" si="48"/>
        <v>0.79205569491991445</v>
      </c>
      <c r="H127" s="76">
        <f t="shared" si="49"/>
        <v>-0.41666666666666669</v>
      </c>
      <c r="I127" s="75">
        <f t="shared" si="50"/>
        <v>0.47872340425531912</v>
      </c>
      <c r="J127" s="75">
        <f t="shared" si="51"/>
        <v>0.41458713735037733</v>
      </c>
      <c r="K127" s="76">
        <f t="shared" si="52"/>
        <v>0.59236124342859475</v>
      </c>
      <c r="L127" s="77">
        <f t="shared" si="53"/>
        <v>0.47294576535638105</v>
      </c>
      <c r="M127" s="76">
        <f t="shared" si="54"/>
        <v>0.62086292203906712</v>
      </c>
      <c r="N127" s="77">
        <f t="shared" si="55"/>
        <v>0.51209962455579383</v>
      </c>
      <c r="O127" s="76">
        <f t="shared" si="56"/>
        <v>-0.32733791734059209</v>
      </c>
      <c r="P127" s="77">
        <f t="shared" si="57"/>
        <v>0.64031732485617643</v>
      </c>
      <c r="Q127" s="76">
        <f t="shared" si="58"/>
        <v>0.59236124342859464</v>
      </c>
      <c r="R127" s="75">
        <f t="shared" si="59"/>
        <v>-0.3191099295635334</v>
      </c>
    </row>
    <row r="128" spans="2:18">
      <c r="B128" s="81"/>
      <c r="C128">
        <v>6</v>
      </c>
      <c r="D128">
        <v>768</v>
      </c>
      <c r="E128">
        <v>1.794</v>
      </c>
      <c r="F128" s="78"/>
      <c r="G128" s="75">
        <f t="shared" si="48"/>
        <v>0.80857149689916563</v>
      </c>
      <c r="H128" s="76">
        <f t="shared" si="49"/>
        <v>-0.41666666666666669</v>
      </c>
      <c r="I128" s="75">
        <f t="shared" si="50"/>
        <v>0.5</v>
      </c>
      <c r="J128" s="75">
        <f t="shared" si="51"/>
        <v>0.43365794278758374</v>
      </c>
      <c r="K128" s="76">
        <f t="shared" si="52"/>
        <v>0.61235470344531617</v>
      </c>
      <c r="L128" s="77">
        <f t="shared" si="53"/>
        <v>0.48582305517259317</v>
      </c>
      <c r="M128" s="76">
        <f t="shared" si="54"/>
        <v>0.64085638205578854</v>
      </c>
      <c r="N128" s="77">
        <f t="shared" si="55"/>
        <v>0.524976914372006</v>
      </c>
      <c r="O128" s="76">
        <f t="shared" si="56"/>
        <v>-0.32733791734059209</v>
      </c>
      <c r="P128" s="77">
        <f t="shared" si="57"/>
        <v>0.65683312683542761</v>
      </c>
      <c r="Q128" s="76">
        <f t="shared" si="58"/>
        <v>0.61235470344531606</v>
      </c>
      <c r="R128" s="75">
        <f t="shared" si="59"/>
        <v>-0.32274844172657247</v>
      </c>
    </row>
    <row r="129" spans="2:18">
      <c r="B129" s="81"/>
      <c r="C129">
        <v>9</v>
      </c>
      <c r="D129">
        <v>16</v>
      </c>
      <c r="E129">
        <v>0.26533333333333298</v>
      </c>
      <c r="F129" s="78"/>
      <c r="G129" s="75">
        <f t="shared" si="48"/>
        <v>2.8112003368939154E-3</v>
      </c>
      <c r="H129" s="76">
        <f t="shared" si="49"/>
        <v>-0.33333333333333337</v>
      </c>
      <c r="I129" s="75">
        <f t="shared" si="50"/>
        <v>-0.5</v>
      </c>
      <c r="J129" s="75">
        <f t="shared" si="51"/>
        <v>-0.49675390545749665</v>
      </c>
      <c r="K129" s="76">
        <f t="shared" si="52"/>
        <v>-0.35583959595106457</v>
      </c>
      <c r="L129" s="77">
        <f t="shared" si="53"/>
        <v>-0.18808102892625692</v>
      </c>
      <c r="M129" s="76">
        <f t="shared" si="54"/>
        <v>-0.29883623873011983</v>
      </c>
      <c r="N129" s="77">
        <f t="shared" si="55"/>
        <v>-0.10977331052743128</v>
      </c>
      <c r="O129" s="76">
        <f t="shared" si="56"/>
        <v>-0.35583959595106457</v>
      </c>
      <c r="P129" s="77">
        <f t="shared" si="57"/>
        <v>-0.18808102892625692</v>
      </c>
      <c r="Q129" s="76">
        <f t="shared" si="58"/>
        <v>-0.35583959595106457</v>
      </c>
      <c r="R129" s="75">
        <f t="shared" si="59"/>
        <v>-0.19089222926315083</v>
      </c>
    </row>
    <row r="130" spans="2:18">
      <c r="B130" s="81"/>
      <c r="C130">
        <v>9</v>
      </c>
      <c r="D130">
        <v>32</v>
      </c>
      <c r="E130">
        <v>0.28066666666666701</v>
      </c>
      <c r="F130" s="78"/>
      <c r="G130" s="75">
        <f t="shared" si="48"/>
        <v>1.0893401305464845E-2</v>
      </c>
      <c r="H130" s="76">
        <f t="shared" si="49"/>
        <v>-0.33333333333333337</v>
      </c>
      <c r="I130" s="75">
        <f t="shared" si="50"/>
        <v>-0.47872340425531917</v>
      </c>
      <c r="J130" s="75">
        <f t="shared" si="51"/>
        <v>-0.48742138364779852</v>
      </c>
      <c r="K130" s="76">
        <f t="shared" si="52"/>
        <v>-0.33584613593434315</v>
      </c>
      <c r="L130" s="77">
        <f t="shared" si="53"/>
        <v>-0.18363734012072502</v>
      </c>
      <c r="M130" s="76">
        <f t="shared" si="54"/>
        <v>-0.27884277871339841</v>
      </c>
      <c r="N130" s="77">
        <f t="shared" si="55"/>
        <v>-0.10532962172189936</v>
      </c>
      <c r="O130" s="76">
        <f t="shared" si="56"/>
        <v>-0.35583959595106457</v>
      </c>
      <c r="P130" s="77">
        <f t="shared" si="57"/>
        <v>-0.17999882795768599</v>
      </c>
      <c r="Q130" s="76">
        <f t="shared" si="58"/>
        <v>-0.33584613593434315</v>
      </c>
      <c r="R130" s="75">
        <f t="shared" si="59"/>
        <v>-0.19453074142618987</v>
      </c>
    </row>
    <row r="131" spans="2:18">
      <c r="B131" s="81"/>
      <c r="C131">
        <v>9</v>
      </c>
      <c r="D131">
        <v>48</v>
      </c>
      <c r="E131">
        <v>0.32733333333333298</v>
      </c>
      <c r="F131" s="78"/>
      <c r="G131" s="75">
        <f t="shared" si="48"/>
        <v>3.5491404253287839E-2</v>
      </c>
      <c r="H131" s="76">
        <f t="shared" si="49"/>
        <v>-0.33333333333333337</v>
      </c>
      <c r="I131" s="75">
        <f t="shared" si="50"/>
        <v>-0.45744680851063829</v>
      </c>
      <c r="J131" s="75">
        <f t="shared" si="51"/>
        <v>-0.45901805640089288</v>
      </c>
      <c r="K131" s="76">
        <f t="shared" si="52"/>
        <v>-0.31585267591762173</v>
      </c>
      <c r="L131" s="77">
        <f t="shared" si="53"/>
        <v>-0.16267784933594104</v>
      </c>
      <c r="M131" s="76">
        <f t="shared" si="54"/>
        <v>-0.25884931869667688</v>
      </c>
      <c r="N131" s="77">
        <f t="shared" si="55"/>
        <v>-8.4370130937115428E-2</v>
      </c>
      <c r="O131" s="76">
        <f t="shared" si="56"/>
        <v>-0.35583959595106457</v>
      </c>
      <c r="P131" s="77">
        <f t="shared" si="57"/>
        <v>-0.15540082500986299</v>
      </c>
      <c r="Q131" s="76">
        <f t="shared" si="58"/>
        <v>-0.31585267591762173</v>
      </c>
      <c r="R131" s="75">
        <f t="shared" si="59"/>
        <v>-0.19816925358922888</v>
      </c>
    </row>
    <row r="132" spans="2:18">
      <c r="B132" s="81"/>
      <c r="C132">
        <v>9</v>
      </c>
      <c r="D132">
        <v>64</v>
      </c>
      <c r="E132">
        <v>0.400666666666667</v>
      </c>
      <c r="F132" s="78"/>
      <c r="G132" s="75">
        <f t="shared" si="48"/>
        <v>7.4145408885582076E-2</v>
      </c>
      <c r="H132" s="76">
        <f t="shared" si="49"/>
        <v>-0.33333333333333337</v>
      </c>
      <c r="I132" s="75">
        <f t="shared" si="50"/>
        <v>-0.43617021276595747</v>
      </c>
      <c r="J132" s="75">
        <f t="shared" si="51"/>
        <v>-0.41438425644146865</v>
      </c>
      <c r="K132" s="76">
        <f t="shared" si="52"/>
        <v>-0.29585921590090031</v>
      </c>
      <c r="L132" s="77">
        <f t="shared" si="53"/>
        <v>-0.12766235686668584</v>
      </c>
      <c r="M132" s="76">
        <f t="shared" si="54"/>
        <v>-0.23885585867995549</v>
      </c>
      <c r="N132" s="77">
        <f t="shared" si="55"/>
        <v>-4.9354638467860201E-2</v>
      </c>
      <c r="O132" s="76">
        <f t="shared" si="56"/>
        <v>-0.35583959595106457</v>
      </c>
      <c r="P132" s="77">
        <f t="shared" si="57"/>
        <v>-0.11674682037756876</v>
      </c>
      <c r="Q132" s="76">
        <f t="shared" si="58"/>
        <v>-0.29585921590090031</v>
      </c>
      <c r="R132" s="75">
        <f t="shared" si="59"/>
        <v>-0.20180776575226791</v>
      </c>
    </row>
    <row r="133" spans="2:18">
      <c r="B133" s="81"/>
      <c r="C133">
        <v>9</v>
      </c>
      <c r="D133">
        <v>80</v>
      </c>
      <c r="E133">
        <v>0.48866666666666703</v>
      </c>
      <c r="F133" s="78"/>
      <c r="G133" s="75">
        <f t="shared" si="48"/>
        <v>0.12053021444433476</v>
      </c>
      <c r="H133" s="76">
        <f t="shared" si="49"/>
        <v>-0.33333333333333337</v>
      </c>
      <c r="I133" s="75">
        <f t="shared" si="50"/>
        <v>-0.41489361702127658</v>
      </c>
      <c r="J133" s="75">
        <f t="shared" si="51"/>
        <v>-0.36082369649016005</v>
      </c>
      <c r="K133" s="76">
        <f t="shared" si="52"/>
        <v>-0.27586575588417878</v>
      </c>
      <c r="L133" s="77">
        <f t="shared" si="53"/>
        <v>-8.4916063470972192E-2</v>
      </c>
      <c r="M133" s="76">
        <f t="shared" si="54"/>
        <v>-0.21886239866323395</v>
      </c>
      <c r="N133" s="77">
        <f t="shared" si="55"/>
        <v>-6.6083450721465264E-3</v>
      </c>
      <c r="O133" s="76">
        <f t="shared" si="56"/>
        <v>-0.35583959595106457</v>
      </c>
      <c r="P133" s="77">
        <f t="shared" si="57"/>
        <v>-7.0362014818816071E-2</v>
      </c>
      <c r="Q133" s="76">
        <f t="shared" si="58"/>
        <v>-0.27586575588417878</v>
      </c>
      <c r="R133" s="75">
        <f t="shared" si="59"/>
        <v>-0.20544627791530695</v>
      </c>
    </row>
    <row r="134" spans="2:18">
      <c r="B134" s="81"/>
      <c r="C134">
        <v>9</v>
      </c>
      <c r="D134">
        <v>96</v>
      </c>
      <c r="E134">
        <v>0.57199999999999995</v>
      </c>
      <c r="F134" s="78"/>
      <c r="G134" s="75">
        <f t="shared" si="48"/>
        <v>0.16445521970830479</v>
      </c>
      <c r="H134" s="76">
        <f t="shared" si="49"/>
        <v>-0.33333333333333337</v>
      </c>
      <c r="I134" s="75">
        <f t="shared" si="50"/>
        <v>-0.39361702127659576</v>
      </c>
      <c r="J134" s="75">
        <f t="shared" si="51"/>
        <v>-0.31010346926354238</v>
      </c>
      <c r="K134" s="76">
        <f t="shared" si="52"/>
        <v>-0.25587229586745736</v>
      </c>
      <c r="L134" s="77">
        <f t="shared" si="53"/>
        <v>-4.4629570370041172E-2</v>
      </c>
      <c r="M134" s="76">
        <f t="shared" si="54"/>
        <v>-0.19886893864651251</v>
      </c>
      <c r="N134" s="77">
        <f t="shared" si="55"/>
        <v>3.3678148028784438E-2</v>
      </c>
      <c r="O134" s="76">
        <f t="shared" si="56"/>
        <v>-0.35583959595106457</v>
      </c>
      <c r="P134" s="77">
        <f t="shared" si="57"/>
        <v>-2.6437009554846042E-2</v>
      </c>
      <c r="Q134" s="76">
        <f t="shared" si="58"/>
        <v>-0.25587229586745736</v>
      </c>
      <c r="R134" s="75">
        <f t="shared" si="59"/>
        <v>-0.20908479007834596</v>
      </c>
    </row>
    <row r="135" spans="2:18">
      <c r="B135" s="81"/>
      <c r="C135">
        <v>9</v>
      </c>
      <c r="D135">
        <v>112</v>
      </c>
      <c r="E135">
        <v>0.68133333333333301</v>
      </c>
      <c r="F135" s="78"/>
      <c r="G135" s="75">
        <f t="shared" si="48"/>
        <v>0.22208482661463375</v>
      </c>
      <c r="H135" s="76">
        <f t="shared" si="49"/>
        <v>-0.33333333333333337</v>
      </c>
      <c r="I135" s="75">
        <f t="shared" si="50"/>
        <v>-0.37234042553191493</v>
      </c>
      <c r="J135" s="75">
        <f t="shared" si="51"/>
        <v>-0.2435585311422197</v>
      </c>
      <c r="K135" s="76">
        <f t="shared" si="52"/>
        <v>-0.23587883585073588</v>
      </c>
      <c r="L135" s="77">
        <f t="shared" si="53"/>
        <v>9.3615243732487197E-3</v>
      </c>
      <c r="M135" s="76">
        <f t="shared" si="54"/>
        <v>-0.17887547862979108</v>
      </c>
      <c r="N135" s="77">
        <f t="shared" si="55"/>
        <v>8.7669242772074385E-2</v>
      </c>
      <c r="O135" s="76">
        <f t="shared" si="56"/>
        <v>-0.35583959595106457</v>
      </c>
      <c r="P135" s="77">
        <f t="shared" si="57"/>
        <v>3.1192597351482915E-2</v>
      </c>
      <c r="Q135" s="76">
        <f t="shared" si="58"/>
        <v>-0.23587883585073591</v>
      </c>
      <c r="R135" s="75">
        <f t="shared" si="59"/>
        <v>-0.21272330224138503</v>
      </c>
    </row>
    <row r="136" spans="2:18">
      <c r="B136" s="81"/>
      <c r="C136">
        <v>9</v>
      </c>
      <c r="D136">
        <v>128</v>
      </c>
      <c r="E136">
        <v>0.69666666666666699</v>
      </c>
      <c r="F136" s="78"/>
      <c r="G136" s="75">
        <f t="shared" ref="G136:G167" si="60">D$19*(L136-R136)</f>
        <v>0.23016702758320459</v>
      </c>
      <c r="H136" s="76">
        <f t="shared" ref="H136:H167" si="61">(C136-H$16)/H$17-0.5</f>
        <v>-0.33333333333333337</v>
      </c>
      <c r="I136" s="75">
        <f t="shared" ref="I136:I167" si="62">(D136-I$16)/I$17-0.5</f>
        <v>-0.35106382978723405</v>
      </c>
      <c r="J136" s="75">
        <f t="shared" ref="J136:J167" si="63">(E136-J$16)/J$17-0.5</f>
        <v>-0.23422600933252163</v>
      </c>
      <c r="K136" s="76">
        <f t="shared" ref="K136:K167" si="64">(H136*$H$13+I136*$I$13+J136*$J$13+$D$27)*$C$27</f>
        <v>-0.2158853758340144</v>
      </c>
      <c r="L136" s="77">
        <f t="shared" ref="L136:L167" si="65">(H136*$H$14+I136*$I$14+J136*$J$14+$E$27)*$C$27</f>
        <v>1.3805213178780557E-2</v>
      </c>
      <c r="M136" s="76">
        <f t="shared" ref="M136:M167" si="66">(H$27*$H$13+I136*$I$13+J136*$J$13+$D$27)*$C$27</f>
        <v>-0.15888201861306961</v>
      </c>
      <c r="N136" s="77">
        <f t="shared" ref="N136:N167" si="67">(H$27*$H$14+I136*$I$14+J136*$J$14+$E$27)*$C$27</f>
        <v>9.2112931577606166E-2</v>
      </c>
      <c r="O136" s="76">
        <f t="shared" ref="O136:O167" si="68">(H136*$H$13+I$27*$I$13+J136*$J$13+$D$27)*$C$27</f>
        <v>-0.35583959595106457</v>
      </c>
      <c r="P136" s="77">
        <f t="shared" ref="P136:P167" si="69">(H136*$H$14+I$27*$I$14+J136*$J$14+$E$27)*$C$27</f>
        <v>3.9274798320053761E-2</v>
      </c>
      <c r="Q136" s="76">
        <f t="shared" ref="Q136:Q167" si="70">(H136*$H$13+I136*$I$13+J$27*$J$13+$D$27)*$C$27</f>
        <v>-0.21588537583401443</v>
      </c>
      <c r="R136" s="75">
        <f t="shared" ref="R136:R167" si="71">(H136*$H$14+I136*$I$14+J$27*$J$14+$E$27)*$C$27</f>
        <v>-0.21636181440442404</v>
      </c>
    </row>
    <row r="137" spans="2:18">
      <c r="B137" s="81"/>
      <c r="C137">
        <v>9</v>
      </c>
      <c r="D137">
        <v>144</v>
      </c>
      <c r="E137">
        <v>0.72799999999999998</v>
      </c>
      <c r="F137" s="78"/>
      <c r="G137" s="75">
        <f t="shared" si="60"/>
        <v>0.2466828295624573</v>
      </c>
      <c r="H137" s="76">
        <f t="shared" si="61"/>
        <v>-0.33333333333333337</v>
      </c>
      <c r="I137" s="75">
        <f t="shared" si="62"/>
        <v>-0.32978723404255317</v>
      </c>
      <c r="J137" s="75">
        <f t="shared" si="63"/>
        <v>-0.21515520389531345</v>
      </c>
      <c r="K137" s="76">
        <f t="shared" si="64"/>
        <v>-0.19589191581729293</v>
      </c>
      <c r="L137" s="77">
        <f t="shared" si="65"/>
        <v>2.6682502994994223E-2</v>
      </c>
      <c r="M137" s="76">
        <f t="shared" si="66"/>
        <v>-0.13888855859634813</v>
      </c>
      <c r="N137" s="77">
        <f t="shared" si="67"/>
        <v>0.10499022139381986</v>
      </c>
      <c r="O137" s="76">
        <f t="shared" si="68"/>
        <v>-0.35583959595106451</v>
      </c>
      <c r="P137" s="77">
        <f t="shared" si="69"/>
        <v>5.5790600299306464E-2</v>
      </c>
      <c r="Q137" s="76">
        <f t="shared" si="70"/>
        <v>-0.19589191581729296</v>
      </c>
      <c r="R137" s="75">
        <f t="shared" si="71"/>
        <v>-0.22000032656746307</v>
      </c>
    </row>
    <row r="138" spans="2:18">
      <c r="B138" s="81"/>
      <c r="C138">
        <v>9</v>
      </c>
      <c r="D138">
        <v>160</v>
      </c>
      <c r="E138">
        <v>0.76966666666666705</v>
      </c>
      <c r="F138" s="78"/>
      <c r="G138" s="75">
        <f t="shared" si="60"/>
        <v>0.26864533219444264</v>
      </c>
      <c r="H138" s="76">
        <f t="shared" si="61"/>
        <v>-0.33333333333333337</v>
      </c>
      <c r="I138" s="75">
        <f t="shared" si="62"/>
        <v>-0.30851063829787234</v>
      </c>
      <c r="J138" s="75">
        <f t="shared" si="63"/>
        <v>-0.18979509028200425</v>
      </c>
      <c r="K138" s="76">
        <f t="shared" si="64"/>
        <v>-0.17589845580057151</v>
      </c>
      <c r="L138" s="77">
        <f t="shared" si="65"/>
        <v>4.5006493463940506E-2</v>
      </c>
      <c r="M138" s="76">
        <f t="shared" si="66"/>
        <v>-0.11889509857962671</v>
      </c>
      <c r="N138" s="77">
        <f t="shared" si="67"/>
        <v>0.12331421186276617</v>
      </c>
      <c r="O138" s="76">
        <f t="shared" si="68"/>
        <v>-0.35583959595106451</v>
      </c>
      <c r="P138" s="77">
        <f t="shared" si="69"/>
        <v>7.7753102931291784E-2</v>
      </c>
      <c r="Q138" s="76">
        <f t="shared" si="70"/>
        <v>-0.17589845580057153</v>
      </c>
      <c r="R138" s="75">
        <f t="shared" si="71"/>
        <v>-0.22363883873050211</v>
      </c>
    </row>
    <row r="139" spans="2:18">
      <c r="B139" s="81"/>
      <c r="C139">
        <v>9</v>
      </c>
      <c r="D139">
        <v>176</v>
      </c>
      <c r="E139">
        <v>0.80100000000000005</v>
      </c>
      <c r="F139" s="78"/>
      <c r="G139" s="75">
        <f t="shared" si="60"/>
        <v>0.28516113417369532</v>
      </c>
      <c r="H139" s="76">
        <f t="shared" si="61"/>
        <v>-0.33333333333333337</v>
      </c>
      <c r="I139" s="75">
        <f t="shared" si="62"/>
        <v>-0.28723404255319152</v>
      </c>
      <c r="J139" s="75">
        <f t="shared" si="63"/>
        <v>-0.17072428484479607</v>
      </c>
      <c r="K139" s="76">
        <f t="shared" si="64"/>
        <v>-0.15590499578385003</v>
      </c>
      <c r="L139" s="77">
        <f t="shared" si="65"/>
        <v>5.78837832801542E-2</v>
      </c>
      <c r="M139" s="76">
        <f t="shared" si="66"/>
        <v>-9.8901638562905236E-2</v>
      </c>
      <c r="N139" s="77">
        <f t="shared" si="67"/>
        <v>0.13619150167897981</v>
      </c>
      <c r="O139" s="76">
        <f t="shared" si="68"/>
        <v>-0.35583959595106451</v>
      </c>
      <c r="P139" s="77">
        <f t="shared" si="69"/>
        <v>9.4268904910544488E-2</v>
      </c>
      <c r="Q139" s="76">
        <f t="shared" si="70"/>
        <v>-0.15590499578385006</v>
      </c>
      <c r="R139" s="75">
        <f t="shared" si="71"/>
        <v>-0.22727735089354112</v>
      </c>
    </row>
    <row r="140" spans="2:18">
      <c r="B140" s="81"/>
      <c r="C140">
        <v>9</v>
      </c>
      <c r="D140">
        <v>192</v>
      </c>
      <c r="E140">
        <v>0.82666666666666699</v>
      </c>
      <c r="F140" s="78"/>
      <c r="G140" s="75">
        <f t="shared" si="60"/>
        <v>0.29869003579499831</v>
      </c>
      <c r="H140" s="76">
        <f t="shared" si="61"/>
        <v>-0.33333333333333337</v>
      </c>
      <c r="I140" s="75">
        <f t="shared" si="62"/>
        <v>-0.26595744680851063</v>
      </c>
      <c r="J140" s="75">
        <f t="shared" si="63"/>
        <v>-0.1551024548589976</v>
      </c>
      <c r="K140" s="76">
        <f t="shared" si="64"/>
        <v>-0.13591153576712858</v>
      </c>
      <c r="L140" s="77">
        <f t="shared" si="65"/>
        <v>6.7774172738418098E-2</v>
      </c>
      <c r="M140" s="76">
        <f t="shared" si="66"/>
        <v>-7.8908178546183774E-2</v>
      </c>
      <c r="N140" s="77">
        <f t="shared" si="67"/>
        <v>0.14608189113724376</v>
      </c>
      <c r="O140" s="76">
        <f t="shared" si="68"/>
        <v>-0.35583959595106451</v>
      </c>
      <c r="P140" s="77">
        <f t="shared" si="69"/>
        <v>0.10779780653184745</v>
      </c>
      <c r="Q140" s="76">
        <f t="shared" si="70"/>
        <v>-0.13591153576712861</v>
      </c>
      <c r="R140" s="75">
        <f t="shared" si="71"/>
        <v>-0.23091586305658018</v>
      </c>
    </row>
    <row r="141" spans="2:18">
      <c r="B141" s="81"/>
      <c r="C141">
        <v>9</v>
      </c>
      <c r="D141">
        <v>208</v>
      </c>
      <c r="E141">
        <v>0.91</v>
      </c>
      <c r="F141" s="78"/>
      <c r="G141" s="75">
        <f t="shared" si="60"/>
        <v>0.34261504105896845</v>
      </c>
      <c r="H141" s="76">
        <f t="shared" si="61"/>
        <v>-0.33333333333333337</v>
      </c>
      <c r="I141" s="75">
        <f t="shared" si="62"/>
        <v>-0.24468085106382981</v>
      </c>
      <c r="J141" s="75">
        <f t="shared" si="63"/>
        <v>-0.10438222763237981</v>
      </c>
      <c r="K141" s="76">
        <f t="shared" si="64"/>
        <v>-0.11591807575040712</v>
      </c>
      <c r="L141" s="77">
        <f t="shared" si="65"/>
        <v>0.10806066583934924</v>
      </c>
      <c r="M141" s="76">
        <f t="shared" si="66"/>
        <v>-5.8914718529462326E-2</v>
      </c>
      <c r="N141" s="77">
        <f t="shared" si="67"/>
        <v>0.18636838423817487</v>
      </c>
      <c r="O141" s="76">
        <f t="shared" si="68"/>
        <v>-0.35583959595106451</v>
      </c>
      <c r="P141" s="77">
        <f t="shared" si="69"/>
        <v>0.15172281179581759</v>
      </c>
      <c r="Q141" s="76">
        <f t="shared" si="70"/>
        <v>-0.11591807575040716</v>
      </c>
      <c r="R141" s="75">
        <f t="shared" si="71"/>
        <v>-0.23455437521961919</v>
      </c>
    </row>
    <row r="142" spans="2:18">
      <c r="B142" s="81"/>
      <c r="C142">
        <v>9</v>
      </c>
      <c r="D142">
        <v>224</v>
      </c>
      <c r="E142">
        <v>0.94133333333333302</v>
      </c>
      <c r="F142" s="78"/>
      <c r="G142" s="75">
        <f t="shared" si="60"/>
        <v>0.35913084303822113</v>
      </c>
      <c r="H142" s="76">
        <f t="shared" si="61"/>
        <v>-0.33333333333333337</v>
      </c>
      <c r="I142" s="75">
        <f t="shared" si="62"/>
        <v>-0.22340425531914893</v>
      </c>
      <c r="J142" s="75">
        <f t="shared" si="63"/>
        <v>-8.5311422195171627E-2</v>
      </c>
      <c r="K142" s="76">
        <f t="shared" si="64"/>
        <v>-9.5924615733685645E-2</v>
      </c>
      <c r="L142" s="77">
        <f t="shared" si="65"/>
        <v>0.1209379556555629</v>
      </c>
      <c r="M142" s="76">
        <f t="shared" si="66"/>
        <v>-3.892125851274085E-2</v>
      </c>
      <c r="N142" s="77">
        <f t="shared" si="67"/>
        <v>0.19924567405438853</v>
      </c>
      <c r="O142" s="76">
        <f t="shared" si="68"/>
        <v>-0.35583959595106451</v>
      </c>
      <c r="P142" s="77">
        <f t="shared" si="69"/>
        <v>0.16823861377507029</v>
      </c>
      <c r="Q142" s="76">
        <f t="shared" si="70"/>
        <v>-9.5924615733685686E-2</v>
      </c>
      <c r="R142" s="75">
        <f t="shared" si="71"/>
        <v>-0.23819288738265823</v>
      </c>
    </row>
    <row r="143" spans="2:18">
      <c r="B143" s="81"/>
      <c r="C143">
        <v>9</v>
      </c>
      <c r="D143">
        <v>240</v>
      </c>
      <c r="E143">
        <v>1.071</v>
      </c>
      <c r="F143" s="78"/>
      <c r="G143" s="75">
        <f t="shared" si="60"/>
        <v>0.42747815122895905</v>
      </c>
      <c r="H143" s="76">
        <f t="shared" si="61"/>
        <v>-0.33333333333333337</v>
      </c>
      <c r="I143" s="75">
        <f t="shared" si="62"/>
        <v>-0.2021276595744681</v>
      </c>
      <c r="J143" s="75">
        <f t="shared" si="63"/>
        <v>-6.3907486305538885E-3</v>
      </c>
      <c r="K143" s="76">
        <f t="shared" si="64"/>
        <v>-7.593115571696421E-2</v>
      </c>
      <c r="L143" s="77">
        <f t="shared" si="65"/>
        <v>0.18564675168326181</v>
      </c>
      <c r="M143" s="76">
        <f t="shared" si="66"/>
        <v>-1.8927798496019416E-2</v>
      </c>
      <c r="N143" s="77">
        <f t="shared" si="67"/>
        <v>0.26395447008208744</v>
      </c>
      <c r="O143" s="76">
        <f t="shared" si="68"/>
        <v>-0.35583959595106451</v>
      </c>
      <c r="P143" s="77">
        <f t="shared" si="69"/>
        <v>0.23658592196580824</v>
      </c>
      <c r="Q143" s="76">
        <f t="shared" si="70"/>
        <v>-7.5931155716964266E-2</v>
      </c>
      <c r="R143" s="75">
        <f t="shared" si="71"/>
        <v>-0.24183139954569727</v>
      </c>
    </row>
    <row r="144" spans="2:18">
      <c r="B144" s="81"/>
      <c r="C144">
        <v>9</v>
      </c>
      <c r="D144">
        <v>256</v>
      </c>
      <c r="E144">
        <v>1.113</v>
      </c>
      <c r="F144" s="78"/>
      <c r="G144" s="75">
        <f t="shared" si="60"/>
        <v>0.44961635388200011</v>
      </c>
      <c r="H144" s="76">
        <f t="shared" si="61"/>
        <v>-0.33333333333333337</v>
      </c>
      <c r="I144" s="75">
        <f t="shared" si="62"/>
        <v>-0.18085106382978722</v>
      </c>
      <c r="J144" s="75">
        <f t="shared" si="63"/>
        <v>1.9172245891661555E-2</v>
      </c>
      <c r="K144" s="76">
        <f t="shared" si="64"/>
        <v>-5.5937695700242734E-2</v>
      </c>
      <c r="L144" s="77">
        <f t="shared" si="65"/>
        <v>0.2041464421732638</v>
      </c>
      <c r="M144" s="76">
        <f t="shared" si="66"/>
        <v>1.0656615207020627E-3</v>
      </c>
      <c r="N144" s="77">
        <f t="shared" si="67"/>
        <v>0.28245416057208944</v>
      </c>
      <c r="O144" s="76">
        <f t="shared" si="68"/>
        <v>-0.35583959595106451</v>
      </c>
      <c r="P144" s="77">
        <f t="shared" si="69"/>
        <v>0.25872412461884925</v>
      </c>
      <c r="Q144" s="76">
        <f t="shared" si="70"/>
        <v>-5.5937695700242797E-2</v>
      </c>
      <c r="R144" s="75">
        <f t="shared" si="71"/>
        <v>-0.2454699117087363</v>
      </c>
    </row>
    <row r="145" spans="2:18">
      <c r="B145" s="81"/>
      <c r="C145">
        <v>9</v>
      </c>
      <c r="D145">
        <v>272</v>
      </c>
      <c r="E145">
        <v>0.97733333333333305</v>
      </c>
      <c r="F145" s="78"/>
      <c r="G145" s="75">
        <f t="shared" si="60"/>
        <v>0.37810644531225635</v>
      </c>
      <c r="H145" s="76">
        <f t="shared" si="61"/>
        <v>-0.33333333333333337</v>
      </c>
      <c r="I145" s="75">
        <f t="shared" si="62"/>
        <v>-0.15957446808510639</v>
      </c>
      <c r="J145" s="75">
        <f t="shared" si="63"/>
        <v>-6.3400284033272636E-2</v>
      </c>
      <c r="K145" s="76">
        <f t="shared" si="64"/>
        <v>-3.5944235683521293E-2</v>
      </c>
      <c r="L145" s="77">
        <f t="shared" si="65"/>
        <v>0.128998021440481</v>
      </c>
      <c r="M145" s="76">
        <f t="shared" si="66"/>
        <v>2.1059121537423502E-2</v>
      </c>
      <c r="N145" s="77">
        <f t="shared" si="67"/>
        <v>0.20730573983930664</v>
      </c>
      <c r="O145" s="76">
        <f t="shared" si="68"/>
        <v>-0.35583959595106451</v>
      </c>
      <c r="P145" s="77">
        <f t="shared" si="69"/>
        <v>0.18721421604910549</v>
      </c>
      <c r="Q145" s="76">
        <f t="shared" si="70"/>
        <v>-3.5944235683521349E-2</v>
      </c>
      <c r="R145" s="75">
        <f t="shared" si="71"/>
        <v>-0.24910842387177531</v>
      </c>
    </row>
    <row r="146" spans="2:18">
      <c r="B146" s="81"/>
      <c r="C146">
        <v>9</v>
      </c>
      <c r="D146">
        <v>288</v>
      </c>
      <c r="E146">
        <v>1.00366666666667</v>
      </c>
      <c r="F146" s="78"/>
      <c r="G146" s="75">
        <f t="shared" si="60"/>
        <v>0.39198674697567282</v>
      </c>
      <c r="H146" s="76">
        <f t="shared" si="61"/>
        <v>-0.33333333333333337</v>
      </c>
      <c r="I146" s="75">
        <f t="shared" si="62"/>
        <v>-0.13829787234042551</v>
      </c>
      <c r="J146" s="75">
        <f t="shared" si="63"/>
        <v>-4.7372692229659175E-2</v>
      </c>
      <c r="K146" s="76">
        <f t="shared" si="64"/>
        <v>-1.5950775666799817E-2</v>
      </c>
      <c r="L146" s="77">
        <f t="shared" si="65"/>
        <v>0.13923981094085847</v>
      </c>
      <c r="M146" s="76">
        <f t="shared" si="66"/>
        <v>4.1052581554144978E-2</v>
      </c>
      <c r="N146" s="77">
        <f t="shared" si="67"/>
        <v>0.21754752933968408</v>
      </c>
      <c r="O146" s="76">
        <f t="shared" si="68"/>
        <v>-0.35583959595106451</v>
      </c>
      <c r="P146" s="77">
        <f t="shared" si="69"/>
        <v>0.20109451771252199</v>
      </c>
      <c r="Q146" s="76">
        <f t="shared" si="70"/>
        <v>-1.5950775666799873E-2</v>
      </c>
      <c r="R146" s="75">
        <f t="shared" si="71"/>
        <v>-0.25274693603481435</v>
      </c>
    </row>
    <row r="147" spans="2:18">
      <c r="B147" s="81"/>
      <c r="C147">
        <v>9</v>
      </c>
      <c r="D147">
        <v>304</v>
      </c>
      <c r="E147">
        <v>1.0556666666666701</v>
      </c>
      <c r="F147" s="78"/>
      <c r="G147" s="75">
        <f t="shared" si="60"/>
        <v>0.41939595026039034</v>
      </c>
      <c r="H147" s="76">
        <f t="shared" si="61"/>
        <v>-0.33333333333333337</v>
      </c>
      <c r="I147" s="75">
        <f t="shared" si="62"/>
        <v>-0.11702127659574468</v>
      </c>
      <c r="J147" s="75">
        <f t="shared" si="63"/>
        <v>-1.5723270440249515E-2</v>
      </c>
      <c r="K147" s="76">
        <f t="shared" si="64"/>
        <v>4.0426843499216224E-3</v>
      </c>
      <c r="L147" s="77">
        <f t="shared" si="65"/>
        <v>0.16301050206253695</v>
      </c>
      <c r="M147" s="76">
        <f t="shared" si="66"/>
        <v>6.1046041570866419E-2</v>
      </c>
      <c r="N147" s="77">
        <f t="shared" si="67"/>
        <v>0.24131822046136259</v>
      </c>
      <c r="O147" s="76">
        <f t="shared" si="68"/>
        <v>-0.35583959595106451</v>
      </c>
      <c r="P147" s="77">
        <f t="shared" si="69"/>
        <v>0.22850372099723951</v>
      </c>
      <c r="Q147" s="76">
        <f t="shared" si="70"/>
        <v>4.0426843499215626E-3</v>
      </c>
      <c r="R147" s="75">
        <f t="shared" si="71"/>
        <v>-0.25638544819785336</v>
      </c>
    </row>
    <row r="148" spans="2:18">
      <c r="B148" s="81"/>
      <c r="C148">
        <v>9</v>
      </c>
      <c r="D148">
        <v>320</v>
      </c>
      <c r="E148">
        <v>1.08666666666667</v>
      </c>
      <c r="F148" s="78"/>
      <c r="G148" s="75">
        <f t="shared" si="60"/>
        <v>0.43573605221858724</v>
      </c>
      <c r="H148" s="76">
        <f t="shared" si="61"/>
        <v>-0.33333333333333337</v>
      </c>
      <c r="I148" s="75">
        <f t="shared" si="62"/>
        <v>-9.5744680851063857E-2</v>
      </c>
      <c r="J148" s="75">
        <f t="shared" si="63"/>
        <v>3.1446540880523122E-3</v>
      </c>
      <c r="K148" s="76">
        <f t="shared" si="64"/>
        <v>2.4036144366643045E-2</v>
      </c>
      <c r="L148" s="77">
        <f t="shared" si="65"/>
        <v>0.17571209185769485</v>
      </c>
      <c r="M148" s="76">
        <f t="shared" si="66"/>
        <v>8.1039501587587839E-2</v>
      </c>
      <c r="N148" s="77">
        <f t="shared" si="67"/>
        <v>0.25401981025652048</v>
      </c>
      <c r="O148" s="76">
        <f t="shared" si="68"/>
        <v>-0.35583959595106451</v>
      </c>
      <c r="P148" s="77">
        <f t="shared" si="69"/>
        <v>0.24484382295543641</v>
      </c>
      <c r="Q148" s="76">
        <f t="shared" si="70"/>
        <v>2.4036144366642982E-2</v>
      </c>
      <c r="R148" s="75">
        <f t="shared" si="71"/>
        <v>-0.26002396036089237</v>
      </c>
    </row>
    <row r="149" spans="2:18">
      <c r="B149" s="81"/>
      <c r="C149">
        <v>9</v>
      </c>
      <c r="D149">
        <v>336</v>
      </c>
      <c r="E149">
        <v>1.1180000000000001</v>
      </c>
      <c r="F149" s="78"/>
      <c r="G149" s="75">
        <f t="shared" si="60"/>
        <v>0.45225185419783842</v>
      </c>
      <c r="H149" s="76">
        <f t="shared" si="61"/>
        <v>-0.33333333333333337</v>
      </c>
      <c r="I149" s="75">
        <f t="shared" si="62"/>
        <v>-7.4468085106382975E-2</v>
      </c>
      <c r="J149" s="75">
        <f t="shared" si="63"/>
        <v>2.2215459525258718E-2</v>
      </c>
      <c r="K149" s="76">
        <f t="shared" si="64"/>
        <v>4.4029604383364535E-2</v>
      </c>
      <c r="L149" s="77">
        <f t="shared" si="65"/>
        <v>0.18858938167390696</v>
      </c>
      <c r="M149" s="76">
        <f t="shared" si="66"/>
        <v>0.10103296160430933</v>
      </c>
      <c r="N149" s="77">
        <f t="shared" si="67"/>
        <v>0.2668971000727326</v>
      </c>
      <c r="O149" s="76">
        <f t="shared" si="68"/>
        <v>-0.35583959595106451</v>
      </c>
      <c r="P149" s="77">
        <f t="shared" si="69"/>
        <v>0.26135962493468756</v>
      </c>
      <c r="Q149" s="76">
        <f t="shared" si="70"/>
        <v>4.4029604383364472E-2</v>
      </c>
      <c r="R149" s="75">
        <f t="shared" si="71"/>
        <v>-0.26366247252393143</v>
      </c>
    </row>
    <row r="150" spans="2:18">
      <c r="B150" s="81"/>
      <c r="C150">
        <v>9</v>
      </c>
      <c r="D150">
        <v>352</v>
      </c>
      <c r="E150">
        <v>1.15966666666667</v>
      </c>
      <c r="F150" s="78"/>
      <c r="G150" s="75">
        <f t="shared" si="60"/>
        <v>0.47421435682982527</v>
      </c>
      <c r="H150" s="76">
        <f t="shared" si="61"/>
        <v>-0.33333333333333337</v>
      </c>
      <c r="I150" s="75">
        <f t="shared" si="62"/>
        <v>-5.3191489361702149E-2</v>
      </c>
      <c r="J150" s="75">
        <f t="shared" si="63"/>
        <v>4.7575573138569638E-2</v>
      </c>
      <c r="K150" s="76">
        <f t="shared" si="64"/>
        <v>6.4023064400085955E-2</v>
      </c>
      <c r="L150" s="77">
        <f t="shared" si="65"/>
        <v>0.20691337214285474</v>
      </c>
      <c r="M150" s="76">
        <f t="shared" si="66"/>
        <v>0.12102642162103075</v>
      </c>
      <c r="N150" s="77">
        <f t="shared" si="67"/>
        <v>0.28522109054168038</v>
      </c>
      <c r="O150" s="76">
        <f t="shared" si="68"/>
        <v>-0.35583959595106451</v>
      </c>
      <c r="P150" s="77">
        <f t="shared" si="69"/>
        <v>0.28332212756667441</v>
      </c>
      <c r="Q150" s="76">
        <f t="shared" si="70"/>
        <v>6.4023064400085899E-2</v>
      </c>
      <c r="R150" s="75">
        <f t="shared" si="71"/>
        <v>-0.2673009846869705</v>
      </c>
    </row>
    <row r="151" spans="2:18">
      <c r="B151" s="81"/>
      <c r="C151">
        <v>9</v>
      </c>
      <c r="D151">
        <v>368</v>
      </c>
      <c r="E151">
        <v>1.21166666666667</v>
      </c>
      <c r="F151" s="78"/>
      <c r="G151" s="75">
        <f t="shared" si="60"/>
        <v>0.50162356011454268</v>
      </c>
      <c r="H151" s="76">
        <f t="shared" si="61"/>
        <v>-0.33333333333333337</v>
      </c>
      <c r="I151" s="75">
        <f t="shared" si="62"/>
        <v>-3.1914893617021267E-2</v>
      </c>
      <c r="J151" s="75">
        <f t="shared" si="63"/>
        <v>7.9224994927979298E-2</v>
      </c>
      <c r="K151" s="76">
        <f t="shared" si="64"/>
        <v>8.4016524416807459E-2</v>
      </c>
      <c r="L151" s="77">
        <f t="shared" si="65"/>
        <v>0.23068406326453322</v>
      </c>
      <c r="M151" s="76">
        <f t="shared" si="66"/>
        <v>0.14101988163775225</v>
      </c>
      <c r="N151" s="77">
        <f t="shared" si="67"/>
        <v>0.30899178166335883</v>
      </c>
      <c r="O151" s="76">
        <f t="shared" si="68"/>
        <v>-0.35583959595106451</v>
      </c>
      <c r="P151" s="77">
        <f t="shared" si="69"/>
        <v>0.31073133085139193</v>
      </c>
      <c r="Q151" s="76">
        <f t="shared" si="70"/>
        <v>8.4016524416807389E-2</v>
      </c>
      <c r="R151" s="75">
        <f t="shared" si="71"/>
        <v>-0.27093949685000951</v>
      </c>
    </row>
    <row r="152" spans="2:18">
      <c r="B152" s="81"/>
      <c r="C152">
        <v>9</v>
      </c>
      <c r="D152">
        <v>384</v>
      </c>
      <c r="E152">
        <v>1.2426666666666699</v>
      </c>
      <c r="F152" s="78"/>
      <c r="G152" s="75">
        <f t="shared" si="60"/>
        <v>0.51796366207273969</v>
      </c>
      <c r="H152" s="76">
        <f t="shared" si="61"/>
        <v>-0.33333333333333337</v>
      </c>
      <c r="I152" s="75">
        <f t="shared" si="62"/>
        <v>-1.0638297872340441E-2</v>
      </c>
      <c r="J152" s="75">
        <f t="shared" si="63"/>
        <v>9.809291945628118E-2</v>
      </c>
      <c r="K152" s="76">
        <f t="shared" si="64"/>
        <v>0.10400998443352889</v>
      </c>
      <c r="L152" s="77">
        <f t="shared" si="65"/>
        <v>0.24338565305969112</v>
      </c>
      <c r="M152" s="76">
        <f t="shared" si="66"/>
        <v>0.16101334165447367</v>
      </c>
      <c r="N152" s="77">
        <f t="shared" si="67"/>
        <v>0.32169337145851679</v>
      </c>
      <c r="O152" s="76">
        <f t="shared" si="68"/>
        <v>-0.35583959595106451</v>
      </c>
      <c r="P152" s="77">
        <f t="shared" si="69"/>
        <v>0.32707143280958884</v>
      </c>
      <c r="Q152" s="76">
        <f t="shared" si="70"/>
        <v>0.10400998443352882</v>
      </c>
      <c r="R152" s="75">
        <f t="shared" si="71"/>
        <v>-0.27457800901304852</v>
      </c>
    </row>
    <row r="153" spans="2:18">
      <c r="B153" s="81"/>
      <c r="C153">
        <v>9</v>
      </c>
      <c r="D153">
        <v>400</v>
      </c>
      <c r="E153">
        <v>1.2273333333333301</v>
      </c>
      <c r="F153" s="78"/>
      <c r="G153" s="75">
        <f t="shared" si="60"/>
        <v>0.50988146110416566</v>
      </c>
      <c r="H153" s="76">
        <f t="shared" si="61"/>
        <v>-0.33333333333333337</v>
      </c>
      <c r="I153" s="75">
        <f t="shared" si="62"/>
        <v>1.0638297872340385E-2</v>
      </c>
      <c r="J153" s="75">
        <f t="shared" si="63"/>
        <v>8.8760397646579503E-2</v>
      </c>
      <c r="K153" s="76">
        <f t="shared" si="64"/>
        <v>0.12400344445025031</v>
      </c>
      <c r="L153" s="77">
        <f t="shared" si="65"/>
        <v>0.23166493992807816</v>
      </c>
      <c r="M153" s="76">
        <f t="shared" si="66"/>
        <v>0.18100680167119509</v>
      </c>
      <c r="N153" s="77">
        <f t="shared" si="67"/>
        <v>0.30997265832690379</v>
      </c>
      <c r="O153" s="76">
        <f t="shared" si="68"/>
        <v>-0.35583959595106451</v>
      </c>
      <c r="P153" s="77">
        <f t="shared" si="69"/>
        <v>0.31898923184101491</v>
      </c>
      <c r="Q153" s="76">
        <f t="shared" si="70"/>
        <v>0.12400344445025024</v>
      </c>
      <c r="R153" s="75">
        <f t="shared" si="71"/>
        <v>-0.27821652117608753</v>
      </c>
    </row>
    <row r="154" spans="2:18">
      <c r="B154" s="81"/>
      <c r="C154">
        <v>9</v>
      </c>
      <c r="D154">
        <v>416</v>
      </c>
      <c r="E154">
        <v>1.2893333333333299</v>
      </c>
      <c r="F154" s="78"/>
      <c r="G154" s="75">
        <f t="shared" si="60"/>
        <v>0.54256166502055958</v>
      </c>
      <c r="H154" s="76">
        <f t="shared" si="61"/>
        <v>-0.33333333333333337</v>
      </c>
      <c r="I154" s="75">
        <f t="shared" si="62"/>
        <v>3.1914893617021267E-2</v>
      </c>
      <c r="J154" s="75">
        <f t="shared" si="63"/>
        <v>0.12649624670318316</v>
      </c>
      <c r="K154" s="76">
        <f t="shared" si="64"/>
        <v>0.1439969044669718</v>
      </c>
      <c r="L154" s="77">
        <f t="shared" si="65"/>
        <v>0.26070663168143293</v>
      </c>
      <c r="M154" s="76">
        <f t="shared" si="66"/>
        <v>0.2010002616879166</v>
      </c>
      <c r="N154" s="77">
        <f t="shared" si="67"/>
        <v>0.3390143500802586</v>
      </c>
      <c r="O154" s="76">
        <f t="shared" si="68"/>
        <v>-0.35583959595106451</v>
      </c>
      <c r="P154" s="77">
        <f t="shared" si="69"/>
        <v>0.35166943575740872</v>
      </c>
      <c r="Q154" s="76">
        <f t="shared" si="70"/>
        <v>0.14399690446697172</v>
      </c>
      <c r="R154" s="75">
        <f t="shared" si="71"/>
        <v>-0.28185503333912659</v>
      </c>
    </row>
    <row r="155" spans="2:18">
      <c r="B155" s="81"/>
      <c r="C155">
        <v>9</v>
      </c>
      <c r="D155">
        <v>432</v>
      </c>
      <c r="E155">
        <v>1.3316666666666701</v>
      </c>
      <c r="F155" s="78"/>
      <c r="G155" s="75">
        <f t="shared" si="60"/>
        <v>0.56487556769466007</v>
      </c>
      <c r="H155" s="76">
        <f t="shared" si="61"/>
        <v>-0.33333333333333337</v>
      </c>
      <c r="I155" s="75">
        <f t="shared" si="62"/>
        <v>5.3191489361702149E-2</v>
      </c>
      <c r="J155" s="75">
        <f t="shared" si="63"/>
        <v>0.15226212213430923</v>
      </c>
      <c r="K155" s="76">
        <f t="shared" si="64"/>
        <v>0.16399036448369331</v>
      </c>
      <c r="L155" s="77">
        <f t="shared" si="65"/>
        <v>0.27938202219249442</v>
      </c>
      <c r="M155" s="76">
        <f t="shared" si="66"/>
        <v>0.2209937217046381</v>
      </c>
      <c r="N155" s="77">
        <f t="shared" si="67"/>
        <v>0.35768974059132003</v>
      </c>
      <c r="O155" s="76">
        <f t="shared" si="68"/>
        <v>-0.35583959595106451</v>
      </c>
      <c r="P155" s="77">
        <f t="shared" si="69"/>
        <v>0.37398333843150922</v>
      </c>
      <c r="Q155" s="76">
        <f t="shared" si="70"/>
        <v>0.16399036448369322</v>
      </c>
      <c r="R155" s="75">
        <f t="shared" si="71"/>
        <v>-0.28549354550216566</v>
      </c>
    </row>
    <row r="156" spans="2:18">
      <c r="B156" s="81"/>
      <c r="C156">
        <v>9</v>
      </c>
      <c r="D156">
        <v>448</v>
      </c>
      <c r="E156">
        <v>1.383</v>
      </c>
      <c r="F156" s="78"/>
      <c r="G156" s="75">
        <f t="shared" si="60"/>
        <v>0.59193337093726395</v>
      </c>
      <c r="H156" s="76">
        <f t="shared" si="61"/>
        <v>-0.33333333333333337</v>
      </c>
      <c r="I156" s="75">
        <f t="shared" si="62"/>
        <v>7.4468085106383031E-2</v>
      </c>
      <c r="J156" s="75">
        <f t="shared" si="63"/>
        <v>0.18350578210590385</v>
      </c>
      <c r="K156" s="76">
        <f t="shared" si="64"/>
        <v>0.18398382450041478</v>
      </c>
      <c r="L156" s="77">
        <f t="shared" si="65"/>
        <v>0.30280131327205928</v>
      </c>
      <c r="M156" s="76">
        <f t="shared" si="66"/>
        <v>0.24098718172135958</v>
      </c>
      <c r="N156" s="77">
        <f t="shared" si="67"/>
        <v>0.38110903167088495</v>
      </c>
      <c r="O156" s="76">
        <f t="shared" si="68"/>
        <v>-0.35583959595106451</v>
      </c>
      <c r="P156" s="77">
        <f t="shared" si="69"/>
        <v>0.40104114167411309</v>
      </c>
      <c r="Q156" s="76">
        <f t="shared" si="70"/>
        <v>0.1839838245004147</v>
      </c>
      <c r="R156" s="75">
        <f t="shared" si="71"/>
        <v>-0.28913205766520467</v>
      </c>
    </row>
    <row r="157" spans="2:18">
      <c r="B157" s="81"/>
      <c r="C157">
        <v>9</v>
      </c>
      <c r="D157">
        <v>464</v>
      </c>
      <c r="E157">
        <v>1.49766666666667</v>
      </c>
      <c r="F157" s="78"/>
      <c r="G157" s="75">
        <f t="shared" si="60"/>
        <v>0.65237417818048882</v>
      </c>
      <c r="H157" s="76">
        <f t="shared" si="61"/>
        <v>-0.33333333333333337</v>
      </c>
      <c r="I157" s="75">
        <f t="shared" si="62"/>
        <v>9.5744680851063801E-2</v>
      </c>
      <c r="J157" s="75">
        <f t="shared" si="63"/>
        <v>0.2532968147697322</v>
      </c>
      <c r="K157" s="76">
        <f t="shared" si="64"/>
        <v>0.20397728451713618</v>
      </c>
      <c r="L157" s="77">
        <f t="shared" si="65"/>
        <v>0.3596036083522452</v>
      </c>
      <c r="M157" s="76">
        <f t="shared" si="66"/>
        <v>0.260980641738081</v>
      </c>
      <c r="N157" s="77">
        <f t="shared" si="67"/>
        <v>0.43791132675107081</v>
      </c>
      <c r="O157" s="76">
        <f t="shared" si="68"/>
        <v>-0.35583959595106446</v>
      </c>
      <c r="P157" s="77">
        <f t="shared" si="69"/>
        <v>0.46148194891733807</v>
      </c>
      <c r="Q157" s="76">
        <f t="shared" si="70"/>
        <v>0.20397728451713609</v>
      </c>
      <c r="R157" s="75">
        <f t="shared" si="71"/>
        <v>-0.29277056982824368</v>
      </c>
    </row>
    <row r="158" spans="2:18">
      <c r="B158" s="81"/>
      <c r="C158">
        <v>9</v>
      </c>
      <c r="D158">
        <v>480</v>
      </c>
      <c r="E158">
        <v>1.56</v>
      </c>
      <c r="F158" s="78"/>
      <c r="G158" s="75">
        <f t="shared" si="60"/>
        <v>0.68523008211793679</v>
      </c>
      <c r="H158" s="76">
        <f t="shared" si="61"/>
        <v>-0.33333333333333337</v>
      </c>
      <c r="I158" s="75">
        <f t="shared" si="62"/>
        <v>0.11702127659574468</v>
      </c>
      <c r="J158" s="75">
        <f t="shared" si="63"/>
        <v>0.29123554473524038</v>
      </c>
      <c r="K158" s="76">
        <f t="shared" si="64"/>
        <v>0.22397074453385765</v>
      </c>
      <c r="L158" s="77">
        <f t="shared" si="65"/>
        <v>0.3888210001266541</v>
      </c>
      <c r="M158" s="76">
        <f t="shared" si="66"/>
        <v>0.28097410175480247</v>
      </c>
      <c r="N158" s="77">
        <f t="shared" si="67"/>
        <v>0.46712871852547977</v>
      </c>
      <c r="O158" s="76">
        <f t="shared" si="68"/>
        <v>-0.35583959595106446</v>
      </c>
      <c r="P158" s="77">
        <f t="shared" si="69"/>
        <v>0.49433785285478604</v>
      </c>
      <c r="Q158" s="76">
        <f t="shared" si="70"/>
        <v>0.22397074453385757</v>
      </c>
      <c r="R158" s="75">
        <f t="shared" si="71"/>
        <v>-0.29640908199128269</v>
      </c>
    </row>
    <row r="159" spans="2:18">
      <c r="B159" s="81"/>
      <c r="C159">
        <v>9</v>
      </c>
      <c r="D159">
        <v>496</v>
      </c>
      <c r="E159">
        <v>1.60666666666667</v>
      </c>
      <c r="F159" s="78"/>
      <c r="G159" s="75">
        <f t="shared" si="60"/>
        <v>0.709828085065762</v>
      </c>
      <c r="H159" s="76">
        <f t="shared" si="61"/>
        <v>-0.33333333333333337</v>
      </c>
      <c r="I159" s="75">
        <f t="shared" si="62"/>
        <v>0.13829787234042556</v>
      </c>
      <c r="J159" s="75">
        <f t="shared" si="63"/>
        <v>0.31963887198214846</v>
      </c>
      <c r="K159" s="76">
        <f t="shared" si="64"/>
        <v>0.24396420455057913</v>
      </c>
      <c r="L159" s="77">
        <f t="shared" si="65"/>
        <v>0.40978049091144025</v>
      </c>
      <c r="M159" s="76">
        <f t="shared" si="66"/>
        <v>0.30096756177152395</v>
      </c>
      <c r="N159" s="77">
        <f t="shared" si="67"/>
        <v>0.48808820931026586</v>
      </c>
      <c r="O159" s="76">
        <f t="shared" si="68"/>
        <v>-0.35583959595106446</v>
      </c>
      <c r="P159" s="77">
        <f t="shared" si="69"/>
        <v>0.51893585580261115</v>
      </c>
      <c r="Q159" s="76">
        <f t="shared" si="70"/>
        <v>0.24396420455057904</v>
      </c>
      <c r="R159" s="75">
        <f t="shared" si="71"/>
        <v>-0.30004759415432175</v>
      </c>
    </row>
    <row r="160" spans="2:18">
      <c r="B160" s="81"/>
      <c r="C160">
        <v>9</v>
      </c>
      <c r="D160">
        <v>512</v>
      </c>
      <c r="E160">
        <v>1.6746666666666701</v>
      </c>
      <c r="F160" s="78"/>
      <c r="G160" s="75">
        <f t="shared" si="60"/>
        <v>0.74567088936116188</v>
      </c>
      <c r="H160" s="76">
        <f t="shared" si="61"/>
        <v>-0.33333333333333337</v>
      </c>
      <c r="I160" s="75">
        <f t="shared" si="62"/>
        <v>0.15957446808510634</v>
      </c>
      <c r="J160" s="75">
        <f t="shared" si="63"/>
        <v>0.36102657739906885</v>
      </c>
      <c r="K160" s="76">
        <f t="shared" si="64"/>
        <v>0.26395766456730052</v>
      </c>
      <c r="L160" s="77">
        <f t="shared" si="65"/>
        <v>0.44198478304380112</v>
      </c>
      <c r="M160" s="76">
        <f t="shared" si="66"/>
        <v>0.32096102178824532</v>
      </c>
      <c r="N160" s="77">
        <f t="shared" si="67"/>
        <v>0.52029250144262673</v>
      </c>
      <c r="O160" s="76">
        <f t="shared" si="68"/>
        <v>-0.35583959595106446</v>
      </c>
      <c r="P160" s="77">
        <f t="shared" si="69"/>
        <v>0.55477866009801102</v>
      </c>
      <c r="Q160" s="76">
        <f t="shared" si="70"/>
        <v>0.26395766456730041</v>
      </c>
      <c r="R160" s="75">
        <f t="shared" si="71"/>
        <v>-0.30368610631736076</v>
      </c>
    </row>
    <row r="161" spans="2:18">
      <c r="B161" s="81"/>
      <c r="C161">
        <v>12</v>
      </c>
      <c r="D161">
        <v>16</v>
      </c>
      <c r="E161">
        <v>0.26</v>
      </c>
      <c r="F161" s="78"/>
      <c r="G161" s="75">
        <f t="shared" si="60"/>
        <v>0</v>
      </c>
      <c r="H161" s="76">
        <f t="shared" si="61"/>
        <v>-0.25</v>
      </c>
      <c r="I161" s="75">
        <f t="shared" si="62"/>
        <v>-0.5</v>
      </c>
      <c r="J161" s="75">
        <f t="shared" si="63"/>
        <v>-0.5</v>
      </c>
      <c r="K161" s="76">
        <f t="shared" si="64"/>
        <v>-0.38434127456153699</v>
      </c>
      <c r="L161" s="77">
        <f t="shared" si="65"/>
        <v>-0.23004608846256366</v>
      </c>
      <c r="M161" s="76">
        <f t="shared" si="66"/>
        <v>-0.29883623873011983</v>
      </c>
      <c r="N161" s="77">
        <f t="shared" si="67"/>
        <v>-0.11258451086432519</v>
      </c>
      <c r="O161" s="76">
        <f t="shared" si="68"/>
        <v>-0.38434127456153699</v>
      </c>
      <c r="P161" s="77">
        <f t="shared" si="69"/>
        <v>-0.23004608846256366</v>
      </c>
      <c r="Q161" s="76">
        <f t="shared" si="70"/>
        <v>-0.38434127456153699</v>
      </c>
      <c r="R161" s="75">
        <f t="shared" si="71"/>
        <v>-0.23004608846256366</v>
      </c>
    </row>
    <row r="162" spans="2:18">
      <c r="B162" s="81"/>
      <c r="C162">
        <v>12</v>
      </c>
      <c r="D162">
        <v>32</v>
      </c>
      <c r="E162">
        <v>0.312</v>
      </c>
      <c r="F162" s="78"/>
      <c r="G162" s="75">
        <f t="shared" si="60"/>
        <v>2.7409203284717465E-2</v>
      </c>
      <c r="H162" s="76">
        <f t="shared" si="61"/>
        <v>-0.25</v>
      </c>
      <c r="I162" s="75">
        <f t="shared" si="62"/>
        <v>-0.47872340425531917</v>
      </c>
      <c r="J162" s="75">
        <f t="shared" si="63"/>
        <v>-0.4683505782105904</v>
      </c>
      <c r="K162" s="76">
        <f t="shared" si="64"/>
        <v>-0.36434781454481557</v>
      </c>
      <c r="L162" s="77">
        <f t="shared" si="65"/>
        <v>-0.20627539734088524</v>
      </c>
      <c r="M162" s="76">
        <f t="shared" si="66"/>
        <v>-0.27884277871339841</v>
      </c>
      <c r="N162" s="77">
        <f t="shared" si="67"/>
        <v>-8.8813819742646738E-2</v>
      </c>
      <c r="O162" s="76">
        <f t="shared" si="68"/>
        <v>-0.38434127456153699</v>
      </c>
      <c r="P162" s="77">
        <f t="shared" si="69"/>
        <v>-0.2026368851778462</v>
      </c>
      <c r="Q162" s="76">
        <f t="shared" si="70"/>
        <v>-0.36434781454481557</v>
      </c>
      <c r="R162" s="75">
        <f t="shared" si="71"/>
        <v>-0.2336846006256027</v>
      </c>
    </row>
    <row r="163" spans="2:18">
      <c r="B163" s="81"/>
      <c r="C163">
        <v>12</v>
      </c>
      <c r="D163">
        <v>48</v>
      </c>
      <c r="E163">
        <v>0.40533333333333299</v>
      </c>
      <c r="F163" s="78"/>
      <c r="G163" s="75">
        <f t="shared" si="60"/>
        <v>7.6605209180364064E-2</v>
      </c>
      <c r="H163" s="76">
        <f t="shared" si="61"/>
        <v>-0.25</v>
      </c>
      <c r="I163" s="75">
        <f t="shared" si="62"/>
        <v>-0.45744680851063829</v>
      </c>
      <c r="J163" s="75">
        <f t="shared" si="63"/>
        <v>-0.41154392371677845</v>
      </c>
      <c r="K163" s="76">
        <f t="shared" si="64"/>
        <v>-0.3443543545280941</v>
      </c>
      <c r="L163" s="77">
        <f t="shared" si="65"/>
        <v>-0.16071790360827765</v>
      </c>
      <c r="M163" s="76">
        <f t="shared" si="66"/>
        <v>-0.25884931869667688</v>
      </c>
      <c r="N163" s="77">
        <f t="shared" si="67"/>
        <v>-4.3256326010039203E-2</v>
      </c>
      <c r="O163" s="76">
        <f t="shared" si="68"/>
        <v>-0.38434127456153699</v>
      </c>
      <c r="P163" s="77">
        <f t="shared" si="69"/>
        <v>-0.1534408792821996</v>
      </c>
      <c r="Q163" s="76">
        <f t="shared" si="70"/>
        <v>-0.3443543545280941</v>
      </c>
      <c r="R163" s="75">
        <f t="shared" si="71"/>
        <v>-0.23732311278864171</v>
      </c>
    </row>
    <row r="164" spans="2:18">
      <c r="B164" s="81"/>
      <c r="C164">
        <v>12</v>
      </c>
      <c r="D164">
        <v>64</v>
      </c>
      <c r="E164">
        <v>0.51500000000000001</v>
      </c>
      <c r="F164" s="78"/>
      <c r="G164" s="75">
        <f t="shared" si="60"/>
        <v>0.13441051610774918</v>
      </c>
      <c r="H164" s="76">
        <f t="shared" si="61"/>
        <v>-0.25</v>
      </c>
      <c r="I164" s="75">
        <f t="shared" si="62"/>
        <v>-0.43617021276595747</v>
      </c>
      <c r="J164" s="75">
        <f t="shared" si="63"/>
        <v>-0.34479610468654898</v>
      </c>
      <c r="K164" s="76">
        <f t="shared" si="64"/>
        <v>-0.32436089451137268</v>
      </c>
      <c r="L164" s="77">
        <f t="shared" si="65"/>
        <v>-0.10655110884393157</v>
      </c>
      <c r="M164" s="76">
        <f t="shared" si="66"/>
        <v>-0.23885585867995549</v>
      </c>
      <c r="N164" s="77">
        <f t="shared" si="67"/>
        <v>1.0910468754306901E-2</v>
      </c>
      <c r="O164" s="76">
        <f t="shared" si="68"/>
        <v>-0.38434127456153699</v>
      </c>
      <c r="P164" s="77">
        <f t="shared" si="69"/>
        <v>-9.5635572354814485E-2</v>
      </c>
      <c r="Q164" s="76">
        <f t="shared" si="70"/>
        <v>-0.32436089451137268</v>
      </c>
      <c r="R164" s="75">
        <f t="shared" si="71"/>
        <v>-0.24096162495168075</v>
      </c>
    </row>
    <row r="165" spans="2:18">
      <c r="B165" s="81"/>
      <c r="C165">
        <v>12</v>
      </c>
      <c r="D165">
        <v>80</v>
      </c>
      <c r="E165">
        <v>0.64500000000000002</v>
      </c>
      <c r="F165" s="78"/>
      <c r="G165" s="75">
        <f t="shared" si="60"/>
        <v>0.20293352431954287</v>
      </c>
      <c r="H165" s="76">
        <f t="shared" si="61"/>
        <v>-0.25</v>
      </c>
      <c r="I165" s="75">
        <f t="shared" si="62"/>
        <v>-0.41489361702127658</v>
      </c>
      <c r="J165" s="75">
        <f t="shared" si="63"/>
        <v>-0.26567255021302494</v>
      </c>
      <c r="K165" s="76">
        <f t="shared" si="64"/>
        <v>-0.30436743449465115</v>
      </c>
      <c r="L165" s="77">
        <f t="shared" si="65"/>
        <v>-4.1666612795176916E-2</v>
      </c>
      <c r="M165" s="76">
        <f t="shared" si="66"/>
        <v>-0.21886239866323393</v>
      </c>
      <c r="N165" s="77">
        <f t="shared" si="67"/>
        <v>7.5794964803061582E-2</v>
      </c>
      <c r="O165" s="76">
        <f t="shared" si="68"/>
        <v>-0.38434127456153699</v>
      </c>
      <c r="P165" s="77">
        <f t="shared" si="69"/>
        <v>-2.7112564143020795E-2</v>
      </c>
      <c r="Q165" s="76">
        <f t="shared" si="70"/>
        <v>-0.30436743449465115</v>
      </c>
      <c r="R165" s="75">
        <f t="shared" si="71"/>
        <v>-0.24460013711471978</v>
      </c>
    </row>
    <row r="166" spans="2:18">
      <c r="B166" s="81"/>
      <c r="C166">
        <v>12</v>
      </c>
      <c r="D166">
        <v>96</v>
      </c>
      <c r="E166">
        <v>0.69666666666666699</v>
      </c>
      <c r="F166" s="78"/>
      <c r="G166" s="75">
        <f t="shared" si="60"/>
        <v>0.23016702758320459</v>
      </c>
      <c r="H166" s="76">
        <f t="shared" si="61"/>
        <v>-0.25</v>
      </c>
      <c r="I166" s="75">
        <f t="shared" si="62"/>
        <v>-0.39361702127659576</v>
      </c>
      <c r="J166" s="75">
        <f t="shared" si="63"/>
        <v>-0.23422600933252163</v>
      </c>
      <c r="K166" s="76">
        <f t="shared" si="64"/>
        <v>-0.28437397447792973</v>
      </c>
      <c r="L166" s="77">
        <f t="shared" si="65"/>
        <v>-1.8071621694554202E-2</v>
      </c>
      <c r="M166" s="76">
        <f t="shared" si="66"/>
        <v>-0.19886893864651251</v>
      </c>
      <c r="N166" s="77">
        <f t="shared" si="67"/>
        <v>9.9389955903684241E-2</v>
      </c>
      <c r="O166" s="76">
        <f t="shared" si="68"/>
        <v>-0.38434127456153699</v>
      </c>
      <c r="P166" s="77">
        <f t="shared" si="69"/>
        <v>1.2093912064092827E-4</v>
      </c>
      <c r="Q166" s="76">
        <f t="shared" si="70"/>
        <v>-0.28437397447792973</v>
      </c>
      <c r="R166" s="75">
        <f t="shared" si="71"/>
        <v>-0.24823864927775879</v>
      </c>
    </row>
    <row r="167" spans="2:18">
      <c r="B167" s="81"/>
      <c r="C167">
        <v>12</v>
      </c>
      <c r="D167">
        <v>112</v>
      </c>
      <c r="E167">
        <v>0.76433333333333298</v>
      </c>
      <c r="F167" s="78"/>
      <c r="G167" s="75">
        <f t="shared" si="60"/>
        <v>0.26583413185754817</v>
      </c>
      <c r="H167" s="76">
        <f t="shared" si="61"/>
        <v>-0.25</v>
      </c>
      <c r="I167" s="75">
        <f t="shared" si="62"/>
        <v>-0.37234042553191493</v>
      </c>
      <c r="J167" s="75">
        <f t="shared" si="63"/>
        <v>-0.19304118482450822</v>
      </c>
      <c r="K167" s="76">
        <f t="shared" si="64"/>
        <v>-0.26438051446120825</v>
      </c>
      <c r="L167" s="77">
        <f t="shared" si="65"/>
        <v>1.3956970416750314E-2</v>
      </c>
      <c r="M167" s="76">
        <f t="shared" si="66"/>
        <v>-0.17887547862979108</v>
      </c>
      <c r="N167" s="77">
        <f t="shared" si="67"/>
        <v>0.13141854801498881</v>
      </c>
      <c r="O167" s="76">
        <f t="shared" si="68"/>
        <v>-0.38434127456153694</v>
      </c>
      <c r="P167" s="77">
        <f t="shared" si="69"/>
        <v>3.5788043394984509E-2</v>
      </c>
      <c r="Q167" s="76">
        <f t="shared" si="70"/>
        <v>-0.2643805144612083</v>
      </c>
      <c r="R167" s="75">
        <f t="shared" si="71"/>
        <v>-0.25187716144079786</v>
      </c>
    </row>
    <row r="168" spans="2:18">
      <c r="B168" s="81"/>
      <c r="C168">
        <v>12</v>
      </c>
      <c r="D168">
        <v>128</v>
      </c>
      <c r="E168">
        <v>0.78</v>
      </c>
      <c r="F168" s="78"/>
      <c r="G168" s="75">
        <f t="shared" ref="G168:G189" si="72">D$19*(L168-R168)</f>
        <v>0.27409203284717476</v>
      </c>
      <c r="H168" s="76">
        <f t="shared" ref="H168:H189" si="73">(C168-H$16)/H$17-0.5</f>
        <v>-0.25</v>
      </c>
      <c r="I168" s="75">
        <f t="shared" ref="I168:I189" si="74">(D168-I$16)/I$17-0.5</f>
        <v>-0.35106382978723405</v>
      </c>
      <c r="J168" s="75">
        <f t="shared" ref="J168:J189" si="75">(E168-J$16)/J$17-0.5</f>
        <v>-0.18350578210590385</v>
      </c>
      <c r="K168" s="76">
        <f t="shared" ref="K168:K189" si="76">(H168*$H$13+I168*$I$13+J168*$J$13+$D$27)*$C$27</f>
        <v>-0.2443870544444868</v>
      </c>
      <c r="L168" s="77">
        <f t="shared" ref="L168:L189" si="77">(H168*$H$14+I168*$I$14+J168*$J$14+$E$27)*$C$27</f>
        <v>1.8576359243337892E-2</v>
      </c>
      <c r="M168" s="76">
        <f t="shared" ref="M168:M189" si="78">(H$27*$H$13+I168*$I$13+J168*$J$13+$D$27)*$C$27</f>
        <v>-0.15888201861306961</v>
      </c>
      <c r="N168" s="77">
        <f t="shared" ref="N168:N189" si="79">(H$27*$H$14+I168*$I$14+J168*$J$14+$E$27)*$C$27</f>
        <v>0.13603793684157633</v>
      </c>
      <c r="O168" s="76">
        <f t="shared" ref="O168:O189" si="80">(H168*$H$13+I$27*$I$13+J168*$J$13+$D$27)*$C$27</f>
        <v>-0.38434127456153694</v>
      </c>
      <c r="P168" s="77">
        <f t="shared" ref="P168:P189" si="81">(H168*$H$14+I$27*$I$14+J168*$J$14+$E$27)*$C$27</f>
        <v>4.4045944384611097E-2</v>
      </c>
      <c r="Q168" s="76">
        <f t="shared" ref="Q168:Q189" si="82">(H168*$H$13+I168*$I$13+J$27*$J$13+$D$27)*$C$27</f>
        <v>-0.24438705444448683</v>
      </c>
      <c r="R168" s="75">
        <f t="shared" ref="R168:R189" si="83">(H168*$H$14+I168*$I$14+J$27*$J$14+$E$27)*$C$27</f>
        <v>-0.25551567360383687</v>
      </c>
    </row>
    <row r="169" spans="2:18">
      <c r="B169" s="81"/>
      <c r="C169">
        <v>12</v>
      </c>
      <c r="D169">
        <v>144</v>
      </c>
      <c r="E169">
        <v>0.84233333333333305</v>
      </c>
      <c r="F169" s="78"/>
      <c r="G169" s="75">
        <f t="shared" si="72"/>
        <v>0.3069479367846244</v>
      </c>
      <c r="H169" s="76">
        <f t="shared" si="73"/>
        <v>-0.25</v>
      </c>
      <c r="I169" s="75">
        <f t="shared" si="74"/>
        <v>-0.32978723404255317</v>
      </c>
      <c r="J169" s="75">
        <f t="shared" si="75"/>
        <v>-0.14556705214039378</v>
      </c>
      <c r="K169" s="76">
        <f t="shared" si="76"/>
        <v>-0.22439359442776532</v>
      </c>
      <c r="L169" s="77">
        <f t="shared" si="77"/>
        <v>4.7793751017748493E-2</v>
      </c>
      <c r="M169" s="76">
        <f t="shared" si="78"/>
        <v>-0.13888855859634813</v>
      </c>
      <c r="N169" s="77">
        <f t="shared" si="79"/>
        <v>0.16525532861598696</v>
      </c>
      <c r="O169" s="76">
        <f t="shared" si="80"/>
        <v>-0.38434127456153694</v>
      </c>
      <c r="P169" s="77">
        <f t="shared" si="81"/>
        <v>7.6901848322060734E-2</v>
      </c>
      <c r="Q169" s="76">
        <f t="shared" si="82"/>
        <v>-0.22439359442776535</v>
      </c>
      <c r="R169" s="75">
        <f t="shared" si="83"/>
        <v>-0.25915418576687588</v>
      </c>
    </row>
    <row r="170" spans="2:18">
      <c r="B170" s="81"/>
      <c r="C170">
        <v>12</v>
      </c>
      <c r="D170">
        <v>160</v>
      </c>
      <c r="E170">
        <v>0.90466666666666695</v>
      </c>
      <c r="F170" s="78"/>
      <c r="G170" s="75">
        <f t="shared" si="72"/>
        <v>0.33980384072207448</v>
      </c>
      <c r="H170" s="76">
        <f t="shared" si="73"/>
        <v>-0.25</v>
      </c>
      <c r="I170" s="75">
        <f t="shared" si="74"/>
        <v>-0.30851063829787234</v>
      </c>
      <c r="J170" s="75">
        <f t="shared" si="75"/>
        <v>-0.10762832217488316</v>
      </c>
      <c r="K170" s="76">
        <f t="shared" si="76"/>
        <v>-0.20440013441104388</v>
      </c>
      <c r="L170" s="77">
        <f t="shared" si="77"/>
        <v>7.7011142792159565E-2</v>
      </c>
      <c r="M170" s="76">
        <f t="shared" si="78"/>
        <v>-0.1188950985796267</v>
      </c>
      <c r="N170" s="77">
        <f t="shared" si="79"/>
        <v>0.19447272039039806</v>
      </c>
      <c r="O170" s="76">
        <f t="shared" si="80"/>
        <v>-0.38434127456153694</v>
      </c>
      <c r="P170" s="77">
        <f t="shared" si="81"/>
        <v>0.10975775225951084</v>
      </c>
      <c r="Q170" s="76">
        <f t="shared" si="82"/>
        <v>-0.20440013441104393</v>
      </c>
      <c r="R170" s="75">
        <f t="shared" si="83"/>
        <v>-0.26279269792991494</v>
      </c>
    </row>
    <row r="171" spans="2:18">
      <c r="B171" s="81"/>
      <c r="C171">
        <v>12</v>
      </c>
      <c r="D171">
        <v>176</v>
      </c>
      <c r="E171">
        <v>1.1080000000000001</v>
      </c>
      <c r="F171" s="78"/>
      <c r="G171" s="75">
        <f t="shared" si="72"/>
        <v>0.44698085356616202</v>
      </c>
      <c r="H171" s="76">
        <f t="shared" si="73"/>
        <v>-0.25</v>
      </c>
      <c r="I171" s="75">
        <f t="shared" si="74"/>
        <v>-0.28723404255319152</v>
      </c>
      <c r="J171" s="75">
        <f t="shared" si="75"/>
        <v>1.6129032258064613E-2</v>
      </c>
      <c r="K171" s="76">
        <f t="shared" si="76"/>
        <v>-0.1844066743943224</v>
      </c>
      <c r="L171" s="77">
        <f t="shared" si="77"/>
        <v>0.18054964347320804</v>
      </c>
      <c r="M171" s="76">
        <f t="shared" si="78"/>
        <v>-9.8901638562905209E-2</v>
      </c>
      <c r="N171" s="77">
        <f t="shared" si="79"/>
        <v>0.29801122107144651</v>
      </c>
      <c r="O171" s="76">
        <f t="shared" si="80"/>
        <v>-0.38434127456153694</v>
      </c>
      <c r="P171" s="77">
        <f t="shared" si="81"/>
        <v>0.21693476510359833</v>
      </c>
      <c r="Q171" s="76">
        <f t="shared" si="82"/>
        <v>-0.18440667439432246</v>
      </c>
      <c r="R171" s="75">
        <f t="shared" si="83"/>
        <v>-0.26643121009295395</v>
      </c>
    </row>
    <row r="172" spans="2:18">
      <c r="B172" s="81"/>
      <c r="C172">
        <v>12</v>
      </c>
      <c r="D172">
        <v>192</v>
      </c>
      <c r="E172">
        <v>1.15933333333333</v>
      </c>
      <c r="F172" s="78"/>
      <c r="G172" s="75">
        <f t="shared" si="72"/>
        <v>0.47403865680876583</v>
      </c>
      <c r="H172" s="76">
        <f t="shared" si="73"/>
        <v>-0.25</v>
      </c>
      <c r="I172" s="75">
        <f t="shared" si="74"/>
        <v>-0.26595744680851063</v>
      </c>
      <c r="J172" s="75">
        <f t="shared" si="75"/>
        <v>4.7372692229659119E-2</v>
      </c>
      <c r="K172" s="76">
        <f t="shared" si="76"/>
        <v>-0.16441321437760098</v>
      </c>
      <c r="L172" s="77">
        <f t="shared" si="77"/>
        <v>0.20396893455277282</v>
      </c>
      <c r="M172" s="76">
        <f t="shared" si="78"/>
        <v>-7.890817854618376E-2</v>
      </c>
      <c r="N172" s="77">
        <f t="shared" si="79"/>
        <v>0.32143051215101132</v>
      </c>
      <c r="O172" s="76">
        <f t="shared" si="80"/>
        <v>-0.38434127456153694</v>
      </c>
      <c r="P172" s="77">
        <f t="shared" si="81"/>
        <v>0.24399256834620217</v>
      </c>
      <c r="Q172" s="76">
        <f t="shared" si="82"/>
        <v>-0.16441321437760104</v>
      </c>
      <c r="R172" s="75">
        <f t="shared" si="83"/>
        <v>-0.27006972225599302</v>
      </c>
    </row>
    <row r="173" spans="2:18">
      <c r="B173" s="81"/>
      <c r="C173">
        <v>12</v>
      </c>
      <c r="D173">
        <v>208</v>
      </c>
      <c r="E173">
        <v>0.97233333333333305</v>
      </c>
      <c r="F173" s="78"/>
      <c r="G173" s="75">
        <f t="shared" si="72"/>
        <v>0.37547094499641809</v>
      </c>
      <c r="H173" s="76">
        <f t="shared" si="73"/>
        <v>-0.25</v>
      </c>
      <c r="I173" s="75">
        <f t="shared" si="74"/>
        <v>-0.24468085106382981</v>
      </c>
      <c r="J173" s="75">
        <f t="shared" si="75"/>
        <v>-6.6443497666869744E-2</v>
      </c>
      <c r="K173" s="76">
        <f t="shared" si="76"/>
        <v>-0.1444197543608795</v>
      </c>
      <c r="L173" s="77">
        <f t="shared" si="77"/>
        <v>0.10176271057738605</v>
      </c>
      <c r="M173" s="76">
        <f t="shared" si="78"/>
        <v>-5.8914718529462319E-2</v>
      </c>
      <c r="N173" s="77">
        <f t="shared" si="79"/>
        <v>0.2192242881756245</v>
      </c>
      <c r="O173" s="76">
        <f t="shared" si="80"/>
        <v>-0.38434127456153694</v>
      </c>
      <c r="P173" s="77">
        <f t="shared" si="81"/>
        <v>0.1454248565338544</v>
      </c>
      <c r="Q173" s="76">
        <f t="shared" si="82"/>
        <v>-0.14441975436087956</v>
      </c>
      <c r="R173" s="75">
        <f t="shared" si="83"/>
        <v>-0.27370823441903203</v>
      </c>
    </row>
    <row r="174" spans="2:18">
      <c r="B174" s="81"/>
      <c r="C174">
        <v>12</v>
      </c>
      <c r="D174">
        <v>224</v>
      </c>
      <c r="E174">
        <v>1.0193333333333301</v>
      </c>
      <c r="F174" s="78"/>
      <c r="G174" s="75">
        <f t="shared" si="72"/>
        <v>0.4002446479652958</v>
      </c>
      <c r="H174" s="76">
        <f t="shared" si="73"/>
        <v>-0.25</v>
      </c>
      <c r="I174" s="75">
        <f t="shared" si="74"/>
        <v>-0.22340425531914893</v>
      </c>
      <c r="J174" s="75">
        <f t="shared" si="75"/>
        <v>-3.7837289511058969E-2</v>
      </c>
      <c r="K174" s="76">
        <f t="shared" si="76"/>
        <v>-0.12442629434415804</v>
      </c>
      <c r="L174" s="77">
        <f t="shared" si="77"/>
        <v>0.12289790138322473</v>
      </c>
      <c r="M174" s="76">
        <f t="shared" si="78"/>
        <v>-3.8921258512740843E-2</v>
      </c>
      <c r="N174" s="77">
        <f t="shared" si="79"/>
        <v>0.2403594789814632</v>
      </c>
      <c r="O174" s="76">
        <f t="shared" si="80"/>
        <v>-0.38434127456153694</v>
      </c>
      <c r="P174" s="77">
        <f t="shared" si="81"/>
        <v>0.17019855950273213</v>
      </c>
      <c r="Q174" s="76">
        <f t="shared" si="82"/>
        <v>-0.1244262943441581</v>
      </c>
      <c r="R174" s="75">
        <f t="shared" si="83"/>
        <v>-0.27734674658207104</v>
      </c>
    </row>
    <row r="175" spans="2:18">
      <c r="B175" s="81"/>
      <c r="C175">
        <v>12</v>
      </c>
      <c r="D175">
        <v>240</v>
      </c>
      <c r="E175">
        <v>1.0920000000000001</v>
      </c>
      <c r="F175" s="78"/>
      <c r="G175" s="75">
        <f t="shared" si="72"/>
        <v>0.43854725255547966</v>
      </c>
      <c r="H175" s="76">
        <f t="shared" si="73"/>
        <v>-0.25</v>
      </c>
      <c r="I175" s="75">
        <f t="shared" si="74"/>
        <v>-0.2021276595744681</v>
      </c>
      <c r="J175" s="75">
        <f t="shared" si="75"/>
        <v>6.3907486305538885E-3</v>
      </c>
      <c r="K175" s="76">
        <f t="shared" si="76"/>
        <v>-0.10443283432743662</v>
      </c>
      <c r="L175" s="77">
        <f t="shared" si="77"/>
        <v>0.15756199381036953</v>
      </c>
      <c r="M175" s="76">
        <f t="shared" si="78"/>
        <v>-1.8927798496019416E-2</v>
      </c>
      <c r="N175" s="77">
        <f t="shared" si="79"/>
        <v>0.27502357140860806</v>
      </c>
      <c r="O175" s="76">
        <f t="shared" si="80"/>
        <v>-0.38434127456153694</v>
      </c>
      <c r="P175" s="77">
        <f t="shared" si="81"/>
        <v>0.20850116409291597</v>
      </c>
      <c r="Q175" s="76">
        <f t="shared" si="82"/>
        <v>-0.10443283432743668</v>
      </c>
      <c r="R175" s="75">
        <f t="shared" si="83"/>
        <v>-0.2809852587451101</v>
      </c>
    </row>
    <row r="176" spans="2:18">
      <c r="B176" s="81"/>
      <c r="C176">
        <v>12</v>
      </c>
      <c r="D176">
        <v>256</v>
      </c>
      <c r="E176">
        <v>1.1543333333333301</v>
      </c>
      <c r="F176" s="78"/>
      <c r="G176" s="75">
        <f t="shared" si="72"/>
        <v>0.47140315649292774</v>
      </c>
      <c r="H176" s="76">
        <f t="shared" si="73"/>
        <v>-0.25</v>
      </c>
      <c r="I176" s="75">
        <f t="shared" si="74"/>
        <v>-0.18085106382978722</v>
      </c>
      <c r="J176" s="75">
        <f t="shared" si="75"/>
        <v>4.4329478596062177E-2</v>
      </c>
      <c r="K176" s="76">
        <f t="shared" si="76"/>
        <v>-8.4439374310715146E-2</v>
      </c>
      <c r="L176" s="77">
        <f t="shared" si="77"/>
        <v>0.18677938558477861</v>
      </c>
      <c r="M176" s="76">
        <f t="shared" si="78"/>
        <v>1.0656615207020657E-3</v>
      </c>
      <c r="N176" s="77">
        <f t="shared" si="79"/>
        <v>0.30424096318301708</v>
      </c>
      <c r="O176" s="76">
        <f t="shared" si="80"/>
        <v>-0.38434127456153694</v>
      </c>
      <c r="P176" s="77">
        <f t="shared" si="81"/>
        <v>0.24135706803036408</v>
      </c>
      <c r="Q176" s="76">
        <f t="shared" si="82"/>
        <v>-8.4439374310715201E-2</v>
      </c>
      <c r="R176" s="75">
        <f t="shared" si="83"/>
        <v>-0.28462377090814917</v>
      </c>
    </row>
    <row r="177" spans="2:18">
      <c r="B177" s="81"/>
      <c r="C177">
        <v>12</v>
      </c>
      <c r="D177">
        <v>272</v>
      </c>
      <c r="E177">
        <v>1.17</v>
      </c>
      <c r="F177" s="78"/>
      <c r="G177" s="75">
        <f t="shared" si="72"/>
        <v>0.47966105748255583</v>
      </c>
      <c r="H177" s="76">
        <f t="shared" si="73"/>
        <v>-0.25</v>
      </c>
      <c r="I177" s="75">
        <f t="shared" si="74"/>
        <v>-0.15957446808510639</v>
      </c>
      <c r="J177" s="75">
        <f t="shared" si="75"/>
        <v>5.3864881314668267E-2</v>
      </c>
      <c r="K177" s="76">
        <f t="shared" si="76"/>
        <v>-6.4445914293993697E-2</v>
      </c>
      <c r="L177" s="77">
        <f t="shared" si="77"/>
        <v>0.19139877441136766</v>
      </c>
      <c r="M177" s="76">
        <f t="shared" si="78"/>
        <v>2.1059121537423516E-2</v>
      </c>
      <c r="N177" s="77">
        <f t="shared" si="79"/>
        <v>0.30886035200960615</v>
      </c>
      <c r="O177" s="76">
        <f t="shared" si="80"/>
        <v>-0.38434127456153694</v>
      </c>
      <c r="P177" s="77">
        <f t="shared" si="81"/>
        <v>0.24961496901999214</v>
      </c>
      <c r="Q177" s="76">
        <f t="shared" si="82"/>
        <v>-6.4445914293993753E-2</v>
      </c>
      <c r="R177" s="75">
        <f t="shared" si="83"/>
        <v>-0.28826228307118817</v>
      </c>
    </row>
    <row r="178" spans="2:18">
      <c r="B178" s="81"/>
      <c r="C178">
        <v>12</v>
      </c>
      <c r="D178">
        <v>288</v>
      </c>
      <c r="E178">
        <v>1.2326666666666699</v>
      </c>
      <c r="F178" s="78"/>
      <c r="G178" s="75">
        <f t="shared" si="72"/>
        <v>0.51269266144106318</v>
      </c>
      <c r="H178" s="76">
        <f t="shared" si="73"/>
        <v>-0.25</v>
      </c>
      <c r="I178" s="75">
        <f t="shared" si="74"/>
        <v>-0.13829787234042551</v>
      </c>
      <c r="J178" s="75">
        <f t="shared" si="75"/>
        <v>9.2006492189086964E-2</v>
      </c>
      <c r="K178" s="76">
        <f t="shared" si="76"/>
        <v>-4.4452454277272208E-2</v>
      </c>
      <c r="L178" s="77">
        <f t="shared" si="77"/>
        <v>0.220791866206836</v>
      </c>
      <c r="M178" s="76">
        <f t="shared" si="78"/>
        <v>4.1052581554144998E-2</v>
      </c>
      <c r="N178" s="77">
        <f t="shared" si="79"/>
        <v>0.33825344380507444</v>
      </c>
      <c r="O178" s="76">
        <f t="shared" si="80"/>
        <v>-0.38434127456153694</v>
      </c>
      <c r="P178" s="77">
        <f t="shared" si="81"/>
        <v>0.28264657297849954</v>
      </c>
      <c r="Q178" s="76">
        <f t="shared" si="82"/>
        <v>-4.4452454277272284E-2</v>
      </c>
      <c r="R178" s="75">
        <f t="shared" si="83"/>
        <v>-0.29190079523422718</v>
      </c>
    </row>
    <row r="179" spans="2:18">
      <c r="B179" s="81"/>
      <c r="C179">
        <v>12</v>
      </c>
      <c r="D179">
        <v>304</v>
      </c>
      <c r="E179">
        <v>1.2789999999999999</v>
      </c>
      <c r="F179" s="78"/>
      <c r="G179" s="75">
        <f t="shared" si="72"/>
        <v>0.53711496436782891</v>
      </c>
      <c r="H179" s="76">
        <f t="shared" si="73"/>
        <v>-0.25</v>
      </c>
      <c r="I179" s="75">
        <f t="shared" si="74"/>
        <v>-0.11702127659574468</v>
      </c>
      <c r="J179" s="75">
        <f t="shared" si="75"/>
        <v>0.12020693852708453</v>
      </c>
      <c r="K179" s="76">
        <f t="shared" si="76"/>
        <v>-2.4458994260550773E-2</v>
      </c>
      <c r="L179" s="77">
        <f t="shared" si="77"/>
        <v>0.24157565697056271</v>
      </c>
      <c r="M179" s="76">
        <f t="shared" si="78"/>
        <v>6.1046041570866433E-2</v>
      </c>
      <c r="N179" s="77">
        <f t="shared" si="79"/>
        <v>0.35903723456880121</v>
      </c>
      <c r="O179" s="76">
        <f t="shared" si="80"/>
        <v>-0.38434127456153694</v>
      </c>
      <c r="P179" s="77">
        <f t="shared" si="81"/>
        <v>0.30706887590526527</v>
      </c>
      <c r="Q179" s="76">
        <f t="shared" si="82"/>
        <v>-2.445899426055085E-2</v>
      </c>
      <c r="R179" s="75">
        <f t="shared" si="83"/>
        <v>-0.29553930739726619</v>
      </c>
    </row>
    <row r="180" spans="2:18">
      <c r="B180" s="81"/>
      <c r="C180">
        <v>12</v>
      </c>
      <c r="D180">
        <v>320</v>
      </c>
      <c r="E180">
        <v>1.357</v>
      </c>
      <c r="F180" s="78"/>
      <c r="G180" s="75">
        <f t="shared" si="72"/>
        <v>0.57822876929490519</v>
      </c>
      <c r="H180" s="76">
        <f t="shared" si="73"/>
        <v>-0.25</v>
      </c>
      <c r="I180" s="75">
        <f t="shared" si="74"/>
        <v>-9.5744680851063857E-2</v>
      </c>
      <c r="J180" s="75">
        <f t="shared" si="75"/>
        <v>0.16768107121119902</v>
      </c>
      <c r="K180" s="76">
        <f t="shared" si="76"/>
        <v>-4.4655342438293458E-3</v>
      </c>
      <c r="L180" s="77">
        <f t="shared" si="77"/>
        <v>0.27905094973459998</v>
      </c>
      <c r="M180" s="76">
        <f t="shared" si="78"/>
        <v>8.1039501587587853E-2</v>
      </c>
      <c r="N180" s="77">
        <f t="shared" si="79"/>
        <v>0.39651252733283848</v>
      </c>
      <c r="O180" s="76">
        <f t="shared" si="80"/>
        <v>-0.38434127456153694</v>
      </c>
      <c r="P180" s="77">
        <f t="shared" si="81"/>
        <v>0.34818268083234155</v>
      </c>
      <c r="Q180" s="76">
        <f t="shared" si="82"/>
        <v>-4.4655342438294282E-3</v>
      </c>
      <c r="R180" s="75">
        <f t="shared" si="83"/>
        <v>-0.2991778195603052</v>
      </c>
    </row>
    <row r="181" spans="2:18">
      <c r="B181" s="81"/>
      <c r="C181">
        <v>12</v>
      </c>
      <c r="D181">
        <v>336</v>
      </c>
      <c r="E181">
        <v>1.38866666666667</v>
      </c>
      <c r="F181" s="78"/>
      <c r="G181" s="75">
        <f t="shared" si="72"/>
        <v>0.59492027129521574</v>
      </c>
      <c r="H181" s="76">
        <f t="shared" si="73"/>
        <v>-0.25</v>
      </c>
      <c r="I181" s="75">
        <f t="shared" si="74"/>
        <v>-7.4468085106382975E-2</v>
      </c>
      <c r="J181" s="75">
        <f t="shared" si="75"/>
        <v>0.18695475755731594</v>
      </c>
      <c r="K181" s="76">
        <f t="shared" si="76"/>
        <v>1.5527925772892146E-2</v>
      </c>
      <c r="L181" s="77">
        <f t="shared" si="77"/>
        <v>0.29210393957187147</v>
      </c>
      <c r="M181" s="76">
        <f t="shared" si="78"/>
        <v>0.10103296160430936</v>
      </c>
      <c r="N181" s="77">
        <f t="shared" si="79"/>
        <v>0.40956551717010992</v>
      </c>
      <c r="O181" s="76">
        <f t="shared" si="80"/>
        <v>-0.38434127456153694</v>
      </c>
      <c r="P181" s="77">
        <f t="shared" si="81"/>
        <v>0.36487418283265205</v>
      </c>
      <c r="Q181" s="76">
        <f t="shared" si="82"/>
        <v>1.5527925772892063E-2</v>
      </c>
      <c r="R181" s="75">
        <f t="shared" si="83"/>
        <v>-0.30281633172334427</v>
      </c>
    </row>
    <row r="182" spans="2:18">
      <c r="B182" s="81"/>
      <c r="C182">
        <v>12</v>
      </c>
      <c r="D182">
        <v>352</v>
      </c>
      <c r="E182">
        <v>1.4663333333333299</v>
      </c>
      <c r="F182" s="78"/>
      <c r="G182" s="75">
        <f t="shared" si="72"/>
        <v>0.63585837620123242</v>
      </c>
      <c r="H182" s="76">
        <f t="shared" si="73"/>
        <v>-0.25</v>
      </c>
      <c r="I182" s="75">
        <f t="shared" si="74"/>
        <v>-5.3191489361702149E-2</v>
      </c>
      <c r="J182" s="75">
        <f t="shared" si="75"/>
        <v>0.23422600933251969</v>
      </c>
      <c r="K182" s="76">
        <f t="shared" si="76"/>
        <v>3.5521385789613578E-2</v>
      </c>
      <c r="L182" s="77">
        <f t="shared" si="77"/>
        <v>0.32940353231484909</v>
      </c>
      <c r="M182" s="76">
        <f t="shared" si="78"/>
        <v>0.12102642162103078</v>
      </c>
      <c r="N182" s="77">
        <f t="shared" si="79"/>
        <v>0.44686510991308759</v>
      </c>
      <c r="O182" s="76">
        <f t="shared" si="80"/>
        <v>-0.38434127456153688</v>
      </c>
      <c r="P182" s="77">
        <f t="shared" si="81"/>
        <v>0.40581228773866873</v>
      </c>
      <c r="Q182" s="76">
        <f t="shared" si="82"/>
        <v>3.5521385789613488E-2</v>
      </c>
      <c r="R182" s="75">
        <f t="shared" si="83"/>
        <v>-0.30645484388638333</v>
      </c>
    </row>
    <row r="183" spans="2:18">
      <c r="B183" s="81"/>
      <c r="C183">
        <v>12</v>
      </c>
      <c r="D183">
        <v>368</v>
      </c>
      <c r="E183">
        <v>1.5236666666666701</v>
      </c>
      <c r="F183" s="78"/>
      <c r="G183" s="75">
        <f t="shared" si="72"/>
        <v>0.66607877982284758</v>
      </c>
      <c r="H183" s="76">
        <f t="shared" si="73"/>
        <v>-0.25</v>
      </c>
      <c r="I183" s="75">
        <f t="shared" si="74"/>
        <v>-3.1914893617021267E-2</v>
      </c>
      <c r="J183" s="75">
        <f t="shared" si="75"/>
        <v>0.26912152566443703</v>
      </c>
      <c r="K183" s="76">
        <f t="shared" si="76"/>
        <v>5.5514845806335068E-2</v>
      </c>
      <c r="L183" s="77">
        <f t="shared" si="77"/>
        <v>0.35598542377342529</v>
      </c>
      <c r="M183" s="76">
        <f t="shared" si="78"/>
        <v>0.14101988163775228</v>
      </c>
      <c r="N183" s="77">
        <f t="shared" si="79"/>
        <v>0.47344700137166373</v>
      </c>
      <c r="O183" s="76">
        <f t="shared" si="80"/>
        <v>-0.38434127456153688</v>
      </c>
      <c r="P183" s="77">
        <f t="shared" si="81"/>
        <v>0.436032691360284</v>
      </c>
      <c r="Q183" s="76">
        <f t="shared" si="82"/>
        <v>5.5514845806334971E-2</v>
      </c>
      <c r="R183" s="75">
        <f t="shared" si="83"/>
        <v>-0.31009335604942234</v>
      </c>
    </row>
    <row r="184" spans="2:18">
      <c r="B184" s="81"/>
      <c r="C184">
        <v>12</v>
      </c>
      <c r="D184">
        <v>384</v>
      </c>
      <c r="E184">
        <v>1.5963333333333301</v>
      </c>
      <c r="F184" s="78"/>
      <c r="G184" s="75">
        <f t="shared" si="72"/>
        <v>0.70438138441302622</v>
      </c>
      <c r="H184" s="76">
        <f t="shared" si="73"/>
        <v>-0.25</v>
      </c>
      <c r="I184" s="75">
        <f t="shared" si="74"/>
        <v>-1.0638297872340441E-2</v>
      </c>
      <c r="J184" s="75">
        <f t="shared" si="75"/>
        <v>0.31334956380604384</v>
      </c>
      <c r="K184" s="76">
        <f t="shared" si="76"/>
        <v>7.550830582305651E-2</v>
      </c>
      <c r="L184" s="77">
        <f t="shared" si="77"/>
        <v>0.39064951620056487</v>
      </c>
      <c r="M184" s="76">
        <f t="shared" si="78"/>
        <v>0.1610133416544737</v>
      </c>
      <c r="N184" s="77">
        <f t="shared" si="79"/>
        <v>0.50811109379880337</v>
      </c>
      <c r="O184" s="76">
        <f t="shared" si="80"/>
        <v>-0.38434127456153688</v>
      </c>
      <c r="P184" s="77">
        <f t="shared" si="81"/>
        <v>0.47433529595046253</v>
      </c>
      <c r="Q184" s="76">
        <f t="shared" si="82"/>
        <v>7.5508305823056412E-2</v>
      </c>
      <c r="R184" s="75">
        <f t="shared" si="83"/>
        <v>-0.31373186821246135</v>
      </c>
    </row>
    <row r="185" spans="2:18">
      <c r="B185" s="81"/>
      <c r="C185">
        <v>15</v>
      </c>
      <c r="D185">
        <v>16</v>
      </c>
      <c r="E185">
        <v>0.27033333333333298</v>
      </c>
      <c r="F185" s="78"/>
      <c r="G185" s="75">
        <f t="shared" si="72"/>
        <v>5.4467006527321171E-3</v>
      </c>
      <c r="H185" s="76">
        <f t="shared" si="73"/>
        <v>-0.16666666666666669</v>
      </c>
      <c r="I185" s="75">
        <f t="shared" si="74"/>
        <v>-0.5</v>
      </c>
      <c r="J185" s="75">
        <f t="shared" si="75"/>
        <v>-0.49371069182389959</v>
      </c>
      <c r="K185" s="76">
        <f t="shared" si="76"/>
        <v>-0.41284295317200942</v>
      </c>
      <c r="L185" s="77">
        <f t="shared" si="77"/>
        <v>-0.26375324700924435</v>
      </c>
      <c r="M185" s="76">
        <f t="shared" si="78"/>
        <v>-0.29883623873011983</v>
      </c>
      <c r="N185" s="77">
        <f t="shared" si="79"/>
        <v>-0.10713781021159308</v>
      </c>
      <c r="O185" s="76">
        <f t="shared" si="80"/>
        <v>-0.41284295317200942</v>
      </c>
      <c r="P185" s="77">
        <f t="shared" si="81"/>
        <v>-0.26375324700924435</v>
      </c>
      <c r="Q185" s="76">
        <f t="shared" si="82"/>
        <v>-0.41284295317200942</v>
      </c>
      <c r="R185" s="75">
        <f t="shared" si="83"/>
        <v>-0.26919994766197647</v>
      </c>
    </row>
    <row r="186" spans="2:18">
      <c r="B186" s="81"/>
      <c r="C186">
        <v>15</v>
      </c>
      <c r="D186">
        <v>32</v>
      </c>
      <c r="E186">
        <v>0.35366666666666702</v>
      </c>
      <c r="F186" s="78"/>
      <c r="G186" s="75">
        <f t="shared" si="72"/>
        <v>4.937170591670284E-2</v>
      </c>
      <c r="H186" s="76">
        <f t="shared" si="73"/>
        <v>-0.16666666666666669</v>
      </c>
      <c r="I186" s="75">
        <f t="shared" si="74"/>
        <v>-0.47872340425531917</v>
      </c>
      <c r="J186" s="75">
        <f t="shared" si="75"/>
        <v>-0.4429904645972812</v>
      </c>
      <c r="K186" s="76">
        <f t="shared" si="76"/>
        <v>-0.392849493155288</v>
      </c>
      <c r="L186" s="77">
        <f t="shared" si="77"/>
        <v>-0.22346675390831269</v>
      </c>
      <c r="M186" s="76">
        <f t="shared" si="78"/>
        <v>-0.27884277871339841</v>
      </c>
      <c r="N186" s="77">
        <f t="shared" si="79"/>
        <v>-6.685131711066139E-2</v>
      </c>
      <c r="O186" s="76">
        <f t="shared" si="80"/>
        <v>-0.41284295317200942</v>
      </c>
      <c r="P186" s="77">
        <f t="shared" si="81"/>
        <v>-0.21982824174527366</v>
      </c>
      <c r="Q186" s="76">
        <f t="shared" si="82"/>
        <v>-0.392849493155288</v>
      </c>
      <c r="R186" s="75">
        <f t="shared" si="83"/>
        <v>-0.27283845982501553</v>
      </c>
    </row>
    <row r="187" spans="2:18">
      <c r="B187" s="81"/>
      <c r="C187">
        <v>15</v>
      </c>
      <c r="D187">
        <v>48</v>
      </c>
      <c r="E187">
        <v>0.48366666666666702</v>
      </c>
      <c r="F187" s="78"/>
      <c r="G187" s="75">
        <f t="shared" si="72"/>
        <v>0.1178947141284965</v>
      </c>
      <c r="H187" s="76">
        <f t="shared" si="73"/>
        <v>-0.16666666666666669</v>
      </c>
      <c r="I187" s="75">
        <f t="shared" si="74"/>
        <v>-0.45744680851063829</v>
      </c>
      <c r="J187" s="75">
        <f t="shared" si="75"/>
        <v>-0.36386691012375716</v>
      </c>
      <c r="K187" s="76">
        <f t="shared" si="76"/>
        <v>-0.37285603313856652</v>
      </c>
      <c r="L187" s="77">
        <f t="shared" si="77"/>
        <v>-0.15858225785955804</v>
      </c>
      <c r="M187" s="76">
        <f t="shared" si="78"/>
        <v>-0.25884931869667688</v>
      </c>
      <c r="N187" s="77">
        <f t="shared" si="79"/>
        <v>-1.966821061906765E-3</v>
      </c>
      <c r="O187" s="76">
        <f t="shared" si="80"/>
        <v>-0.41284295317200942</v>
      </c>
      <c r="P187" s="77">
        <f t="shared" si="81"/>
        <v>-0.15130523353347997</v>
      </c>
      <c r="Q187" s="76">
        <f t="shared" si="82"/>
        <v>-0.37285603313856652</v>
      </c>
      <c r="R187" s="75">
        <f t="shared" si="83"/>
        <v>-0.27647697198805454</v>
      </c>
    </row>
    <row r="188" spans="2:18">
      <c r="B188" s="81"/>
      <c r="C188">
        <v>15</v>
      </c>
      <c r="D188">
        <v>64</v>
      </c>
      <c r="E188">
        <v>0.63933333333333298</v>
      </c>
      <c r="F188" s="78"/>
      <c r="G188" s="75">
        <f t="shared" si="72"/>
        <v>0.19994662396159268</v>
      </c>
      <c r="H188" s="76">
        <f t="shared" si="73"/>
        <v>-0.16666666666666669</v>
      </c>
      <c r="I188" s="75">
        <f t="shared" si="74"/>
        <v>-0.43617021276595747</v>
      </c>
      <c r="J188" s="75">
        <f t="shared" si="75"/>
        <v>-0.2691215256644352</v>
      </c>
      <c r="K188" s="76">
        <f t="shared" si="76"/>
        <v>-0.3528625731218451</v>
      </c>
      <c r="L188" s="77">
        <f t="shared" si="77"/>
        <v>-8.0168860189500868E-2</v>
      </c>
      <c r="M188" s="76">
        <f t="shared" si="78"/>
        <v>-0.23885585867995546</v>
      </c>
      <c r="N188" s="77">
        <f t="shared" si="79"/>
        <v>7.6446576608150407E-2</v>
      </c>
      <c r="O188" s="76">
        <f t="shared" si="80"/>
        <v>-0.41284295317200942</v>
      </c>
      <c r="P188" s="77">
        <f t="shared" si="81"/>
        <v>-6.9253323700383784E-2</v>
      </c>
      <c r="Q188" s="76">
        <f t="shared" si="82"/>
        <v>-0.3528625731218451</v>
      </c>
      <c r="R188" s="75">
        <f t="shared" si="83"/>
        <v>-0.28011548415109355</v>
      </c>
    </row>
    <row r="189" spans="2:18">
      <c r="B189" s="81"/>
      <c r="C189">
        <v>15</v>
      </c>
      <c r="D189">
        <v>80</v>
      </c>
      <c r="E189">
        <v>0.72299999999999998</v>
      </c>
      <c r="F189" s="78"/>
      <c r="G189" s="75">
        <f t="shared" si="72"/>
        <v>0.24404732924661904</v>
      </c>
      <c r="H189" s="76">
        <f t="shared" si="73"/>
        <v>-0.16666666666666669</v>
      </c>
      <c r="I189" s="75">
        <f t="shared" si="74"/>
        <v>-0.41489361702127658</v>
      </c>
      <c r="J189" s="75">
        <f t="shared" si="75"/>
        <v>-0.21819841752891056</v>
      </c>
      <c r="K189" s="76">
        <f t="shared" si="76"/>
        <v>-0.33286911310512352</v>
      </c>
      <c r="L189" s="77">
        <f t="shared" si="77"/>
        <v>-3.9706667067513579E-2</v>
      </c>
      <c r="M189" s="76">
        <f t="shared" si="78"/>
        <v>-0.21886239866323393</v>
      </c>
      <c r="N189" s="77">
        <f t="shared" si="79"/>
        <v>0.11690876973013775</v>
      </c>
      <c r="O189" s="76">
        <f t="shared" si="80"/>
        <v>-0.41284295317200936</v>
      </c>
      <c r="P189" s="77">
        <f t="shared" si="81"/>
        <v>-2.5152618415357431E-2</v>
      </c>
      <c r="Q189" s="76">
        <f t="shared" si="82"/>
        <v>-0.33286911310512357</v>
      </c>
      <c r="R189" s="75">
        <f t="shared" si="83"/>
        <v>-0.28375399631413262</v>
      </c>
    </row>
    <row r="190" spans="2:18">
      <c r="B190" s="83"/>
      <c r="C190" s="84">
        <v>15</v>
      </c>
      <c r="D190" s="84">
        <v>96</v>
      </c>
      <c r="E190" s="84">
        <v>0.76433333333333298</v>
      </c>
      <c r="F190" s="78"/>
      <c r="G190" s="85">
        <f t="shared" ref="G190:G221" si="84">D$19*(L190-R190)</f>
        <v>0.26583413185754817</v>
      </c>
      <c r="H190" s="86">
        <f t="shared" ref="H190:H221" si="85">(C190-H$16)/H$17-0.5</f>
        <v>-0.16666666666666669</v>
      </c>
      <c r="I190" s="85">
        <f t="shared" ref="I190:I221" si="86">(D190-I$16)/I$17-0.5</f>
        <v>-0.39361702127659576</v>
      </c>
      <c r="J190" s="85">
        <f t="shared" ref="J190:J221" si="87">(E190-J$16)/J$17-0.5</f>
        <v>-0.19304118482450822</v>
      </c>
      <c r="K190" s="86">
        <f t="shared" ref="K190:K221" si="88">(H190*$H$13+I190*$I$13+J190*$J$13+$D$27)*$C$27</f>
        <v>-0.31287565308840209</v>
      </c>
      <c r="L190" s="87">
        <f t="shared" ref="L190:L221" si="89">(H190*$H$14+I190*$I$14+J190*$J$14+$E$27)*$C$27</f>
        <v>-2.1558376619623454E-2</v>
      </c>
      <c r="M190" s="86">
        <f t="shared" ref="M190:M221" si="90">(H$27*$H$13+I190*$I$13+J190*$J$13+$D$27)*$C$27</f>
        <v>-0.19886893864651251</v>
      </c>
      <c r="N190" s="87">
        <f t="shared" ref="N190:N221" si="91">(H$27*$H$14+I190*$I$14+J190*$J$14+$E$27)*$C$27</f>
        <v>0.13505706017802782</v>
      </c>
      <c r="O190" s="86">
        <f t="shared" ref="O190:O221" si="92">(H190*$H$13+I$27*$I$13+J190*$J$13+$D$27)*$C$27</f>
        <v>-0.41284295317200936</v>
      </c>
      <c r="P190" s="87">
        <f t="shared" ref="P190:P221" si="93">(H190*$H$14+I$27*$I$14+J190*$J$14+$E$27)*$C$27</f>
        <v>-3.365815804428296E-3</v>
      </c>
      <c r="Q190" s="86">
        <f t="shared" ref="Q190:Q221" si="94">(H190*$H$13+I190*$I$13+J$27*$J$13+$D$27)*$C$27</f>
        <v>-0.31287565308840215</v>
      </c>
      <c r="R190" s="85">
        <f t="shared" ref="R190:R221" si="95">(H190*$H$14+I190*$I$14+J$27*$J$14+$E$27)*$C$27</f>
        <v>-0.28739250847717163</v>
      </c>
    </row>
    <row r="191" spans="2:18">
      <c r="B191" s="83"/>
      <c r="C191" s="84">
        <v>15</v>
      </c>
      <c r="D191" s="84">
        <v>112</v>
      </c>
      <c r="E191" s="84">
        <v>0.83733333333333304</v>
      </c>
      <c r="F191" s="78"/>
      <c r="G191" s="85">
        <f t="shared" si="84"/>
        <v>0.30431243646878625</v>
      </c>
      <c r="H191" s="86">
        <f t="shared" si="85"/>
        <v>-0.16666666666666669</v>
      </c>
      <c r="I191" s="85">
        <f t="shared" si="86"/>
        <v>-0.37234042553191493</v>
      </c>
      <c r="J191" s="85">
        <f t="shared" si="87"/>
        <v>-0.14861026577399084</v>
      </c>
      <c r="K191" s="86">
        <f t="shared" si="88"/>
        <v>-0.29288219307168067</v>
      </c>
      <c r="L191" s="87">
        <f t="shared" si="89"/>
        <v>1.3281415828575532E-2</v>
      </c>
      <c r="M191" s="86">
        <f t="shared" si="90"/>
        <v>-0.17887547862979108</v>
      </c>
      <c r="N191" s="87">
        <f t="shared" si="91"/>
        <v>0.16989685262622684</v>
      </c>
      <c r="O191" s="86">
        <f t="shared" si="92"/>
        <v>-0.41284295317200936</v>
      </c>
      <c r="P191" s="87">
        <f t="shared" si="93"/>
        <v>3.5112488806809727E-2</v>
      </c>
      <c r="Q191" s="86">
        <f t="shared" si="94"/>
        <v>-0.29288219307168073</v>
      </c>
      <c r="R191" s="85">
        <f t="shared" si="95"/>
        <v>-0.29103102064021069</v>
      </c>
    </row>
    <row r="192" spans="2:18">
      <c r="B192" s="83"/>
      <c r="C192" s="84">
        <v>15</v>
      </c>
      <c r="D192" s="84">
        <v>128</v>
      </c>
      <c r="E192" s="84">
        <v>0.88933333333333298</v>
      </c>
      <c r="F192" s="78"/>
      <c r="G192" s="85">
        <f t="shared" si="84"/>
        <v>0.33172163975350361</v>
      </c>
      <c r="H192" s="86">
        <f t="shared" si="85"/>
        <v>-0.16666666666666669</v>
      </c>
      <c r="I192" s="85">
        <f t="shared" si="86"/>
        <v>-0.35106382978723405</v>
      </c>
      <c r="J192" s="85">
        <f t="shared" si="87"/>
        <v>-0.11696084398458129</v>
      </c>
      <c r="K192" s="86">
        <f t="shared" si="88"/>
        <v>-0.2728887330549592</v>
      </c>
      <c r="L192" s="87">
        <f t="shared" si="89"/>
        <v>3.7052106950253905E-2</v>
      </c>
      <c r="M192" s="86">
        <f t="shared" si="90"/>
        <v>-0.15888201861306961</v>
      </c>
      <c r="N192" s="87">
        <f t="shared" si="91"/>
        <v>0.19366754374790518</v>
      </c>
      <c r="O192" s="86">
        <f t="shared" si="92"/>
        <v>-0.41284295317200936</v>
      </c>
      <c r="P192" s="87">
        <f t="shared" si="93"/>
        <v>6.2521692091527137E-2</v>
      </c>
      <c r="Q192" s="86">
        <f t="shared" si="94"/>
        <v>-0.27288873305495925</v>
      </c>
      <c r="R192" s="85">
        <f t="shared" si="95"/>
        <v>-0.2946695328032497</v>
      </c>
    </row>
    <row r="193" spans="2:18">
      <c r="B193" s="83"/>
      <c r="C193" s="84">
        <v>15</v>
      </c>
      <c r="D193" s="84">
        <v>144</v>
      </c>
      <c r="E193" s="84">
        <v>0.92</v>
      </c>
      <c r="F193" s="78"/>
      <c r="G193" s="85">
        <f t="shared" si="84"/>
        <v>0.34788604169064485</v>
      </c>
      <c r="H193" s="86">
        <f t="shared" si="85"/>
        <v>-0.16666666666666669</v>
      </c>
      <c r="I193" s="85">
        <f t="shared" si="86"/>
        <v>-0.32978723404255317</v>
      </c>
      <c r="J193" s="85">
        <f t="shared" si="87"/>
        <v>-9.8295800365185648E-2</v>
      </c>
      <c r="K193" s="86">
        <f t="shared" si="88"/>
        <v>-0.25289527303823772</v>
      </c>
      <c r="L193" s="87">
        <f t="shared" si="89"/>
        <v>4.9577996724356144E-2</v>
      </c>
      <c r="M193" s="86">
        <f t="shared" si="90"/>
        <v>-0.13888855859634811</v>
      </c>
      <c r="N193" s="87">
        <f t="shared" si="91"/>
        <v>0.20619343352200745</v>
      </c>
      <c r="O193" s="86">
        <f t="shared" si="92"/>
        <v>-0.41284295317200936</v>
      </c>
      <c r="P193" s="87">
        <f t="shared" si="93"/>
        <v>7.8686094028668413E-2</v>
      </c>
      <c r="Q193" s="86">
        <f t="shared" si="94"/>
        <v>-0.25289527303823778</v>
      </c>
      <c r="R193" s="85">
        <f t="shared" si="95"/>
        <v>-0.29830804496628871</v>
      </c>
    </row>
    <row r="194" spans="2:18">
      <c r="B194" s="83"/>
      <c r="C194" s="84">
        <v>15</v>
      </c>
      <c r="D194" s="84">
        <v>160</v>
      </c>
      <c r="E194" s="84">
        <v>0.98299999999999998</v>
      </c>
      <c r="F194" s="78"/>
      <c r="G194" s="85">
        <f t="shared" si="84"/>
        <v>0.38109334567020642</v>
      </c>
      <c r="H194" s="86">
        <f t="shared" si="85"/>
        <v>-0.16666666666666669</v>
      </c>
      <c r="I194" s="85">
        <f t="shared" si="86"/>
        <v>-0.30851063829787234</v>
      </c>
      <c r="J194" s="85">
        <f t="shared" si="87"/>
        <v>-5.9951308581862484E-2</v>
      </c>
      <c r="K194" s="86">
        <f t="shared" si="88"/>
        <v>-0.2329018130215163</v>
      </c>
      <c r="L194" s="87">
        <f t="shared" si="89"/>
        <v>7.9146788540878643E-2</v>
      </c>
      <c r="M194" s="86">
        <f t="shared" si="90"/>
        <v>-0.1188950985796267</v>
      </c>
      <c r="N194" s="87">
        <f t="shared" si="91"/>
        <v>0.23576222533852997</v>
      </c>
      <c r="O194" s="86">
        <f t="shared" si="92"/>
        <v>-0.41284295317200936</v>
      </c>
      <c r="P194" s="87">
        <f t="shared" si="93"/>
        <v>0.11189339800822995</v>
      </c>
      <c r="Q194" s="86">
        <f t="shared" si="94"/>
        <v>-0.23290181302151636</v>
      </c>
      <c r="R194" s="85">
        <f t="shared" si="95"/>
        <v>-0.30194655712932778</v>
      </c>
    </row>
    <row r="195" spans="2:18">
      <c r="B195" s="83"/>
      <c r="C195" s="84">
        <v>15</v>
      </c>
      <c r="D195" s="84">
        <v>176</v>
      </c>
      <c r="E195" s="84">
        <v>1.1076666666666699</v>
      </c>
      <c r="F195" s="78"/>
      <c r="G195" s="85">
        <f t="shared" si="84"/>
        <v>0.44680515354510775</v>
      </c>
      <c r="H195" s="86">
        <f t="shared" si="85"/>
        <v>-0.16666666666666669</v>
      </c>
      <c r="I195" s="85">
        <f t="shared" si="86"/>
        <v>-0.28723404255319152</v>
      </c>
      <c r="J195" s="85">
        <f t="shared" si="87"/>
        <v>1.5926151349159978E-2</v>
      </c>
      <c r="K195" s="86">
        <f t="shared" si="88"/>
        <v>-0.21290835300479483</v>
      </c>
      <c r="L195" s="87">
        <f t="shared" si="89"/>
        <v>0.14122008425274094</v>
      </c>
      <c r="M195" s="86">
        <f t="shared" si="90"/>
        <v>-9.8901638562905209E-2</v>
      </c>
      <c r="N195" s="87">
        <f t="shared" si="91"/>
        <v>0.29783552105039218</v>
      </c>
      <c r="O195" s="86">
        <f t="shared" si="92"/>
        <v>-0.41284295317200936</v>
      </c>
      <c r="P195" s="87">
        <f t="shared" si="93"/>
        <v>0.17760520588313125</v>
      </c>
      <c r="Q195" s="86">
        <f t="shared" si="94"/>
        <v>-0.21290835300479488</v>
      </c>
      <c r="R195" s="85">
        <f t="shared" si="95"/>
        <v>-0.30558506929236678</v>
      </c>
    </row>
    <row r="196" spans="2:18">
      <c r="B196" s="83"/>
      <c r="C196" s="84">
        <v>15</v>
      </c>
      <c r="D196" s="84">
        <v>192</v>
      </c>
      <c r="E196" s="84">
        <v>1.17</v>
      </c>
      <c r="F196" s="78"/>
      <c r="G196" s="85">
        <f t="shared" si="84"/>
        <v>0.47966105748255583</v>
      </c>
      <c r="H196" s="86">
        <f t="shared" si="85"/>
        <v>-0.16666666666666669</v>
      </c>
      <c r="I196" s="85">
        <f t="shared" si="86"/>
        <v>-0.26595744680851063</v>
      </c>
      <c r="J196" s="85">
        <f t="shared" si="87"/>
        <v>5.3864881314668267E-2</v>
      </c>
      <c r="K196" s="86">
        <f t="shared" si="88"/>
        <v>-0.19291489298807335</v>
      </c>
      <c r="L196" s="87">
        <f t="shared" si="89"/>
        <v>0.17043747602714998</v>
      </c>
      <c r="M196" s="86">
        <f t="shared" si="90"/>
        <v>-7.890817854618376E-2</v>
      </c>
      <c r="N196" s="87">
        <f t="shared" si="91"/>
        <v>0.32705291282480131</v>
      </c>
      <c r="O196" s="86">
        <f t="shared" si="92"/>
        <v>-0.41284295317200936</v>
      </c>
      <c r="P196" s="87">
        <f t="shared" si="93"/>
        <v>0.21046110982057933</v>
      </c>
      <c r="Q196" s="86">
        <f t="shared" si="94"/>
        <v>-0.19291489298807341</v>
      </c>
      <c r="R196" s="85">
        <f t="shared" si="95"/>
        <v>-0.30922358145540585</v>
      </c>
    </row>
    <row r="197" spans="2:18">
      <c r="B197" s="83"/>
      <c r="C197" s="84">
        <v>15</v>
      </c>
      <c r="D197" s="84">
        <v>208</v>
      </c>
      <c r="E197" s="84">
        <v>1.1073333333333299</v>
      </c>
      <c r="F197" s="78"/>
      <c r="G197" s="85">
        <f t="shared" si="84"/>
        <v>0.44662945352404837</v>
      </c>
      <c r="H197" s="86">
        <f t="shared" si="85"/>
        <v>-0.16666666666666669</v>
      </c>
      <c r="I197" s="85">
        <f t="shared" si="86"/>
        <v>-0.24468085106382981</v>
      </c>
      <c r="J197" s="85">
        <f t="shared" si="87"/>
        <v>1.5723270440249459E-2</v>
      </c>
      <c r="K197" s="86">
        <f t="shared" si="88"/>
        <v>-0.17292143297135193</v>
      </c>
      <c r="L197" s="87">
        <f t="shared" si="89"/>
        <v>0.13376735990560348</v>
      </c>
      <c r="M197" s="86">
        <f t="shared" si="90"/>
        <v>-5.8914718529462312E-2</v>
      </c>
      <c r="N197" s="87">
        <f t="shared" si="91"/>
        <v>0.29038279670325473</v>
      </c>
      <c r="O197" s="86">
        <f t="shared" si="92"/>
        <v>-0.41284295317200936</v>
      </c>
      <c r="P197" s="87">
        <f t="shared" si="93"/>
        <v>0.17742950586207185</v>
      </c>
      <c r="Q197" s="86">
        <f t="shared" si="94"/>
        <v>-0.17292143297135198</v>
      </c>
      <c r="R197" s="85">
        <f t="shared" si="95"/>
        <v>-0.31286209361844486</v>
      </c>
    </row>
    <row r="198" spans="2:18">
      <c r="B198" s="83"/>
      <c r="C198" s="84">
        <v>15</v>
      </c>
      <c r="D198" s="84">
        <v>224</v>
      </c>
      <c r="E198" s="84">
        <v>1.1859999999999999</v>
      </c>
      <c r="F198" s="78"/>
      <c r="G198" s="85">
        <f t="shared" si="84"/>
        <v>0.48809465849323808</v>
      </c>
      <c r="H198" s="86">
        <f t="shared" si="85"/>
        <v>-0.16666666666666669</v>
      </c>
      <c r="I198" s="85">
        <f t="shared" si="86"/>
        <v>-0.22340425531914893</v>
      </c>
      <c r="J198" s="85">
        <f t="shared" si="87"/>
        <v>6.360316494217888E-2</v>
      </c>
      <c r="K198" s="86">
        <f t="shared" si="88"/>
        <v>-0.15292797295463045</v>
      </c>
      <c r="L198" s="87">
        <f t="shared" si="89"/>
        <v>0.17159405271175421</v>
      </c>
      <c r="M198" s="86">
        <f t="shared" si="90"/>
        <v>-3.8921258512740829E-2</v>
      </c>
      <c r="N198" s="87">
        <f t="shared" si="91"/>
        <v>0.32820948950940548</v>
      </c>
      <c r="O198" s="86">
        <f t="shared" si="92"/>
        <v>-0.41284295317200936</v>
      </c>
      <c r="P198" s="87">
        <f t="shared" si="93"/>
        <v>0.21889471083126161</v>
      </c>
      <c r="Q198" s="86">
        <f t="shared" si="94"/>
        <v>-0.15292797295463051</v>
      </c>
      <c r="R198" s="85">
        <f t="shared" si="95"/>
        <v>-0.31650060578148387</v>
      </c>
    </row>
    <row r="199" spans="2:18">
      <c r="B199" s="83"/>
      <c r="C199" s="84">
        <v>15</v>
      </c>
      <c r="D199" s="84">
        <v>240</v>
      </c>
      <c r="E199" s="84">
        <v>1.28433333333333</v>
      </c>
      <c r="F199" s="78"/>
      <c r="G199" s="85">
        <f t="shared" si="84"/>
        <v>0.53992616470472132</v>
      </c>
      <c r="H199" s="86">
        <f t="shared" si="85"/>
        <v>-0.16666666666666669</v>
      </c>
      <c r="I199" s="85">
        <f t="shared" si="86"/>
        <v>-0.2021276595744681</v>
      </c>
      <c r="J199" s="85">
        <f t="shared" si="87"/>
        <v>0.1234530330695861</v>
      </c>
      <c r="K199" s="86">
        <f t="shared" si="88"/>
        <v>-0.13293451293790901</v>
      </c>
      <c r="L199" s="87">
        <f t="shared" si="89"/>
        <v>0.21978704676019842</v>
      </c>
      <c r="M199" s="86">
        <f t="shared" si="90"/>
        <v>-1.8927798496019402E-2</v>
      </c>
      <c r="N199" s="87">
        <f t="shared" si="91"/>
        <v>0.37640248355784972</v>
      </c>
      <c r="O199" s="86">
        <f t="shared" si="92"/>
        <v>-0.41284295317200936</v>
      </c>
      <c r="P199" s="87">
        <f t="shared" si="93"/>
        <v>0.27072621704274485</v>
      </c>
      <c r="Q199" s="86">
        <f t="shared" si="94"/>
        <v>-0.13293451293790909</v>
      </c>
      <c r="R199" s="85">
        <f t="shared" si="95"/>
        <v>-0.32013911794452288</v>
      </c>
    </row>
    <row r="200" spans="2:18">
      <c r="B200" s="83"/>
      <c r="C200" s="84">
        <v>15</v>
      </c>
      <c r="D200" s="84">
        <v>256</v>
      </c>
      <c r="E200" s="84">
        <v>1.37266666666667</v>
      </c>
      <c r="F200" s="78"/>
      <c r="G200" s="85">
        <f t="shared" si="84"/>
        <v>0.58648667028453338</v>
      </c>
      <c r="H200" s="86">
        <f t="shared" si="85"/>
        <v>-0.16666666666666669</v>
      </c>
      <c r="I200" s="85">
        <f t="shared" si="86"/>
        <v>-0.18085106382978722</v>
      </c>
      <c r="J200" s="85">
        <f t="shared" si="87"/>
        <v>0.17721647392980522</v>
      </c>
      <c r="K200" s="86">
        <f t="shared" si="88"/>
        <v>-0.11294105292118752</v>
      </c>
      <c r="L200" s="87">
        <f t="shared" si="89"/>
        <v>0.26270904017697144</v>
      </c>
      <c r="M200" s="86">
        <f t="shared" si="90"/>
        <v>1.065661520702082E-3</v>
      </c>
      <c r="N200" s="87">
        <f t="shared" si="91"/>
        <v>0.41932447697462272</v>
      </c>
      <c r="O200" s="86">
        <f t="shared" si="92"/>
        <v>-0.41284295317200936</v>
      </c>
      <c r="P200" s="87">
        <f t="shared" si="93"/>
        <v>0.31728672262255692</v>
      </c>
      <c r="Q200" s="86">
        <f t="shared" si="94"/>
        <v>-0.1129410529211876</v>
      </c>
      <c r="R200" s="85">
        <f t="shared" si="95"/>
        <v>-0.32377763010756194</v>
      </c>
    </row>
    <row r="201" spans="2:18">
      <c r="B201" s="83"/>
      <c r="C201" s="84">
        <v>15</v>
      </c>
      <c r="D201" s="84">
        <v>272</v>
      </c>
      <c r="E201" s="84">
        <v>1.399</v>
      </c>
      <c r="F201" s="78"/>
      <c r="G201" s="85">
        <f t="shared" si="84"/>
        <v>0.6003669719479463</v>
      </c>
      <c r="H201" s="86">
        <f t="shared" si="85"/>
        <v>-0.16666666666666669</v>
      </c>
      <c r="I201" s="85">
        <f t="shared" si="86"/>
        <v>-0.15957446808510639</v>
      </c>
      <c r="J201" s="85">
        <f t="shared" si="87"/>
        <v>0.19324406573341446</v>
      </c>
      <c r="K201" s="86">
        <f t="shared" si="88"/>
        <v>-9.2947592904466067E-2</v>
      </c>
      <c r="L201" s="87">
        <f t="shared" si="89"/>
        <v>0.27295082967734524</v>
      </c>
      <c r="M201" s="86">
        <f t="shared" si="90"/>
        <v>2.1059121537423533E-2</v>
      </c>
      <c r="N201" s="87">
        <f t="shared" si="91"/>
        <v>0.42956626647499652</v>
      </c>
      <c r="O201" s="86">
        <f t="shared" si="92"/>
        <v>-0.41284295317200936</v>
      </c>
      <c r="P201" s="87">
        <f t="shared" si="93"/>
        <v>0.33116702428596978</v>
      </c>
      <c r="Q201" s="86">
        <f t="shared" si="94"/>
        <v>-9.294759290446615E-2</v>
      </c>
      <c r="R201" s="85">
        <f t="shared" si="95"/>
        <v>-0.32741614227060101</v>
      </c>
    </row>
    <row r="202" spans="2:18">
      <c r="B202" s="83"/>
      <c r="C202" s="84">
        <v>15</v>
      </c>
      <c r="D202" s="84">
        <v>288</v>
      </c>
      <c r="E202" s="84">
        <v>1.482</v>
      </c>
      <c r="F202" s="78"/>
      <c r="G202" s="85">
        <f t="shared" si="84"/>
        <v>0.64411627719086073</v>
      </c>
      <c r="H202" s="86">
        <f t="shared" si="85"/>
        <v>-0.16666666666666669</v>
      </c>
      <c r="I202" s="85">
        <f t="shared" si="86"/>
        <v>-0.13829787234042551</v>
      </c>
      <c r="J202" s="85">
        <f t="shared" si="87"/>
        <v>0.243761412051126</v>
      </c>
      <c r="K202" s="86">
        <f t="shared" si="88"/>
        <v>-7.2954132887744591E-2</v>
      </c>
      <c r="L202" s="87">
        <f t="shared" si="89"/>
        <v>0.31306162275722071</v>
      </c>
      <c r="M202" s="86">
        <f t="shared" si="90"/>
        <v>4.1052581554145012E-2</v>
      </c>
      <c r="N202" s="87">
        <f t="shared" si="91"/>
        <v>0.46967705955487193</v>
      </c>
      <c r="O202" s="86">
        <f t="shared" si="92"/>
        <v>-0.41284295317200931</v>
      </c>
      <c r="P202" s="87">
        <f t="shared" si="93"/>
        <v>0.37491632952888421</v>
      </c>
      <c r="Q202" s="86">
        <f t="shared" si="94"/>
        <v>-7.2954132887744674E-2</v>
      </c>
      <c r="R202" s="85">
        <f t="shared" si="95"/>
        <v>-0.33105465443364002</v>
      </c>
    </row>
    <row r="203" spans="2:18">
      <c r="B203" s="83"/>
      <c r="C203" s="84">
        <v>15</v>
      </c>
      <c r="D203" s="84">
        <v>304</v>
      </c>
      <c r="E203" s="84">
        <v>1.57033333333333</v>
      </c>
      <c r="F203" s="78"/>
      <c r="G203" s="85">
        <f t="shared" si="84"/>
        <v>0.69067678277066746</v>
      </c>
      <c r="H203" s="86">
        <f t="shared" si="85"/>
        <v>-0.16666666666666669</v>
      </c>
      <c r="I203" s="85">
        <f t="shared" si="86"/>
        <v>-0.11702127659574468</v>
      </c>
      <c r="J203" s="85">
        <f t="shared" si="87"/>
        <v>0.29752485291133901</v>
      </c>
      <c r="K203" s="86">
        <f t="shared" si="88"/>
        <v>-5.296067287102315E-2</v>
      </c>
      <c r="L203" s="87">
        <f t="shared" si="89"/>
        <v>0.35598361617398844</v>
      </c>
      <c r="M203" s="86">
        <f t="shared" si="90"/>
        <v>6.1046041570866454E-2</v>
      </c>
      <c r="N203" s="87">
        <f t="shared" si="91"/>
        <v>0.51259905297163977</v>
      </c>
      <c r="O203" s="86">
        <f t="shared" si="92"/>
        <v>-0.41284295317200931</v>
      </c>
      <c r="P203" s="87">
        <f t="shared" si="93"/>
        <v>0.42147683510869099</v>
      </c>
      <c r="Q203" s="86">
        <f t="shared" si="94"/>
        <v>-5.2960672871023247E-2</v>
      </c>
      <c r="R203" s="85">
        <f t="shared" si="95"/>
        <v>-0.33469316659667903</v>
      </c>
    </row>
    <row r="204" spans="2:18">
      <c r="B204" s="83"/>
      <c r="C204" s="84">
        <v>18</v>
      </c>
      <c r="D204" s="84">
        <v>16</v>
      </c>
      <c r="E204" s="84">
        <v>0.27033333333333298</v>
      </c>
      <c r="F204" s="78"/>
      <c r="G204" s="85">
        <f t="shared" si="84"/>
        <v>5.4467006527321171E-3</v>
      </c>
      <c r="H204" s="86">
        <f t="shared" si="85"/>
        <v>-8.3333333333333315E-2</v>
      </c>
      <c r="I204" s="85">
        <f t="shared" si="86"/>
        <v>-0.5</v>
      </c>
      <c r="J204" s="85">
        <f t="shared" si="87"/>
        <v>-0.49371069182389959</v>
      </c>
      <c r="K204" s="86">
        <f t="shared" si="88"/>
        <v>-0.44134463178248179</v>
      </c>
      <c r="L204" s="87">
        <f t="shared" si="89"/>
        <v>-0.30290710620865724</v>
      </c>
      <c r="M204" s="86">
        <f t="shared" si="90"/>
        <v>-0.29883623873011983</v>
      </c>
      <c r="N204" s="87">
        <f t="shared" si="91"/>
        <v>-0.10713781021159308</v>
      </c>
      <c r="O204" s="86">
        <f t="shared" si="92"/>
        <v>-0.44134463178248179</v>
      </c>
      <c r="P204" s="87">
        <f t="shared" si="93"/>
        <v>-0.30290710620865724</v>
      </c>
      <c r="Q204" s="86">
        <f t="shared" si="94"/>
        <v>-0.44134463178248179</v>
      </c>
      <c r="R204" s="85">
        <f t="shared" si="95"/>
        <v>-0.30835380686138936</v>
      </c>
    </row>
    <row r="205" spans="2:18">
      <c r="B205" s="83"/>
      <c r="C205" s="84">
        <v>18</v>
      </c>
      <c r="D205" s="84">
        <v>32</v>
      </c>
      <c r="E205" s="84">
        <v>0.40533333333333299</v>
      </c>
      <c r="F205" s="78"/>
      <c r="G205" s="85">
        <f t="shared" si="84"/>
        <v>7.6605209180364092E-2</v>
      </c>
      <c r="H205" s="86">
        <f t="shared" si="85"/>
        <v>-8.3333333333333315E-2</v>
      </c>
      <c r="I205" s="85">
        <f t="shared" si="86"/>
        <v>-0.47872340425531917</v>
      </c>
      <c r="J205" s="85">
        <f t="shared" si="87"/>
        <v>-0.41154392371677845</v>
      </c>
      <c r="K205" s="86">
        <f t="shared" si="88"/>
        <v>-0.42135117176576037</v>
      </c>
      <c r="L205" s="87">
        <f t="shared" si="89"/>
        <v>-0.23538710984406427</v>
      </c>
      <c r="M205" s="86">
        <f t="shared" si="90"/>
        <v>-0.27884277871339841</v>
      </c>
      <c r="N205" s="87">
        <f t="shared" si="91"/>
        <v>-3.9617813847000138E-2</v>
      </c>
      <c r="O205" s="86">
        <f t="shared" si="92"/>
        <v>-0.44134463178248179</v>
      </c>
      <c r="P205" s="87">
        <f t="shared" si="93"/>
        <v>-0.23174859768102526</v>
      </c>
      <c r="Q205" s="86">
        <f t="shared" si="94"/>
        <v>-0.42135117176576037</v>
      </c>
      <c r="R205" s="85">
        <f t="shared" si="95"/>
        <v>-0.31199231902442837</v>
      </c>
    </row>
    <row r="206" spans="2:18">
      <c r="B206" s="83"/>
      <c r="C206" s="84">
        <v>18</v>
      </c>
      <c r="D206" s="84">
        <v>48</v>
      </c>
      <c r="E206" s="84">
        <v>0.582666666666667</v>
      </c>
      <c r="F206" s="78"/>
      <c r="G206" s="85">
        <f t="shared" si="84"/>
        <v>0.17007762038209323</v>
      </c>
      <c r="H206" s="86">
        <f t="shared" si="85"/>
        <v>-8.3333333333333315E-2</v>
      </c>
      <c r="I206" s="85">
        <f t="shared" si="86"/>
        <v>-0.45744680851063829</v>
      </c>
      <c r="J206" s="85">
        <f t="shared" si="87"/>
        <v>-0.303611280178535</v>
      </c>
      <c r="K206" s="86">
        <f t="shared" si="88"/>
        <v>-0.40135771174903895</v>
      </c>
      <c r="L206" s="87">
        <f t="shared" si="89"/>
        <v>-0.14555321080537414</v>
      </c>
      <c r="M206" s="86">
        <f t="shared" si="90"/>
        <v>-0.25884931869667688</v>
      </c>
      <c r="N206" s="87">
        <f t="shared" si="91"/>
        <v>5.0216085191689963E-2</v>
      </c>
      <c r="O206" s="86">
        <f t="shared" si="92"/>
        <v>-0.44134463178248179</v>
      </c>
      <c r="P206" s="87">
        <f t="shared" si="93"/>
        <v>-0.1382761864792961</v>
      </c>
      <c r="Q206" s="86">
        <f t="shared" si="94"/>
        <v>-0.40135771174903895</v>
      </c>
      <c r="R206" s="85">
        <f t="shared" si="95"/>
        <v>-0.31563083118746738</v>
      </c>
    </row>
    <row r="207" spans="2:18">
      <c r="B207" s="83"/>
      <c r="C207" s="84">
        <v>18</v>
      </c>
      <c r="D207" s="84">
        <v>64</v>
      </c>
      <c r="E207" s="84">
        <v>0.69666666666666699</v>
      </c>
      <c r="F207" s="78"/>
      <c r="G207" s="85">
        <f t="shared" si="84"/>
        <v>0.23016702758320456</v>
      </c>
      <c r="H207" s="86">
        <f t="shared" si="85"/>
        <v>-8.3333333333333315E-2</v>
      </c>
      <c r="I207" s="85">
        <f t="shared" si="86"/>
        <v>-0.43617021276595747</v>
      </c>
      <c r="J207" s="85">
        <f t="shared" si="87"/>
        <v>-0.23422600933252163</v>
      </c>
      <c r="K207" s="86">
        <f t="shared" si="88"/>
        <v>-0.38136425173231753</v>
      </c>
      <c r="L207" s="87">
        <f t="shared" si="89"/>
        <v>-8.9102315767301821E-2</v>
      </c>
      <c r="M207" s="86">
        <f t="shared" si="90"/>
        <v>-0.23885585867995546</v>
      </c>
      <c r="N207" s="87">
        <f t="shared" si="91"/>
        <v>0.10666698022976231</v>
      </c>
      <c r="O207" s="86">
        <f t="shared" si="92"/>
        <v>-0.44134463178248179</v>
      </c>
      <c r="P207" s="87">
        <f t="shared" si="93"/>
        <v>-7.8186779278184737E-2</v>
      </c>
      <c r="Q207" s="86">
        <f t="shared" si="94"/>
        <v>-0.38136425173231753</v>
      </c>
      <c r="R207" s="85">
        <f t="shared" si="95"/>
        <v>-0.31926934335050638</v>
      </c>
    </row>
    <row r="208" spans="2:18">
      <c r="B208" s="83"/>
      <c r="C208" s="84">
        <v>18</v>
      </c>
      <c r="D208" s="84">
        <v>80</v>
      </c>
      <c r="E208" s="84">
        <v>0.790333333333333</v>
      </c>
      <c r="F208" s="78"/>
      <c r="G208" s="85">
        <f t="shared" si="84"/>
        <v>0.27953873349990688</v>
      </c>
      <c r="H208" s="86">
        <f t="shared" si="85"/>
        <v>-8.3333333333333315E-2</v>
      </c>
      <c r="I208" s="85">
        <f t="shared" si="86"/>
        <v>-0.41489361702127658</v>
      </c>
      <c r="J208" s="85">
        <f t="shared" si="87"/>
        <v>-0.17721647392980344</v>
      </c>
      <c r="K208" s="86">
        <f t="shared" si="88"/>
        <v>-0.36137079171559594</v>
      </c>
      <c r="L208" s="87">
        <f t="shared" si="89"/>
        <v>-4.3369122013638572E-2</v>
      </c>
      <c r="M208" s="86">
        <f t="shared" si="90"/>
        <v>-0.21886239866323393</v>
      </c>
      <c r="N208" s="87">
        <f t="shared" si="91"/>
        <v>0.15240017398342559</v>
      </c>
      <c r="O208" s="86">
        <f t="shared" si="92"/>
        <v>-0.44134463178248173</v>
      </c>
      <c r="P208" s="87">
        <f t="shared" si="93"/>
        <v>-2.8815073361482452E-2</v>
      </c>
      <c r="Q208" s="86">
        <f t="shared" si="94"/>
        <v>-0.361370791715596</v>
      </c>
      <c r="R208" s="85">
        <f t="shared" si="95"/>
        <v>-0.32290785551354545</v>
      </c>
    </row>
    <row r="209" spans="2:18">
      <c r="B209" s="83"/>
      <c r="C209" s="84">
        <v>18</v>
      </c>
      <c r="D209" s="84">
        <v>96</v>
      </c>
      <c r="E209" s="84">
        <v>0.81633333333333302</v>
      </c>
      <c r="F209" s="78"/>
      <c r="G209" s="85">
        <f t="shared" si="84"/>
        <v>0.29324333514226564</v>
      </c>
      <c r="H209" s="86">
        <f t="shared" si="85"/>
        <v>-8.3333333333333315E-2</v>
      </c>
      <c r="I209" s="85">
        <f t="shared" si="86"/>
        <v>-0.39361702127659576</v>
      </c>
      <c r="J209" s="85">
        <f t="shared" si="87"/>
        <v>-0.16139176303509861</v>
      </c>
      <c r="K209" s="86">
        <f t="shared" si="88"/>
        <v>-0.34137733169887452</v>
      </c>
      <c r="L209" s="87">
        <f t="shared" si="89"/>
        <v>-3.3303032534318822E-2</v>
      </c>
      <c r="M209" s="86">
        <f t="shared" si="90"/>
        <v>-0.19886893864651251</v>
      </c>
      <c r="N209" s="87">
        <f t="shared" si="91"/>
        <v>0.16246626346274529</v>
      </c>
      <c r="O209" s="86">
        <f t="shared" si="92"/>
        <v>-0.44134463178248173</v>
      </c>
      <c r="P209" s="87">
        <f t="shared" si="93"/>
        <v>-1.5110471719123691E-2</v>
      </c>
      <c r="Q209" s="86">
        <f t="shared" si="94"/>
        <v>-0.34137733169887458</v>
      </c>
      <c r="R209" s="85">
        <f t="shared" si="95"/>
        <v>-0.32654636767658446</v>
      </c>
    </row>
    <row r="210" spans="2:18">
      <c r="B210" s="83"/>
      <c r="C210" s="84">
        <v>18</v>
      </c>
      <c r="D210" s="84">
        <v>112</v>
      </c>
      <c r="E210" s="84">
        <v>1.07666666666667</v>
      </c>
      <c r="F210" s="78"/>
      <c r="G210" s="85">
        <f t="shared" si="84"/>
        <v>0.43046505158691084</v>
      </c>
      <c r="H210" s="86">
        <f t="shared" si="85"/>
        <v>-8.3333333333333315E-2</v>
      </c>
      <c r="I210" s="85">
        <f t="shared" si="86"/>
        <v>-0.37234042553191493</v>
      </c>
      <c r="J210" s="85">
        <f t="shared" si="87"/>
        <v>-2.9417731791418489E-3</v>
      </c>
      <c r="K210" s="86">
        <f t="shared" si="88"/>
        <v>-0.3213838716821531</v>
      </c>
      <c r="L210" s="87">
        <f t="shared" si="89"/>
        <v>0.1002801717472873</v>
      </c>
      <c r="M210" s="86">
        <f t="shared" si="90"/>
        <v>-0.17887547862979106</v>
      </c>
      <c r="N210" s="87">
        <f t="shared" si="91"/>
        <v>0.29604946774435142</v>
      </c>
      <c r="O210" s="86">
        <f t="shared" si="92"/>
        <v>-0.44134463178248173</v>
      </c>
      <c r="P210" s="87">
        <f t="shared" si="93"/>
        <v>0.12211124472552147</v>
      </c>
      <c r="Q210" s="86">
        <f t="shared" si="94"/>
        <v>-0.32138387168215315</v>
      </c>
      <c r="R210" s="85">
        <f t="shared" si="95"/>
        <v>-0.33018487983962352</v>
      </c>
    </row>
    <row r="211" spans="2:18">
      <c r="B211" s="83"/>
      <c r="C211" s="84">
        <v>18</v>
      </c>
      <c r="D211" s="84">
        <v>128</v>
      </c>
      <c r="E211" s="84">
        <v>1.12333333333333</v>
      </c>
      <c r="F211" s="78"/>
      <c r="G211" s="85">
        <f t="shared" si="84"/>
        <v>0.45506305453473067</v>
      </c>
      <c r="H211" s="86">
        <f t="shared" si="85"/>
        <v>-8.3333333333333315E-2</v>
      </c>
      <c r="I211" s="85">
        <f t="shared" si="86"/>
        <v>-0.35106382978723405</v>
      </c>
      <c r="J211" s="85">
        <f t="shared" si="87"/>
        <v>2.5461554067760184E-2</v>
      </c>
      <c r="K211" s="86">
        <f t="shared" si="88"/>
        <v>-0.30139041166543157</v>
      </c>
      <c r="L211" s="87">
        <f t="shared" si="89"/>
        <v>0.12123966253206815</v>
      </c>
      <c r="M211" s="86">
        <f t="shared" si="90"/>
        <v>-0.15888201861306958</v>
      </c>
      <c r="N211" s="87">
        <f t="shared" si="91"/>
        <v>0.31700895852913225</v>
      </c>
      <c r="O211" s="86">
        <f t="shared" si="92"/>
        <v>-0.44134463178248173</v>
      </c>
      <c r="P211" s="87">
        <f t="shared" si="93"/>
        <v>0.14670924767334137</v>
      </c>
      <c r="Q211" s="86">
        <f t="shared" si="94"/>
        <v>-0.30139041166543162</v>
      </c>
      <c r="R211" s="85">
        <f t="shared" si="95"/>
        <v>-0.33382339200266253</v>
      </c>
    </row>
    <row r="212" spans="2:18">
      <c r="B212" s="83"/>
      <c r="C212" s="84">
        <v>18</v>
      </c>
      <c r="D212" s="84">
        <v>144</v>
      </c>
      <c r="E212" s="84">
        <v>1.0086666666666699</v>
      </c>
      <c r="F212" s="78"/>
      <c r="G212" s="85">
        <f t="shared" si="84"/>
        <v>0.39462224729151096</v>
      </c>
      <c r="H212" s="86">
        <f t="shared" si="85"/>
        <v>-8.3333333333333315E-2</v>
      </c>
      <c r="I212" s="85">
        <f t="shared" si="86"/>
        <v>-0.32978723404255317</v>
      </c>
      <c r="J212" s="85">
        <f t="shared" si="87"/>
        <v>-4.4329478596062122E-2</v>
      </c>
      <c r="K212" s="86">
        <f t="shared" si="88"/>
        <v>-0.28139695164871015</v>
      </c>
      <c r="L212" s="87">
        <f t="shared" si="89"/>
        <v>5.7160343125809449E-2</v>
      </c>
      <c r="M212" s="86">
        <f t="shared" si="90"/>
        <v>-0.13888855859634811</v>
      </c>
      <c r="N212" s="87">
        <f t="shared" si="91"/>
        <v>0.25292963912287358</v>
      </c>
      <c r="O212" s="86">
        <f t="shared" si="92"/>
        <v>-0.44134463178248173</v>
      </c>
      <c r="P212" s="87">
        <f t="shared" si="93"/>
        <v>8.626844043012169E-2</v>
      </c>
      <c r="Q212" s="86">
        <f t="shared" si="94"/>
        <v>-0.2813969516487102</v>
      </c>
      <c r="R212" s="85">
        <f t="shared" si="95"/>
        <v>-0.33746190416570154</v>
      </c>
    </row>
    <row r="213" spans="2:18">
      <c r="B213" s="83"/>
      <c r="C213" s="84">
        <v>18</v>
      </c>
      <c r="D213" s="84">
        <v>160</v>
      </c>
      <c r="E213" s="84">
        <v>1.0813333333333299</v>
      </c>
      <c r="F213" s="78"/>
      <c r="G213" s="85">
        <f t="shared" si="84"/>
        <v>0.43292485188168961</v>
      </c>
      <c r="H213" s="86">
        <f t="shared" si="85"/>
        <v>-8.3333333333333315E-2</v>
      </c>
      <c r="I213" s="85">
        <f t="shared" si="86"/>
        <v>-0.30851063829787234</v>
      </c>
      <c r="J213" s="85">
        <f t="shared" si="87"/>
        <v>-1.0144045445531491E-4</v>
      </c>
      <c r="K213" s="86">
        <f t="shared" si="88"/>
        <v>-0.26140349163198873</v>
      </c>
      <c r="L213" s="87">
        <f t="shared" si="89"/>
        <v>9.1824435552949002E-2</v>
      </c>
      <c r="M213" s="86">
        <f t="shared" si="90"/>
        <v>-0.11889509857962668</v>
      </c>
      <c r="N213" s="87">
        <f t="shared" si="91"/>
        <v>0.28759373155001317</v>
      </c>
      <c r="O213" s="86">
        <f t="shared" si="92"/>
        <v>-0.44134463178248173</v>
      </c>
      <c r="P213" s="87">
        <f t="shared" si="93"/>
        <v>0.12457104502030028</v>
      </c>
      <c r="Q213" s="86">
        <f t="shared" si="94"/>
        <v>-0.26140349163198878</v>
      </c>
      <c r="R213" s="85">
        <f t="shared" si="95"/>
        <v>-0.34110041632874061</v>
      </c>
    </row>
    <row r="214" spans="2:18">
      <c r="B214" s="83"/>
      <c r="C214" s="84">
        <v>18</v>
      </c>
      <c r="D214" s="84">
        <v>176</v>
      </c>
      <c r="E214" s="84">
        <v>1.17</v>
      </c>
      <c r="F214" s="78"/>
      <c r="G214" s="85">
        <f t="shared" si="84"/>
        <v>0.47966105748255583</v>
      </c>
      <c r="H214" s="86">
        <f t="shared" si="85"/>
        <v>-8.3333333333333315E-2</v>
      </c>
      <c r="I214" s="85">
        <f t="shared" si="86"/>
        <v>-0.28723404255319152</v>
      </c>
      <c r="J214" s="85">
        <f t="shared" si="87"/>
        <v>5.3864881314668267E-2</v>
      </c>
      <c r="K214" s="86">
        <f t="shared" si="88"/>
        <v>-0.24141003161526722</v>
      </c>
      <c r="L214" s="87">
        <f t="shared" si="89"/>
        <v>0.13492212899077619</v>
      </c>
      <c r="M214" s="86">
        <f t="shared" si="90"/>
        <v>-9.8901638562905209E-2</v>
      </c>
      <c r="N214" s="87">
        <f t="shared" si="91"/>
        <v>0.33069142498784032</v>
      </c>
      <c r="O214" s="86">
        <f t="shared" si="92"/>
        <v>-0.44134463178248173</v>
      </c>
      <c r="P214" s="87">
        <f t="shared" si="93"/>
        <v>0.17130725062116647</v>
      </c>
      <c r="Q214" s="86">
        <f t="shared" si="94"/>
        <v>-0.24141003161526728</v>
      </c>
      <c r="R214" s="85">
        <f t="shared" si="95"/>
        <v>-0.34473892849177962</v>
      </c>
    </row>
    <row r="215" spans="2:18">
      <c r="B215" s="83"/>
      <c r="C215" s="84">
        <v>18</v>
      </c>
      <c r="D215" s="84">
        <v>192</v>
      </c>
      <c r="E215" s="84">
        <v>1.264</v>
      </c>
      <c r="F215" s="78"/>
      <c r="G215" s="85">
        <f t="shared" si="84"/>
        <v>0.52920846342031436</v>
      </c>
      <c r="H215" s="86">
        <f t="shared" si="85"/>
        <v>-8.3333333333333315E-2</v>
      </c>
      <c r="I215" s="85">
        <f t="shared" si="86"/>
        <v>-0.26595744680851063</v>
      </c>
      <c r="J215" s="85">
        <f t="shared" si="87"/>
        <v>0.11107729762629337</v>
      </c>
      <c r="K215" s="86">
        <f t="shared" si="88"/>
        <v>-0.22141657159854577</v>
      </c>
      <c r="L215" s="87">
        <f t="shared" si="89"/>
        <v>0.18083102276549567</v>
      </c>
      <c r="M215" s="86">
        <f t="shared" si="90"/>
        <v>-7.8908178546183746E-2</v>
      </c>
      <c r="N215" s="87">
        <f t="shared" si="91"/>
        <v>0.37660031876255984</v>
      </c>
      <c r="O215" s="86">
        <f t="shared" si="92"/>
        <v>-0.44134463178248173</v>
      </c>
      <c r="P215" s="87">
        <f t="shared" si="93"/>
        <v>0.220854656558925</v>
      </c>
      <c r="Q215" s="86">
        <f t="shared" si="94"/>
        <v>-0.22141657159854583</v>
      </c>
      <c r="R215" s="85">
        <f t="shared" si="95"/>
        <v>-0.34837744065481868</v>
      </c>
    </row>
    <row r="216" spans="2:18">
      <c r="B216" s="83"/>
      <c r="C216" s="84">
        <v>18</v>
      </c>
      <c r="D216" s="84">
        <v>208</v>
      </c>
      <c r="E216" s="84">
        <v>1.2789999999999999</v>
      </c>
      <c r="F216" s="78"/>
      <c r="G216" s="85">
        <f t="shared" si="84"/>
        <v>0.53711496436782891</v>
      </c>
      <c r="H216" s="86">
        <f t="shared" si="85"/>
        <v>-8.3333333333333315E-2</v>
      </c>
      <c r="I216" s="85">
        <f t="shared" si="86"/>
        <v>-0.24468085106382981</v>
      </c>
      <c r="J216" s="85">
        <f t="shared" si="87"/>
        <v>0.12020693852708453</v>
      </c>
      <c r="K216" s="86">
        <f t="shared" si="88"/>
        <v>-0.2014231115818243</v>
      </c>
      <c r="L216" s="87">
        <f t="shared" si="89"/>
        <v>0.18509901154997124</v>
      </c>
      <c r="M216" s="86">
        <f t="shared" si="90"/>
        <v>-5.8914718529462298E-2</v>
      </c>
      <c r="N216" s="87">
        <f t="shared" si="91"/>
        <v>0.38086830754703538</v>
      </c>
      <c r="O216" s="86">
        <f t="shared" si="92"/>
        <v>-0.44134463178248173</v>
      </c>
      <c r="P216" s="87">
        <f t="shared" si="93"/>
        <v>0.22876115750643961</v>
      </c>
      <c r="Q216" s="86">
        <f t="shared" si="94"/>
        <v>-0.20142311158182438</v>
      </c>
      <c r="R216" s="85">
        <f t="shared" si="95"/>
        <v>-0.35201595281785769</v>
      </c>
    </row>
    <row r="217" spans="2:18">
      <c r="B217" s="83"/>
      <c r="C217" s="84">
        <v>18</v>
      </c>
      <c r="D217" s="84">
        <v>224</v>
      </c>
      <c r="E217" s="84">
        <v>1.373</v>
      </c>
      <c r="F217" s="78"/>
      <c r="G217" s="85">
        <f t="shared" si="84"/>
        <v>0.58666237030558743</v>
      </c>
      <c r="H217" s="86">
        <f t="shared" si="85"/>
        <v>-8.3333333333333315E-2</v>
      </c>
      <c r="I217" s="85">
        <f t="shared" si="86"/>
        <v>-0.22340425531914893</v>
      </c>
      <c r="J217" s="85">
        <f t="shared" si="87"/>
        <v>0.17741935483870963</v>
      </c>
      <c r="K217" s="86">
        <f t="shared" si="88"/>
        <v>-0.18142965156510282</v>
      </c>
      <c r="L217" s="87">
        <f t="shared" si="89"/>
        <v>0.23100790532469073</v>
      </c>
      <c r="M217" s="86">
        <f t="shared" si="90"/>
        <v>-3.8921258512740815E-2</v>
      </c>
      <c r="N217" s="87">
        <f t="shared" si="91"/>
        <v>0.4267772013217549</v>
      </c>
      <c r="O217" s="86">
        <f t="shared" si="92"/>
        <v>-0.44134463178248173</v>
      </c>
      <c r="P217" s="87">
        <f t="shared" si="93"/>
        <v>0.27830856344419813</v>
      </c>
      <c r="Q217" s="86">
        <f t="shared" si="94"/>
        <v>-0.18142965156510291</v>
      </c>
      <c r="R217" s="85">
        <f t="shared" si="95"/>
        <v>-0.3556544649808967</v>
      </c>
    </row>
    <row r="218" spans="2:18">
      <c r="B218" s="83"/>
      <c r="C218" s="84">
        <v>18</v>
      </c>
      <c r="D218" s="84">
        <v>240</v>
      </c>
      <c r="E218" s="84">
        <v>1.4973333333333301</v>
      </c>
      <c r="F218" s="78"/>
      <c r="G218" s="85">
        <f t="shared" si="84"/>
        <v>0.65219847815942944</v>
      </c>
      <c r="H218" s="86">
        <f t="shared" si="85"/>
        <v>-8.3333333333333315E-2</v>
      </c>
      <c r="I218" s="85">
        <f t="shared" si="86"/>
        <v>-0.2021276595744681</v>
      </c>
      <c r="J218" s="85">
        <f t="shared" si="87"/>
        <v>0.25309393386082168</v>
      </c>
      <c r="K218" s="86">
        <f t="shared" si="88"/>
        <v>-0.1614361915483814</v>
      </c>
      <c r="L218" s="87">
        <f t="shared" si="89"/>
        <v>0.29290550101549373</v>
      </c>
      <c r="M218" s="86">
        <f t="shared" si="90"/>
        <v>-1.8927798496019384E-2</v>
      </c>
      <c r="N218" s="87">
        <f t="shared" si="91"/>
        <v>0.48867479701255789</v>
      </c>
      <c r="O218" s="86">
        <f t="shared" si="92"/>
        <v>-0.44134463178248168</v>
      </c>
      <c r="P218" s="87">
        <f t="shared" si="93"/>
        <v>0.34384467129804014</v>
      </c>
      <c r="Q218" s="86">
        <f t="shared" si="94"/>
        <v>-0.16143619154838149</v>
      </c>
      <c r="R218" s="85">
        <f t="shared" si="95"/>
        <v>-0.35929297714393577</v>
      </c>
    </row>
    <row r="219" spans="2:18">
      <c r="B219" s="83"/>
      <c r="C219" s="84">
        <v>18</v>
      </c>
      <c r="D219" s="84">
        <v>256</v>
      </c>
      <c r="E219" s="84">
        <v>1.62266666666667</v>
      </c>
      <c r="F219" s="78"/>
      <c r="G219" s="85">
        <f t="shared" si="84"/>
        <v>0.71826168607644436</v>
      </c>
      <c r="H219" s="86">
        <f t="shared" si="85"/>
        <v>-8.3333333333333315E-2</v>
      </c>
      <c r="I219" s="85">
        <f t="shared" si="86"/>
        <v>-0.18085106382978722</v>
      </c>
      <c r="J219" s="85">
        <f t="shared" si="87"/>
        <v>0.32937715560965919</v>
      </c>
      <c r="K219" s="86">
        <f t="shared" si="88"/>
        <v>-0.14144273153165993</v>
      </c>
      <c r="L219" s="87">
        <f t="shared" si="89"/>
        <v>0.35533019676946959</v>
      </c>
      <c r="M219" s="86">
        <f t="shared" si="90"/>
        <v>1.0656615207021007E-3</v>
      </c>
      <c r="N219" s="87">
        <f t="shared" si="91"/>
        <v>0.55109949276653369</v>
      </c>
      <c r="O219" s="86">
        <f t="shared" si="92"/>
        <v>-0.44134463178248168</v>
      </c>
      <c r="P219" s="87">
        <f t="shared" si="93"/>
        <v>0.409907879215055</v>
      </c>
      <c r="Q219" s="86">
        <f t="shared" si="94"/>
        <v>-0.14144273153166001</v>
      </c>
      <c r="R219" s="85">
        <f t="shared" si="95"/>
        <v>-0.36293148930697477</v>
      </c>
    </row>
    <row r="220" spans="2:18">
      <c r="B220" s="83"/>
      <c r="C220" s="84">
        <v>21</v>
      </c>
      <c r="D220" s="84">
        <v>16</v>
      </c>
      <c r="E220" s="84">
        <v>0.29099999999999998</v>
      </c>
      <c r="F220" s="78"/>
      <c r="G220" s="85">
        <f t="shared" si="84"/>
        <v>1.6340101958196962E-2</v>
      </c>
      <c r="H220" s="86">
        <f t="shared" si="85"/>
        <v>0</v>
      </c>
      <c r="I220" s="85">
        <f t="shared" si="86"/>
        <v>-0.5</v>
      </c>
      <c r="J220" s="85">
        <f t="shared" si="87"/>
        <v>-0.48113207547169812</v>
      </c>
      <c r="K220" s="86">
        <f t="shared" si="88"/>
        <v>-0.46984631039295421</v>
      </c>
      <c r="L220" s="87">
        <f t="shared" si="89"/>
        <v>-0.33116756410260517</v>
      </c>
      <c r="M220" s="86">
        <f t="shared" si="90"/>
        <v>-0.29883623873011983</v>
      </c>
      <c r="N220" s="87">
        <f t="shared" si="91"/>
        <v>-9.6244408906128232E-2</v>
      </c>
      <c r="O220" s="86">
        <f t="shared" si="92"/>
        <v>-0.46984631039295421</v>
      </c>
      <c r="P220" s="87">
        <f t="shared" si="93"/>
        <v>-0.33116756410260517</v>
      </c>
      <c r="Q220" s="86">
        <f t="shared" si="94"/>
        <v>-0.46984631039295421</v>
      </c>
      <c r="R220" s="85">
        <f t="shared" si="95"/>
        <v>-0.34750766606080213</v>
      </c>
    </row>
    <row r="221" spans="2:18">
      <c r="B221" s="83"/>
      <c r="C221" s="84">
        <v>21</v>
      </c>
      <c r="D221" s="84">
        <v>32</v>
      </c>
      <c r="E221" s="84">
        <v>0.44733333333333303</v>
      </c>
      <c r="F221" s="78"/>
      <c r="G221" s="85">
        <f t="shared" si="84"/>
        <v>9.874341183340507E-2</v>
      </c>
      <c r="H221" s="86">
        <f t="shared" si="85"/>
        <v>0</v>
      </c>
      <c r="I221" s="85">
        <f t="shared" si="86"/>
        <v>-0.47872340425531917</v>
      </c>
      <c r="J221" s="85">
        <f t="shared" si="87"/>
        <v>-0.385980929194563</v>
      </c>
      <c r="K221" s="86">
        <f t="shared" si="88"/>
        <v>-0.44985285037623279</v>
      </c>
      <c r="L221" s="87">
        <f t="shared" si="89"/>
        <v>-0.25240276639043607</v>
      </c>
      <c r="M221" s="86">
        <f t="shared" si="90"/>
        <v>-0.27884277871339841</v>
      </c>
      <c r="N221" s="87">
        <f t="shared" si="91"/>
        <v>-1.7479611193959133E-2</v>
      </c>
      <c r="O221" s="86">
        <f t="shared" si="92"/>
        <v>-0.46984631039295421</v>
      </c>
      <c r="P221" s="87">
        <f t="shared" si="93"/>
        <v>-0.24876425422739706</v>
      </c>
      <c r="Q221" s="86">
        <f t="shared" si="94"/>
        <v>-0.44985285037623279</v>
      </c>
      <c r="R221" s="85">
        <f t="shared" si="95"/>
        <v>-0.35114617822384114</v>
      </c>
    </row>
    <row r="222" spans="2:18">
      <c r="B222" s="83"/>
      <c r="C222" s="84">
        <v>21</v>
      </c>
      <c r="D222" s="84">
        <v>48</v>
      </c>
      <c r="E222" s="84">
        <v>0.68633333333333302</v>
      </c>
      <c r="F222" s="78"/>
      <c r="G222" s="85">
        <f t="shared" ref="G222:G253" si="96">D$19*(L222-R222)</f>
        <v>0.22472032693047195</v>
      </c>
      <c r="H222" s="86">
        <f t="shared" ref="H222:H253" si="97">(C222-H$16)/H$17-0.5</f>
        <v>0</v>
      </c>
      <c r="I222" s="85">
        <f t="shared" ref="I222:I253" si="98">(D222-I$16)/I$17-0.5</f>
        <v>-0.45744680851063829</v>
      </c>
      <c r="J222" s="85">
        <f t="shared" ref="J222:J253" si="99">(E222-J$16)/J$17-0.5</f>
        <v>-0.24051531750862265</v>
      </c>
      <c r="K222" s="86">
        <f t="shared" ref="K222:K253" si="100">(H222*$H$13+I222*$I$13+J222*$J$13+$D$27)*$C$27</f>
        <v>-0.42985939035951132</v>
      </c>
      <c r="L222" s="87">
        <f t="shared" ref="L222:L253" si="101">(H222*$H$14+I222*$I$14+J222*$J$14+$E$27)*$C$27</f>
        <v>-0.13006436345640826</v>
      </c>
      <c r="M222" s="86">
        <f t="shared" ref="M222:M253" si="102">(H$27*$H$13+I222*$I$13+J222*$J$13+$D$27)*$C$27</f>
        <v>-0.25884931869667688</v>
      </c>
      <c r="N222" s="87">
        <f t="shared" ref="N222:N253" si="103">(H$27*$H$14+I222*$I$14+J222*$J$14+$E$27)*$C$27</f>
        <v>0.10485879174006868</v>
      </c>
      <c r="O222" s="86">
        <f t="shared" ref="O222:O253" si="104">(H222*$H$13+I$27*$I$13+J222*$J$13+$D$27)*$C$27</f>
        <v>-0.46984631039295421</v>
      </c>
      <c r="P222" s="87">
        <f t="shared" ref="P222:P253" si="105">(H222*$H$14+I$27*$I$14+J222*$J$14+$E$27)*$C$27</f>
        <v>-0.12278733913033019</v>
      </c>
      <c r="Q222" s="86">
        <f t="shared" ref="Q222:Q253" si="106">(H222*$H$13+I222*$I$13+J$27*$J$13+$D$27)*$C$27</f>
        <v>-0.42985939035951132</v>
      </c>
      <c r="R222" s="85">
        <f t="shared" ref="R222:R253" si="107">(H222*$H$14+I222*$I$14+J$27*$J$14+$E$27)*$C$27</f>
        <v>-0.35478469038688021</v>
      </c>
    </row>
    <row r="223" spans="2:18">
      <c r="B223" s="83"/>
      <c r="C223" s="84">
        <v>21</v>
      </c>
      <c r="D223" s="84">
        <v>64</v>
      </c>
      <c r="E223" s="84">
        <v>0.73299999999999998</v>
      </c>
      <c r="F223" s="78"/>
      <c r="G223" s="85">
        <f t="shared" si="96"/>
        <v>0.24931832987829547</v>
      </c>
      <c r="H223" s="86">
        <f t="shared" si="97"/>
        <v>0</v>
      </c>
      <c r="I223" s="85">
        <f t="shared" si="98"/>
        <v>-0.43617021276595747</v>
      </c>
      <c r="J223" s="85">
        <f t="shared" si="99"/>
        <v>-0.2121119902617164</v>
      </c>
      <c r="K223" s="86">
        <f t="shared" si="100"/>
        <v>-0.40986593034278984</v>
      </c>
      <c r="L223" s="87">
        <f t="shared" si="101"/>
        <v>-0.10910487267162375</v>
      </c>
      <c r="M223" s="86">
        <f t="shared" si="102"/>
        <v>-0.23885585867995546</v>
      </c>
      <c r="N223" s="87">
        <f t="shared" si="103"/>
        <v>0.12581828252485319</v>
      </c>
      <c r="O223" s="86">
        <f t="shared" si="104"/>
        <v>-0.46984631039295416</v>
      </c>
      <c r="P223" s="87">
        <f t="shared" si="105"/>
        <v>-9.8189336182506665E-2</v>
      </c>
      <c r="Q223" s="86">
        <f t="shared" si="106"/>
        <v>-0.4098659303427899</v>
      </c>
      <c r="R223" s="85">
        <f t="shared" si="107"/>
        <v>-0.35842320254991922</v>
      </c>
    </row>
    <row r="224" spans="2:18">
      <c r="B224" s="83"/>
      <c r="C224" s="84">
        <v>21</v>
      </c>
      <c r="D224" s="84">
        <v>80</v>
      </c>
      <c r="E224" s="84">
        <v>0.86833333333333296</v>
      </c>
      <c r="F224" s="78"/>
      <c r="G224" s="85">
        <f t="shared" si="96"/>
        <v>0.32065253842698305</v>
      </c>
      <c r="H224" s="86">
        <f t="shared" si="97"/>
        <v>0</v>
      </c>
      <c r="I224" s="85">
        <f t="shared" si="98"/>
        <v>-0.41489361702127658</v>
      </c>
      <c r="J224" s="85">
        <f t="shared" si="99"/>
        <v>-0.12974234124568901</v>
      </c>
      <c r="K224" s="86">
        <f t="shared" si="100"/>
        <v>-0.38987247032606831</v>
      </c>
      <c r="L224" s="87">
        <f t="shared" si="101"/>
        <v>-4.1409176285975166E-2</v>
      </c>
      <c r="M224" s="86">
        <f t="shared" si="102"/>
        <v>-0.21886239866323393</v>
      </c>
      <c r="N224" s="87">
        <f t="shared" si="103"/>
        <v>0.19351397891050182</v>
      </c>
      <c r="O224" s="86">
        <f t="shared" si="104"/>
        <v>-0.46984631039295416</v>
      </c>
      <c r="P224" s="87">
        <f t="shared" si="105"/>
        <v>-2.6855127633819045E-2</v>
      </c>
      <c r="Q224" s="86">
        <f t="shared" si="106"/>
        <v>-0.38987247032606837</v>
      </c>
      <c r="R224" s="85">
        <f t="shared" si="107"/>
        <v>-0.36206171471295823</v>
      </c>
    </row>
    <row r="225" spans="2:18">
      <c r="B225" s="83"/>
      <c r="C225" s="84">
        <v>21</v>
      </c>
      <c r="D225" s="84">
        <v>96</v>
      </c>
      <c r="E225" s="84">
        <v>0.98299999999999998</v>
      </c>
      <c r="F225" s="78"/>
      <c r="G225" s="85">
        <f t="shared" si="96"/>
        <v>0.38109334567020642</v>
      </c>
      <c r="H225" s="86">
        <f t="shared" si="97"/>
        <v>0</v>
      </c>
      <c r="I225" s="85">
        <f t="shared" si="98"/>
        <v>-0.39361702127659576</v>
      </c>
      <c r="J225" s="85">
        <f t="shared" si="99"/>
        <v>-5.9951308581862484E-2</v>
      </c>
      <c r="K225" s="86">
        <f t="shared" si="100"/>
        <v>-0.36987901030934689</v>
      </c>
      <c r="L225" s="87">
        <f t="shared" si="101"/>
        <v>1.5393118794209133E-2</v>
      </c>
      <c r="M225" s="86">
        <f t="shared" si="102"/>
        <v>-0.19886893864651248</v>
      </c>
      <c r="N225" s="87">
        <f t="shared" si="103"/>
        <v>0.25031627399068607</v>
      </c>
      <c r="O225" s="86">
        <f t="shared" si="104"/>
        <v>-0.46984631039295416</v>
      </c>
      <c r="P225" s="87">
        <f t="shared" si="105"/>
        <v>3.3585679609404277E-2</v>
      </c>
      <c r="Q225" s="86">
        <f t="shared" si="106"/>
        <v>-0.36987901030934695</v>
      </c>
      <c r="R225" s="85">
        <f t="shared" si="107"/>
        <v>-0.36570022687599729</v>
      </c>
    </row>
    <row r="226" spans="2:18">
      <c r="B226" s="83"/>
      <c r="C226" s="84">
        <v>21</v>
      </c>
      <c r="D226" s="84">
        <v>112</v>
      </c>
      <c r="E226" s="84">
        <v>1.0816666666666701</v>
      </c>
      <c r="F226" s="78"/>
      <c r="G226" s="85">
        <f t="shared" si="96"/>
        <v>0.4331005519027491</v>
      </c>
      <c r="H226" s="86">
        <f t="shared" si="97"/>
        <v>0</v>
      </c>
      <c r="I226" s="85">
        <f t="shared" si="98"/>
        <v>-0.37234042553191493</v>
      </c>
      <c r="J226" s="85">
        <f t="shared" si="99"/>
        <v>1.0144045445537042E-4</v>
      </c>
      <c r="K226" s="86">
        <f t="shared" si="100"/>
        <v>-0.34988555029262547</v>
      </c>
      <c r="L226" s="87">
        <f t="shared" si="101"/>
        <v>6.3761812863712825E-2</v>
      </c>
      <c r="M226" s="86">
        <f t="shared" si="102"/>
        <v>-0.17887547862979106</v>
      </c>
      <c r="N226" s="87">
        <f t="shared" si="103"/>
        <v>0.29868496806018979</v>
      </c>
      <c r="O226" s="86">
        <f t="shared" si="104"/>
        <v>-0.46984631039295416</v>
      </c>
      <c r="P226" s="87">
        <f t="shared" si="105"/>
        <v>8.5592885841947006E-2</v>
      </c>
      <c r="Q226" s="86">
        <f t="shared" si="106"/>
        <v>-0.34988555029262552</v>
      </c>
      <c r="R226" s="85">
        <f t="shared" si="107"/>
        <v>-0.3693387390390363</v>
      </c>
    </row>
    <row r="227" spans="2:18">
      <c r="B227" s="83"/>
      <c r="C227" s="84">
        <v>21</v>
      </c>
      <c r="D227" s="84">
        <v>128</v>
      </c>
      <c r="E227" s="84">
        <v>1.123</v>
      </c>
      <c r="F227" s="78"/>
      <c r="G227" s="85">
        <f t="shared" si="96"/>
        <v>0.45488735451367662</v>
      </c>
      <c r="H227" s="86">
        <f t="shared" si="97"/>
        <v>0</v>
      </c>
      <c r="I227" s="85">
        <f t="shared" si="98"/>
        <v>-0.35106382978723405</v>
      </c>
      <c r="J227" s="85">
        <f t="shared" si="99"/>
        <v>2.5258673158855771E-2</v>
      </c>
      <c r="K227" s="86">
        <f t="shared" si="100"/>
        <v>-0.32989209027590399</v>
      </c>
      <c r="L227" s="87">
        <f t="shared" si="101"/>
        <v>8.1910103311601243E-2</v>
      </c>
      <c r="M227" s="86">
        <f t="shared" si="102"/>
        <v>-0.15888201861306958</v>
      </c>
      <c r="N227" s="87">
        <f t="shared" si="103"/>
        <v>0.31683325850807814</v>
      </c>
      <c r="O227" s="86">
        <f t="shared" si="104"/>
        <v>-0.46984631039295416</v>
      </c>
      <c r="P227" s="87">
        <f t="shared" si="105"/>
        <v>0.10737968845287446</v>
      </c>
      <c r="Q227" s="86">
        <f t="shared" si="106"/>
        <v>-0.32989209027590405</v>
      </c>
      <c r="R227" s="85">
        <f t="shared" si="107"/>
        <v>-0.37297725120207537</v>
      </c>
    </row>
    <row r="228" spans="2:18">
      <c r="B228" s="83"/>
      <c r="C228" s="84">
        <v>21</v>
      </c>
      <c r="D228" s="84">
        <v>144</v>
      </c>
      <c r="E228" s="84">
        <v>1.113</v>
      </c>
      <c r="F228" s="78"/>
      <c r="G228" s="85">
        <f t="shared" si="96"/>
        <v>0.44961635388200011</v>
      </c>
      <c r="H228" s="86">
        <f t="shared" si="97"/>
        <v>0</v>
      </c>
      <c r="I228" s="85">
        <f t="shared" si="98"/>
        <v>-0.32978723404255317</v>
      </c>
      <c r="J228" s="85">
        <f t="shared" si="99"/>
        <v>1.9172245891661555E-2</v>
      </c>
      <c r="K228" s="86">
        <f t="shared" si="100"/>
        <v>-0.30989863025918252</v>
      </c>
      <c r="L228" s="87">
        <f t="shared" si="101"/>
        <v>7.3000590516885719E-2</v>
      </c>
      <c r="M228" s="86">
        <f t="shared" si="102"/>
        <v>-0.13888855859634811</v>
      </c>
      <c r="N228" s="87">
        <f t="shared" si="103"/>
        <v>0.30792374571336267</v>
      </c>
      <c r="O228" s="86">
        <f t="shared" si="104"/>
        <v>-0.46984631039295416</v>
      </c>
      <c r="P228" s="87">
        <f t="shared" si="105"/>
        <v>0.10210868782119796</v>
      </c>
      <c r="Q228" s="86">
        <f t="shared" si="106"/>
        <v>-0.30989863025918257</v>
      </c>
      <c r="R228" s="85">
        <f t="shared" si="107"/>
        <v>-0.37661576336511438</v>
      </c>
    </row>
    <row r="229" spans="2:18">
      <c r="B229" s="83"/>
      <c r="C229" s="84">
        <v>21</v>
      </c>
      <c r="D229" s="84">
        <v>160</v>
      </c>
      <c r="E229" s="84">
        <v>1.21166666666667</v>
      </c>
      <c r="F229" s="78"/>
      <c r="G229" s="85">
        <f t="shared" si="96"/>
        <v>0.50162356011454268</v>
      </c>
      <c r="H229" s="86">
        <f t="shared" si="97"/>
        <v>0</v>
      </c>
      <c r="I229" s="85">
        <f t="shared" si="98"/>
        <v>-0.30851063829787234</v>
      </c>
      <c r="J229" s="85">
        <f t="shared" si="99"/>
        <v>7.9224994927979298E-2</v>
      </c>
      <c r="K229" s="86">
        <f t="shared" si="100"/>
        <v>-0.2899051702424611</v>
      </c>
      <c r="L229" s="87">
        <f t="shared" si="101"/>
        <v>0.12136928458638932</v>
      </c>
      <c r="M229" s="86">
        <f t="shared" si="102"/>
        <v>-0.11889509857962667</v>
      </c>
      <c r="N229" s="87">
        <f t="shared" si="103"/>
        <v>0.35629243978286629</v>
      </c>
      <c r="O229" s="86">
        <f t="shared" si="104"/>
        <v>-0.46984631039295416</v>
      </c>
      <c r="P229" s="87">
        <f t="shared" si="105"/>
        <v>0.1541158940537406</v>
      </c>
      <c r="Q229" s="86">
        <f t="shared" si="106"/>
        <v>-0.28990517024246115</v>
      </c>
      <c r="R229" s="85">
        <f t="shared" si="107"/>
        <v>-0.38025427552815338</v>
      </c>
    </row>
    <row r="230" spans="2:18">
      <c r="B230" s="83"/>
      <c r="C230" s="84">
        <v>21</v>
      </c>
      <c r="D230" s="84">
        <v>176</v>
      </c>
      <c r="E230" s="84">
        <v>1.31033333333333</v>
      </c>
      <c r="F230" s="78"/>
      <c r="G230" s="85">
        <f t="shared" si="96"/>
        <v>0.55363076634708008</v>
      </c>
      <c r="H230" s="86">
        <f t="shared" si="97"/>
        <v>0</v>
      </c>
      <c r="I230" s="85">
        <f t="shared" si="98"/>
        <v>-0.28723404255319152</v>
      </c>
      <c r="J230" s="85">
        <f t="shared" si="99"/>
        <v>0.13927774396429093</v>
      </c>
      <c r="K230" s="86">
        <f t="shared" si="100"/>
        <v>-0.26991171022573962</v>
      </c>
      <c r="L230" s="87">
        <f t="shared" si="101"/>
        <v>0.16973797865588763</v>
      </c>
      <c r="M230" s="86">
        <f t="shared" si="102"/>
        <v>-9.8901638562905195E-2</v>
      </c>
      <c r="N230" s="87">
        <f t="shared" si="103"/>
        <v>0.40466113385236457</v>
      </c>
      <c r="O230" s="86">
        <f t="shared" si="104"/>
        <v>-0.46984631039295416</v>
      </c>
      <c r="P230" s="87">
        <f t="shared" si="105"/>
        <v>0.20612310028627795</v>
      </c>
      <c r="Q230" s="86">
        <f t="shared" si="106"/>
        <v>-0.26991171022573968</v>
      </c>
      <c r="R230" s="85">
        <f t="shared" si="107"/>
        <v>-0.38389278769119245</v>
      </c>
    </row>
    <row r="231" spans="2:18">
      <c r="B231" s="83"/>
      <c r="C231" s="84">
        <v>21</v>
      </c>
      <c r="D231" s="84">
        <v>192</v>
      </c>
      <c r="E231" s="84">
        <v>1.41966666666667</v>
      </c>
      <c r="F231" s="78"/>
      <c r="G231" s="85">
        <f t="shared" si="96"/>
        <v>0.61126037325341254</v>
      </c>
      <c r="H231" s="86">
        <f t="shared" si="97"/>
        <v>0</v>
      </c>
      <c r="I231" s="85">
        <f t="shared" si="98"/>
        <v>-0.26595744680851063</v>
      </c>
      <c r="J231" s="85">
        <f t="shared" si="99"/>
        <v>0.20582268208561771</v>
      </c>
      <c r="K231" s="86">
        <f t="shared" si="100"/>
        <v>-0.24991825020901814</v>
      </c>
      <c r="L231" s="87">
        <f t="shared" si="101"/>
        <v>0.22372907339918113</v>
      </c>
      <c r="M231" s="86">
        <f t="shared" si="102"/>
        <v>-7.8908178546183733E-2</v>
      </c>
      <c r="N231" s="87">
        <f t="shared" si="103"/>
        <v>0.45865222859565807</v>
      </c>
      <c r="O231" s="86">
        <f t="shared" si="104"/>
        <v>-0.46984631039295416</v>
      </c>
      <c r="P231" s="87">
        <f t="shared" si="105"/>
        <v>0.26375270719261046</v>
      </c>
      <c r="Q231" s="86">
        <f t="shared" si="106"/>
        <v>-0.24991825020901823</v>
      </c>
      <c r="R231" s="85">
        <f t="shared" si="107"/>
        <v>-0.38753129985423146</v>
      </c>
    </row>
    <row r="232" spans="2:18">
      <c r="B232" s="83"/>
      <c r="C232" s="84">
        <v>21</v>
      </c>
      <c r="D232" s="84">
        <v>208</v>
      </c>
      <c r="E232" s="84">
        <v>1.4610000000000001</v>
      </c>
      <c r="F232" s="78"/>
      <c r="G232" s="85">
        <f t="shared" si="96"/>
        <v>0.63304717586434023</v>
      </c>
      <c r="H232" s="86">
        <f t="shared" si="97"/>
        <v>0</v>
      </c>
      <c r="I232" s="85">
        <f t="shared" si="98"/>
        <v>-0.24468085106382981</v>
      </c>
      <c r="J232" s="85">
        <f t="shared" si="99"/>
        <v>0.23097991479001834</v>
      </c>
      <c r="K232" s="86">
        <f t="shared" si="100"/>
        <v>-0.2299247901922967</v>
      </c>
      <c r="L232" s="87">
        <f t="shared" si="101"/>
        <v>0.24187736384706973</v>
      </c>
      <c r="M232" s="86">
        <f t="shared" si="102"/>
        <v>-5.8914718529462284E-2</v>
      </c>
      <c r="N232" s="87">
        <f t="shared" si="103"/>
        <v>0.47680051904354664</v>
      </c>
      <c r="O232" s="86">
        <f t="shared" si="104"/>
        <v>-0.4698463103929541</v>
      </c>
      <c r="P232" s="87">
        <f t="shared" si="105"/>
        <v>0.28553950980353809</v>
      </c>
      <c r="Q232" s="86">
        <f t="shared" si="106"/>
        <v>-0.22992479019229678</v>
      </c>
      <c r="R232" s="85">
        <f t="shared" si="107"/>
        <v>-0.39116981201727052</v>
      </c>
    </row>
    <row r="233" spans="2:18">
      <c r="B233" s="83"/>
      <c r="C233" s="84">
        <v>24</v>
      </c>
      <c r="D233" s="84">
        <v>16</v>
      </c>
      <c r="E233" s="84">
        <v>0.312</v>
      </c>
      <c r="F233" s="78"/>
      <c r="G233" s="85">
        <f t="shared" si="96"/>
        <v>2.7409203284717465E-2</v>
      </c>
      <c r="H233" s="86">
        <f t="shared" si="97"/>
        <v>8.333333333333337E-2</v>
      </c>
      <c r="I233" s="85">
        <f t="shared" si="98"/>
        <v>-0.5</v>
      </c>
      <c r="J233" s="85">
        <f t="shared" si="99"/>
        <v>-0.4683505782105904</v>
      </c>
      <c r="K233" s="86">
        <f t="shared" si="100"/>
        <v>-0.49834798900342664</v>
      </c>
      <c r="L233" s="87">
        <f t="shared" si="101"/>
        <v>-0.3592523219754975</v>
      </c>
      <c r="M233" s="86">
        <f t="shared" si="102"/>
        <v>-0.29883623873011983</v>
      </c>
      <c r="N233" s="87">
        <f t="shared" si="103"/>
        <v>-8.5175307579607729E-2</v>
      </c>
      <c r="O233" s="86">
        <f t="shared" si="104"/>
        <v>-0.49834798900342664</v>
      </c>
      <c r="P233" s="87">
        <f t="shared" si="105"/>
        <v>-0.3592523219754975</v>
      </c>
      <c r="Q233" s="86">
        <f t="shared" si="106"/>
        <v>-0.49834798900342664</v>
      </c>
      <c r="R233" s="85">
        <f t="shared" si="107"/>
        <v>-0.38666152526021497</v>
      </c>
    </row>
    <row r="234" spans="2:18">
      <c r="B234" s="83"/>
      <c r="C234" s="84">
        <v>24</v>
      </c>
      <c r="D234" s="84">
        <v>32</v>
      </c>
      <c r="E234" s="84">
        <v>0.51466666666666705</v>
      </c>
      <c r="F234" s="78"/>
      <c r="G234" s="85">
        <f t="shared" si="96"/>
        <v>0.13423481608669346</v>
      </c>
      <c r="H234" s="86">
        <f t="shared" si="97"/>
        <v>8.333333333333337E-2</v>
      </c>
      <c r="I234" s="85">
        <f t="shared" si="98"/>
        <v>-0.47872340425531917</v>
      </c>
      <c r="J234" s="85">
        <f t="shared" si="99"/>
        <v>-0.34499898559545528</v>
      </c>
      <c r="K234" s="86">
        <f t="shared" si="100"/>
        <v>-0.47835452898670522</v>
      </c>
      <c r="L234" s="87">
        <f t="shared" si="101"/>
        <v>-0.25606522133656051</v>
      </c>
      <c r="M234" s="86">
        <f t="shared" si="102"/>
        <v>-0.27884277871339841</v>
      </c>
      <c r="N234" s="87">
        <f t="shared" si="103"/>
        <v>1.8011793059329262E-2</v>
      </c>
      <c r="O234" s="86">
        <f t="shared" si="104"/>
        <v>-0.49834798900342664</v>
      </c>
      <c r="P234" s="87">
        <f t="shared" si="105"/>
        <v>-0.2524267091735215</v>
      </c>
      <c r="Q234" s="86">
        <f t="shared" si="106"/>
        <v>-0.47835452898670522</v>
      </c>
      <c r="R234" s="85">
        <f t="shared" si="107"/>
        <v>-0.39030003742325398</v>
      </c>
    </row>
    <row r="235" spans="2:18">
      <c r="B235" s="83"/>
      <c r="C235" s="84">
        <v>24</v>
      </c>
      <c r="D235" s="84">
        <v>48</v>
      </c>
      <c r="E235" s="84">
        <v>0.71799999999999997</v>
      </c>
      <c r="F235" s="78"/>
      <c r="G235" s="85">
        <f t="shared" si="96"/>
        <v>0.24141182893078084</v>
      </c>
      <c r="H235" s="86">
        <f t="shared" si="97"/>
        <v>8.333333333333337E-2</v>
      </c>
      <c r="I235" s="85">
        <f t="shared" si="98"/>
        <v>-0.45744680851063829</v>
      </c>
      <c r="J235" s="85">
        <f t="shared" si="99"/>
        <v>-0.22124163116250761</v>
      </c>
      <c r="K235" s="86">
        <f t="shared" si="100"/>
        <v>-0.45836106896998369</v>
      </c>
      <c r="L235" s="87">
        <f t="shared" si="101"/>
        <v>-0.1525267206555122</v>
      </c>
      <c r="M235" s="86">
        <f t="shared" si="102"/>
        <v>-0.25884931869667682</v>
      </c>
      <c r="N235" s="87">
        <f t="shared" si="103"/>
        <v>0.12155029374037757</v>
      </c>
      <c r="O235" s="86">
        <f t="shared" si="104"/>
        <v>-0.49834798900342658</v>
      </c>
      <c r="P235" s="87">
        <f t="shared" si="105"/>
        <v>-0.14524969632943413</v>
      </c>
      <c r="Q235" s="86">
        <f t="shared" si="106"/>
        <v>-0.45836106896998374</v>
      </c>
      <c r="R235" s="85">
        <f t="shared" si="107"/>
        <v>-0.39393854958629304</v>
      </c>
    </row>
    <row r="236" spans="2:18">
      <c r="B236" s="83"/>
      <c r="C236" s="84">
        <v>24</v>
      </c>
      <c r="D236" s="84">
        <v>64</v>
      </c>
      <c r="E236" s="84">
        <v>0.78</v>
      </c>
      <c r="F236" s="78"/>
      <c r="G236" s="85">
        <f t="shared" si="96"/>
        <v>0.27409203284717476</v>
      </c>
      <c r="H236" s="86">
        <f t="shared" si="97"/>
        <v>8.333333333333337E-2</v>
      </c>
      <c r="I236" s="85">
        <f t="shared" si="98"/>
        <v>-0.43617021276595747</v>
      </c>
      <c r="J236" s="85">
        <f t="shared" si="99"/>
        <v>-0.18350578210590385</v>
      </c>
      <c r="K236" s="86">
        <f t="shared" si="100"/>
        <v>-0.43836760895326227</v>
      </c>
      <c r="L236" s="87">
        <f t="shared" si="101"/>
        <v>-0.12348502890215729</v>
      </c>
      <c r="M236" s="86">
        <f t="shared" si="102"/>
        <v>-0.23885585867995546</v>
      </c>
      <c r="N236" s="87">
        <f t="shared" si="103"/>
        <v>0.15059198549373248</v>
      </c>
      <c r="O236" s="86">
        <f t="shared" si="104"/>
        <v>-0.49834798900342658</v>
      </c>
      <c r="P236" s="87">
        <f t="shared" si="105"/>
        <v>-0.11256949241304021</v>
      </c>
      <c r="Q236" s="86">
        <f t="shared" si="106"/>
        <v>-0.43836760895326232</v>
      </c>
      <c r="R236" s="85">
        <f t="shared" si="107"/>
        <v>-0.39757706174933205</v>
      </c>
    </row>
    <row r="237" spans="2:18">
      <c r="B237" s="83"/>
      <c r="C237" s="84">
        <v>24</v>
      </c>
      <c r="D237" s="84">
        <v>80</v>
      </c>
      <c r="E237" s="84">
        <v>1.014</v>
      </c>
      <c r="F237" s="78"/>
      <c r="G237" s="85">
        <f t="shared" si="96"/>
        <v>0.39743344762840344</v>
      </c>
      <c r="H237" s="86">
        <f t="shared" si="97"/>
        <v>8.333333333333337E-2</v>
      </c>
      <c r="I237" s="85">
        <f t="shared" si="98"/>
        <v>-0.41489361702127658</v>
      </c>
      <c r="J237" s="85">
        <f t="shared" si="99"/>
        <v>-4.1083384053560545E-2</v>
      </c>
      <c r="K237" s="86">
        <f t="shared" si="100"/>
        <v>-0.41837414893654074</v>
      </c>
      <c r="L237" s="87">
        <f t="shared" si="101"/>
        <v>-3.7821262839676795E-3</v>
      </c>
      <c r="M237" s="86">
        <f t="shared" si="102"/>
        <v>-0.2188623986632339</v>
      </c>
      <c r="N237" s="87">
        <f t="shared" si="103"/>
        <v>0.27029488811192215</v>
      </c>
      <c r="O237" s="86">
        <f t="shared" si="104"/>
        <v>-0.49834798900342658</v>
      </c>
      <c r="P237" s="87">
        <f t="shared" si="105"/>
        <v>1.0771922368188441E-2</v>
      </c>
      <c r="Q237" s="86">
        <f t="shared" si="106"/>
        <v>-0.41837414893654079</v>
      </c>
      <c r="R237" s="85">
        <f t="shared" si="107"/>
        <v>-0.40121557391237112</v>
      </c>
    </row>
    <row r="238" spans="2:18">
      <c r="B238" s="83"/>
      <c r="C238" s="84">
        <v>24</v>
      </c>
      <c r="D238" s="84">
        <v>96</v>
      </c>
      <c r="E238" s="84">
        <v>1.13866666666667</v>
      </c>
      <c r="F238" s="78"/>
      <c r="G238" s="85">
        <f t="shared" si="96"/>
        <v>0.46314525550330476</v>
      </c>
      <c r="H238" s="86">
        <f t="shared" si="97"/>
        <v>8.333333333333337E-2</v>
      </c>
      <c r="I238" s="85">
        <f t="shared" si="98"/>
        <v>-0.39361702127659576</v>
      </c>
      <c r="J238" s="85">
        <f t="shared" si="99"/>
        <v>3.4794075877461972E-2</v>
      </c>
      <c r="K238" s="86">
        <f t="shared" si="100"/>
        <v>-0.39838068891981931</v>
      </c>
      <c r="L238" s="87">
        <f t="shared" si="101"/>
        <v>5.829116942789464E-2</v>
      </c>
      <c r="M238" s="86">
        <f t="shared" si="102"/>
        <v>-0.19886893864651248</v>
      </c>
      <c r="N238" s="87">
        <f t="shared" si="103"/>
        <v>0.33236818382378441</v>
      </c>
      <c r="O238" s="86">
        <f t="shared" si="104"/>
        <v>-0.49834798900342658</v>
      </c>
      <c r="P238" s="87">
        <f t="shared" si="105"/>
        <v>7.6483730243089784E-2</v>
      </c>
      <c r="Q238" s="86">
        <f t="shared" si="106"/>
        <v>-0.39838068891981937</v>
      </c>
      <c r="R238" s="85">
        <f t="shared" si="107"/>
        <v>-0.40485408607541012</v>
      </c>
    </row>
    <row r="239" spans="2:18">
      <c r="B239" s="83"/>
      <c r="C239" s="84">
        <v>24</v>
      </c>
      <c r="D239" s="84">
        <v>112</v>
      </c>
      <c r="E239" s="84">
        <v>1.0920000000000001</v>
      </c>
      <c r="F239" s="78"/>
      <c r="G239" s="85">
        <f t="shared" si="96"/>
        <v>0.43854725255547961</v>
      </c>
      <c r="H239" s="86">
        <f t="shared" si="97"/>
        <v>8.333333333333337E-2</v>
      </c>
      <c r="I239" s="85">
        <f t="shared" si="98"/>
        <v>-0.37234042553191493</v>
      </c>
      <c r="J239" s="85">
        <f t="shared" si="99"/>
        <v>6.3907486305538885E-3</v>
      </c>
      <c r="K239" s="86">
        <f t="shared" si="100"/>
        <v>-0.37838722890309789</v>
      </c>
      <c r="L239" s="87">
        <f t="shared" si="101"/>
        <v>3.0054654317030478E-2</v>
      </c>
      <c r="M239" s="86">
        <f t="shared" si="102"/>
        <v>-0.17887547862979106</v>
      </c>
      <c r="N239" s="87">
        <f t="shared" si="103"/>
        <v>0.3041316687129203</v>
      </c>
      <c r="O239" s="86">
        <f t="shared" si="104"/>
        <v>-0.49834798900342658</v>
      </c>
      <c r="P239" s="87">
        <f t="shared" si="105"/>
        <v>5.1885727295264659E-2</v>
      </c>
      <c r="Q239" s="86">
        <f t="shared" si="106"/>
        <v>-0.37838722890309795</v>
      </c>
      <c r="R239" s="85">
        <f t="shared" si="107"/>
        <v>-0.40849259823844913</v>
      </c>
    </row>
    <row r="240" spans="2:18">
      <c r="B240" s="83"/>
      <c r="C240" s="84">
        <v>24</v>
      </c>
      <c r="D240" s="84">
        <v>128</v>
      </c>
      <c r="E240" s="84">
        <v>1.15966666666667</v>
      </c>
      <c r="F240" s="78"/>
      <c r="G240" s="85">
        <f t="shared" si="96"/>
        <v>0.47421435682982521</v>
      </c>
      <c r="H240" s="86">
        <f t="shared" si="97"/>
        <v>8.333333333333337E-2</v>
      </c>
      <c r="I240" s="85">
        <f t="shared" si="98"/>
        <v>-0.35106382978723405</v>
      </c>
      <c r="J240" s="85">
        <f t="shared" si="99"/>
        <v>4.7575573138569638E-2</v>
      </c>
      <c r="K240" s="86">
        <f t="shared" si="100"/>
        <v>-0.35839376888637642</v>
      </c>
      <c r="L240" s="87">
        <f t="shared" si="101"/>
        <v>6.2083246428337034E-2</v>
      </c>
      <c r="M240" s="86">
        <f t="shared" si="102"/>
        <v>-0.15888201861306958</v>
      </c>
      <c r="N240" s="87">
        <f t="shared" si="103"/>
        <v>0.33616026082422679</v>
      </c>
      <c r="O240" s="86">
        <f t="shared" si="104"/>
        <v>-0.49834798900342658</v>
      </c>
      <c r="P240" s="87">
        <f t="shared" si="105"/>
        <v>8.7552831569610245E-2</v>
      </c>
      <c r="Q240" s="86">
        <f t="shared" si="106"/>
        <v>-0.35839376888637647</v>
      </c>
      <c r="R240" s="85">
        <f t="shared" si="107"/>
        <v>-0.4121311104014882</v>
      </c>
    </row>
    <row r="241" spans="2:18">
      <c r="B241" s="83"/>
      <c r="C241" s="84">
        <v>24</v>
      </c>
      <c r="D241" s="84">
        <v>144</v>
      </c>
      <c r="E241" s="84">
        <v>1.2270000000000001</v>
      </c>
      <c r="F241" s="78"/>
      <c r="G241" s="85">
        <f t="shared" si="96"/>
        <v>0.5097057610831115</v>
      </c>
      <c r="H241" s="86">
        <f t="shared" si="97"/>
        <v>8.333333333333337E-2</v>
      </c>
      <c r="I241" s="85">
        <f t="shared" si="98"/>
        <v>-0.32978723404255317</v>
      </c>
      <c r="J241" s="85">
        <f t="shared" si="99"/>
        <v>8.8557516737674979E-2</v>
      </c>
      <c r="K241" s="86">
        <f t="shared" si="100"/>
        <v>-0.33840030886965494</v>
      </c>
      <c r="L241" s="87">
        <f t="shared" si="101"/>
        <v>9.3936138518584289E-2</v>
      </c>
      <c r="M241" s="86">
        <f t="shared" si="102"/>
        <v>-0.13888855859634811</v>
      </c>
      <c r="N241" s="87">
        <f t="shared" si="103"/>
        <v>0.36801315291447406</v>
      </c>
      <c r="O241" s="86">
        <f t="shared" si="104"/>
        <v>-0.49834798900342658</v>
      </c>
      <c r="P241" s="87">
        <f t="shared" si="105"/>
        <v>0.12304423582289653</v>
      </c>
      <c r="Q241" s="86">
        <f t="shared" si="106"/>
        <v>-0.338400308869655</v>
      </c>
      <c r="R241" s="85">
        <f t="shared" si="107"/>
        <v>-0.41576962256452721</v>
      </c>
    </row>
    <row r="242" spans="2:18">
      <c r="B242" s="83"/>
      <c r="C242" s="84">
        <v>24</v>
      </c>
      <c r="D242" s="84">
        <v>160</v>
      </c>
      <c r="E242" s="84">
        <v>1.347</v>
      </c>
      <c r="F242" s="78"/>
      <c r="G242" s="85">
        <f t="shared" si="96"/>
        <v>0.57295776866322878</v>
      </c>
      <c r="H242" s="86">
        <f t="shared" si="97"/>
        <v>8.333333333333337E-2</v>
      </c>
      <c r="I242" s="85">
        <f t="shared" si="98"/>
        <v>-0.30851063829787234</v>
      </c>
      <c r="J242" s="85">
        <f t="shared" si="99"/>
        <v>0.1615946439440048</v>
      </c>
      <c r="K242" s="86">
        <f t="shared" si="100"/>
        <v>-0.31840684885293352</v>
      </c>
      <c r="L242" s="87">
        <f t="shared" si="101"/>
        <v>0.15354963393566248</v>
      </c>
      <c r="M242" s="86">
        <f t="shared" si="102"/>
        <v>-0.11889509857962667</v>
      </c>
      <c r="N242" s="87">
        <f t="shared" si="103"/>
        <v>0.42762664833155228</v>
      </c>
      <c r="O242" s="86">
        <f t="shared" si="104"/>
        <v>-0.49834798900342658</v>
      </c>
      <c r="P242" s="87">
        <f t="shared" si="105"/>
        <v>0.18629624340301376</v>
      </c>
      <c r="Q242" s="86">
        <f t="shared" si="106"/>
        <v>-0.31840684885293358</v>
      </c>
      <c r="R242" s="85">
        <f t="shared" si="107"/>
        <v>-0.41940813472756627</v>
      </c>
    </row>
    <row r="243" spans="2:18">
      <c r="B243" s="83"/>
      <c r="C243" s="84">
        <v>24</v>
      </c>
      <c r="D243" s="84">
        <v>176</v>
      </c>
      <c r="E243" s="84">
        <v>1.4663333333333299</v>
      </c>
      <c r="F243" s="78"/>
      <c r="G243" s="85">
        <f t="shared" si="96"/>
        <v>0.63585837620123242</v>
      </c>
      <c r="H243" s="86">
        <f t="shared" si="97"/>
        <v>8.333333333333337E-2</v>
      </c>
      <c r="I243" s="85">
        <f t="shared" si="98"/>
        <v>-0.28723404255319152</v>
      </c>
      <c r="J243" s="85">
        <f t="shared" si="99"/>
        <v>0.23422600933251969</v>
      </c>
      <c r="K243" s="86">
        <f t="shared" si="100"/>
        <v>-0.29841338883621199</v>
      </c>
      <c r="L243" s="87">
        <f t="shared" si="101"/>
        <v>0.21281172931062714</v>
      </c>
      <c r="M243" s="86">
        <f t="shared" si="102"/>
        <v>-9.8901638562905181E-2</v>
      </c>
      <c r="N243" s="87">
        <f t="shared" si="103"/>
        <v>0.48688874370651691</v>
      </c>
      <c r="O243" s="86">
        <f t="shared" si="104"/>
        <v>-0.49834798900342653</v>
      </c>
      <c r="P243" s="87">
        <f t="shared" si="105"/>
        <v>0.24919685094101746</v>
      </c>
      <c r="Q243" s="86">
        <f t="shared" si="106"/>
        <v>-0.2984133888362121</v>
      </c>
      <c r="R243" s="85">
        <f t="shared" si="107"/>
        <v>-0.42304664689060528</v>
      </c>
    </row>
    <row r="244" spans="2:18">
      <c r="B244" s="83"/>
      <c r="C244" s="84">
        <v>24</v>
      </c>
      <c r="D244" s="84">
        <v>192</v>
      </c>
      <c r="E244" s="84">
        <v>1.60666666666667</v>
      </c>
      <c r="F244" s="78"/>
      <c r="G244" s="85">
        <f t="shared" si="96"/>
        <v>0.709828085065762</v>
      </c>
      <c r="H244" s="86">
        <f t="shared" si="97"/>
        <v>8.333333333333337E-2</v>
      </c>
      <c r="I244" s="85">
        <f t="shared" si="98"/>
        <v>-0.26595744680851063</v>
      </c>
      <c r="J244" s="85">
        <f t="shared" si="99"/>
        <v>0.31963887198214846</v>
      </c>
      <c r="K244" s="86">
        <f t="shared" si="100"/>
        <v>-0.27841992881949051</v>
      </c>
      <c r="L244" s="87">
        <f t="shared" si="101"/>
        <v>0.28314292601211771</v>
      </c>
      <c r="M244" s="86">
        <f t="shared" si="102"/>
        <v>-7.8908178546183719E-2</v>
      </c>
      <c r="N244" s="87">
        <f t="shared" si="103"/>
        <v>0.55721994040800749</v>
      </c>
      <c r="O244" s="86">
        <f t="shared" si="104"/>
        <v>-0.49834798900342653</v>
      </c>
      <c r="P244" s="87">
        <f t="shared" si="105"/>
        <v>0.32316655980554704</v>
      </c>
      <c r="Q244" s="86">
        <f t="shared" si="106"/>
        <v>-0.27841992881949063</v>
      </c>
      <c r="R244" s="85">
        <f t="shared" si="107"/>
        <v>-0.42668515905364429</v>
      </c>
    </row>
    <row r="245" spans="2:18">
      <c r="B245" s="83"/>
      <c r="C245" s="84">
        <v>27</v>
      </c>
      <c r="D245" s="84">
        <v>16</v>
      </c>
      <c r="E245" s="84">
        <v>0.32766666666666699</v>
      </c>
      <c r="F245" s="78"/>
      <c r="G245" s="85">
        <f t="shared" si="96"/>
        <v>3.5667104274344053E-2</v>
      </c>
      <c r="H245" s="86">
        <f t="shared" si="97"/>
        <v>0.16666666666666663</v>
      </c>
      <c r="I245" s="85">
        <f t="shared" si="98"/>
        <v>-0.5</v>
      </c>
      <c r="J245" s="85">
        <f t="shared" si="99"/>
        <v>-0.45881517549198603</v>
      </c>
      <c r="K245" s="86">
        <f t="shared" si="100"/>
        <v>-0.52684966761389906</v>
      </c>
      <c r="L245" s="87">
        <f t="shared" si="101"/>
        <v>-0.39014828018528369</v>
      </c>
      <c r="M245" s="86">
        <f t="shared" si="102"/>
        <v>-0.29883623873011983</v>
      </c>
      <c r="N245" s="87">
        <f t="shared" si="103"/>
        <v>-7.6917406589981141E-2</v>
      </c>
      <c r="O245" s="86">
        <f t="shared" si="104"/>
        <v>-0.52684966761389906</v>
      </c>
      <c r="P245" s="87">
        <f t="shared" si="105"/>
        <v>-0.39014828018528369</v>
      </c>
      <c r="Q245" s="86">
        <f t="shared" si="106"/>
        <v>-0.52684966761389906</v>
      </c>
      <c r="R245" s="85">
        <f t="shared" si="107"/>
        <v>-0.42581538445962774</v>
      </c>
    </row>
    <row r="246" spans="2:18">
      <c r="B246" s="83"/>
      <c r="C246" s="84">
        <v>27</v>
      </c>
      <c r="D246" s="84">
        <v>32</v>
      </c>
      <c r="E246" s="84">
        <v>0.57199999999999995</v>
      </c>
      <c r="F246" s="78"/>
      <c r="G246" s="85">
        <f t="shared" si="96"/>
        <v>0.16445521970830479</v>
      </c>
      <c r="H246" s="86">
        <f t="shared" si="97"/>
        <v>0.16666666666666663</v>
      </c>
      <c r="I246" s="85">
        <f t="shared" si="98"/>
        <v>-0.47872340425531917</v>
      </c>
      <c r="J246" s="85">
        <f t="shared" si="99"/>
        <v>-0.31010346926354238</v>
      </c>
      <c r="K246" s="86">
        <f t="shared" si="100"/>
        <v>-0.50685620759717753</v>
      </c>
      <c r="L246" s="87">
        <f t="shared" si="101"/>
        <v>-0.26499867691436196</v>
      </c>
      <c r="M246" s="86">
        <f t="shared" si="102"/>
        <v>-0.27884277871339841</v>
      </c>
      <c r="N246" s="87">
        <f t="shared" si="103"/>
        <v>4.8232196680940587E-2</v>
      </c>
      <c r="O246" s="86">
        <f t="shared" si="104"/>
        <v>-0.52684966761389895</v>
      </c>
      <c r="P246" s="87">
        <f t="shared" si="105"/>
        <v>-0.26136016475132295</v>
      </c>
      <c r="Q246" s="86">
        <f t="shared" si="106"/>
        <v>-0.50685620759717764</v>
      </c>
      <c r="R246" s="85">
        <f t="shared" si="107"/>
        <v>-0.42945389662266675</v>
      </c>
    </row>
    <row r="247" spans="2:18">
      <c r="B247" s="83"/>
      <c r="C247" s="84">
        <v>27</v>
      </c>
      <c r="D247" s="84">
        <v>48</v>
      </c>
      <c r="E247" s="84">
        <v>0.74366666666666703</v>
      </c>
      <c r="F247" s="78"/>
      <c r="G247" s="85">
        <f t="shared" si="96"/>
        <v>0.25494073055208388</v>
      </c>
      <c r="H247" s="86">
        <f t="shared" si="97"/>
        <v>0.16666666666666663</v>
      </c>
      <c r="I247" s="85">
        <f t="shared" si="98"/>
        <v>-0.45744680851063829</v>
      </c>
      <c r="J247" s="85">
        <f t="shared" si="99"/>
        <v>-0.20561980117670908</v>
      </c>
      <c r="K247" s="86">
        <f t="shared" si="100"/>
        <v>-0.48686274758045606</v>
      </c>
      <c r="L247" s="87">
        <f t="shared" si="101"/>
        <v>-0.17815167823362196</v>
      </c>
      <c r="M247" s="86">
        <f t="shared" si="102"/>
        <v>-0.25884931869667682</v>
      </c>
      <c r="N247" s="87">
        <f t="shared" si="103"/>
        <v>0.13507919536168059</v>
      </c>
      <c r="O247" s="86">
        <f t="shared" si="104"/>
        <v>-0.52684966761389895</v>
      </c>
      <c r="P247" s="87">
        <f t="shared" si="105"/>
        <v>-0.17087465390754392</v>
      </c>
      <c r="Q247" s="86">
        <f t="shared" si="106"/>
        <v>-0.48686274758045611</v>
      </c>
      <c r="R247" s="85">
        <f t="shared" si="107"/>
        <v>-0.43309240878570582</v>
      </c>
    </row>
    <row r="248" spans="2:18">
      <c r="B248" s="83"/>
      <c r="C248" s="84">
        <v>27</v>
      </c>
      <c r="D248" s="84">
        <v>64</v>
      </c>
      <c r="E248" s="84">
        <v>0.80600000000000005</v>
      </c>
      <c r="F248" s="78"/>
      <c r="G248" s="85">
        <f t="shared" si="96"/>
        <v>0.28779663448953346</v>
      </c>
      <c r="H248" s="86">
        <f t="shared" si="97"/>
        <v>0.16666666666666663</v>
      </c>
      <c r="I248" s="85">
        <f t="shared" si="98"/>
        <v>-0.43617021276595747</v>
      </c>
      <c r="J248" s="85">
        <f t="shared" si="99"/>
        <v>-0.16768107121119902</v>
      </c>
      <c r="K248" s="86">
        <f t="shared" si="100"/>
        <v>-0.46686928756373464</v>
      </c>
      <c r="L248" s="87">
        <f t="shared" si="101"/>
        <v>-0.14893428645921136</v>
      </c>
      <c r="M248" s="86">
        <f t="shared" si="102"/>
        <v>-0.23885585867995546</v>
      </c>
      <c r="N248" s="87">
        <f t="shared" si="103"/>
        <v>0.16429658713609122</v>
      </c>
      <c r="O248" s="86">
        <f t="shared" si="104"/>
        <v>-0.52684966761389895</v>
      </c>
      <c r="P248" s="87">
        <f t="shared" si="105"/>
        <v>-0.13801874997009428</v>
      </c>
      <c r="Q248" s="86">
        <f t="shared" si="106"/>
        <v>-0.46686928756373469</v>
      </c>
      <c r="R248" s="85">
        <f t="shared" si="107"/>
        <v>-0.43673092094874483</v>
      </c>
    </row>
    <row r="249" spans="2:18">
      <c r="B249" s="83"/>
      <c r="C249" s="84">
        <v>27</v>
      </c>
      <c r="D249" s="84">
        <v>80</v>
      </c>
      <c r="E249" s="84">
        <v>1.02433333333333</v>
      </c>
      <c r="F249" s="78"/>
      <c r="G249" s="85">
        <f t="shared" si="96"/>
        <v>0.40288014828113394</v>
      </c>
      <c r="H249" s="86">
        <f t="shared" si="97"/>
        <v>0.16666666666666663</v>
      </c>
      <c r="I249" s="85">
        <f t="shared" si="98"/>
        <v>-0.41489361702127658</v>
      </c>
      <c r="J249" s="85">
        <f t="shared" si="99"/>
        <v>-3.4794075877461972E-2</v>
      </c>
      <c r="K249" s="86">
        <f t="shared" si="100"/>
        <v>-0.4468758275470131</v>
      </c>
      <c r="L249" s="87">
        <f t="shared" si="101"/>
        <v>-3.7489284830649929E-2</v>
      </c>
      <c r="M249" s="86">
        <f t="shared" si="102"/>
        <v>-0.2188623986632339</v>
      </c>
      <c r="N249" s="87">
        <f t="shared" si="103"/>
        <v>0.27574158876465266</v>
      </c>
      <c r="O249" s="86">
        <f t="shared" si="104"/>
        <v>-0.52684966761389895</v>
      </c>
      <c r="P249" s="87">
        <f t="shared" si="105"/>
        <v>-2.2935236178493808E-2</v>
      </c>
      <c r="Q249" s="86">
        <f t="shared" si="106"/>
        <v>-0.44687582754701316</v>
      </c>
      <c r="R249" s="85">
        <f t="shared" si="107"/>
        <v>-0.44036943311178389</v>
      </c>
    </row>
    <row r="250" spans="2:18">
      <c r="B250" s="83"/>
      <c r="C250" s="84">
        <v>27</v>
      </c>
      <c r="D250" s="84">
        <v>96</v>
      </c>
      <c r="E250" s="84">
        <v>1.139</v>
      </c>
      <c r="F250" s="78"/>
      <c r="G250" s="85">
        <f t="shared" si="96"/>
        <v>0.46332095552435887</v>
      </c>
      <c r="H250" s="86">
        <f t="shared" si="97"/>
        <v>0.16666666666666663</v>
      </c>
      <c r="I250" s="85">
        <f t="shared" si="98"/>
        <v>-0.39361702127659576</v>
      </c>
      <c r="J250" s="85">
        <f t="shared" si="99"/>
        <v>3.4996956786366384E-2</v>
      </c>
      <c r="K250" s="86">
        <f t="shared" si="100"/>
        <v>-0.42688236753029168</v>
      </c>
      <c r="L250" s="87">
        <f t="shared" si="101"/>
        <v>1.9313010249535953E-2</v>
      </c>
      <c r="M250" s="86">
        <f t="shared" si="102"/>
        <v>-0.19886893864651248</v>
      </c>
      <c r="N250" s="87">
        <f t="shared" si="103"/>
        <v>0.33254388384483852</v>
      </c>
      <c r="O250" s="86">
        <f t="shared" si="104"/>
        <v>-0.52684966761389895</v>
      </c>
      <c r="P250" s="87">
        <f t="shared" si="105"/>
        <v>3.7505571064731097E-2</v>
      </c>
      <c r="Q250" s="86">
        <f t="shared" si="106"/>
        <v>-0.42688236753029174</v>
      </c>
      <c r="R250" s="85">
        <f t="shared" si="107"/>
        <v>-0.4440079452748229</v>
      </c>
    </row>
    <row r="251" spans="2:18">
      <c r="B251" s="83"/>
      <c r="C251" s="84">
        <v>27</v>
      </c>
      <c r="D251" s="84">
        <v>112</v>
      </c>
      <c r="E251" s="84">
        <v>1.1539999999999999</v>
      </c>
      <c r="F251" s="78"/>
      <c r="G251" s="85">
        <f t="shared" si="96"/>
        <v>0.47122745647187342</v>
      </c>
      <c r="H251" s="86">
        <f t="shared" si="97"/>
        <v>0.16666666666666663</v>
      </c>
      <c r="I251" s="85">
        <f t="shared" si="98"/>
        <v>-0.37234042553191493</v>
      </c>
      <c r="J251" s="85">
        <f t="shared" si="99"/>
        <v>4.4126597687157543E-2</v>
      </c>
      <c r="K251" s="86">
        <f t="shared" si="100"/>
        <v>-0.40688890751357026</v>
      </c>
      <c r="L251" s="87">
        <f t="shared" si="101"/>
        <v>2.3580999034011507E-2</v>
      </c>
      <c r="M251" s="86">
        <f t="shared" si="102"/>
        <v>-0.17887547862979106</v>
      </c>
      <c r="N251" s="87">
        <f t="shared" si="103"/>
        <v>0.33681187262931411</v>
      </c>
      <c r="O251" s="86">
        <f t="shared" si="104"/>
        <v>-0.52684966761389895</v>
      </c>
      <c r="P251" s="87">
        <f t="shared" si="105"/>
        <v>4.5412072012245688E-2</v>
      </c>
      <c r="Q251" s="86">
        <f t="shared" si="106"/>
        <v>-0.40688890751357032</v>
      </c>
      <c r="R251" s="85">
        <f t="shared" si="107"/>
        <v>-0.44764645743786191</v>
      </c>
    </row>
    <row r="252" spans="2:18">
      <c r="B252" s="83"/>
      <c r="C252" s="84">
        <v>27</v>
      </c>
      <c r="D252" s="84">
        <v>128</v>
      </c>
      <c r="E252" s="84">
        <v>1.2689999999999999</v>
      </c>
      <c r="F252" s="78"/>
      <c r="G252" s="85">
        <f t="shared" si="96"/>
        <v>0.5318439637361525</v>
      </c>
      <c r="H252" s="86">
        <f t="shared" si="97"/>
        <v>0.16666666666666663</v>
      </c>
      <c r="I252" s="85">
        <f t="shared" si="98"/>
        <v>-0.35106382978723405</v>
      </c>
      <c r="J252" s="85">
        <f t="shared" si="99"/>
        <v>0.11412051125989042</v>
      </c>
      <c r="K252" s="86">
        <f t="shared" si="100"/>
        <v>-0.38689544749684879</v>
      </c>
      <c r="L252" s="87">
        <f t="shared" si="101"/>
        <v>8.0558994135251583E-2</v>
      </c>
      <c r="M252" s="86">
        <f t="shared" si="102"/>
        <v>-0.15888201861306955</v>
      </c>
      <c r="N252" s="87">
        <f t="shared" si="103"/>
        <v>0.39378986773055413</v>
      </c>
      <c r="O252" s="86">
        <f t="shared" si="104"/>
        <v>-0.52684966761389895</v>
      </c>
      <c r="P252" s="87">
        <f t="shared" si="105"/>
        <v>0.10602857927652479</v>
      </c>
      <c r="Q252" s="86">
        <f t="shared" si="106"/>
        <v>-0.38689544749684884</v>
      </c>
      <c r="R252" s="85">
        <f t="shared" si="107"/>
        <v>-0.45128496960090098</v>
      </c>
    </row>
    <row r="253" spans="2:18">
      <c r="B253" s="83"/>
      <c r="C253" s="84">
        <v>27</v>
      </c>
      <c r="D253" s="84">
        <v>144</v>
      </c>
      <c r="E253" s="84">
        <v>1.3520000000000001</v>
      </c>
      <c r="F253" s="78"/>
      <c r="G253" s="85">
        <f t="shared" si="96"/>
        <v>0.57559326897906704</v>
      </c>
      <c r="H253" s="86">
        <f t="shared" si="97"/>
        <v>0.16666666666666663</v>
      </c>
      <c r="I253" s="85">
        <f t="shared" si="98"/>
        <v>-0.32978723404255317</v>
      </c>
      <c r="J253" s="85">
        <f t="shared" si="99"/>
        <v>0.16463785757760196</v>
      </c>
      <c r="K253" s="86">
        <f t="shared" si="100"/>
        <v>-0.36690198748012731</v>
      </c>
      <c r="L253" s="87">
        <f t="shared" si="101"/>
        <v>0.120669787215127</v>
      </c>
      <c r="M253" s="86">
        <f t="shared" si="102"/>
        <v>-0.13888855859634808</v>
      </c>
      <c r="N253" s="87">
        <f t="shared" si="103"/>
        <v>0.43390066081042955</v>
      </c>
      <c r="O253" s="86">
        <f t="shared" si="104"/>
        <v>-0.52684966761389895</v>
      </c>
      <c r="P253" s="87">
        <f t="shared" si="105"/>
        <v>0.14977788451943924</v>
      </c>
      <c r="Q253" s="86">
        <f t="shared" si="106"/>
        <v>-0.36690198748012737</v>
      </c>
      <c r="R253" s="85">
        <f t="shared" si="107"/>
        <v>-0.45492348176393999</v>
      </c>
    </row>
    <row r="254" spans="2:18">
      <c r="B254" s="83"/>
      <c r="C254" s="84">
        <v>27</v>
      </c>
      <c r="D254" s="84">
        <v>160</v>
      </c>
      <c r="E254" s="84">
        <v>1.4873333333333301</v>
      </c>
      <c r="F254" s="78"/>
      <c r="G254" s="85">
        <f t="shared" ref="G254:G280" si="108">D$19*(L254-R254)</f>
        <v>0.64692747752775315</v>
      </c>
      <c r="H254" s="86">
        <f t="shared" ref="H254:H280" si="109">(C254-H$16)/H$17-0.5</f>
        <v>0.16666666666666663</v>
      </c>
      <c r="I254" s="85">
        <f t="shared" ref="I254:I280" si="110">(D254-I$16)/I$17-0.5</f>
        <v>-0.30851063829787234</v>
      </c>
      <c r="J254" s="85">
        <f t="shared" ref="J254:J280" si="111">(E254-J$16)/J$17-0.5</f>
        <v>0.24700750659362758</v>
      </c>
      <c r="K254" s="86">
        <f t="shared" ref="K254:K280" si="112">(H254*$H$13+I254*$I$13+J254*$J$13+$D$27)*$C$27</f>
        <v>-0.34690852746340584</v>
      </c>
      <c r="L254" s="87">
        <f t="shared" ref="L254:L280" si="113">(H254*$H$14+I254*$I$14+J254*$J$14+$E$27)*$C$27</f>
        <v>0.18836548360077404</v>
      </c>
      <c r="M254" s="86">
        <f t="shared" ref="M254:M280" si="114">(H$27*$H$13+I254*$I$13+J254*$J$13+$D$27)*$C$27</f>
        <v>-0.11889509857962666</v>
      </c>
      <c r="N254" s="87">
        <f t="shared" ref="N254:N280" si="115">(H$27*$H$14+I254*$I$14+J254*$J$14+$E$27)*$C$27</f>
        <v>0.50159635719607665</v>
      </c>
      <c r="O254" s="86">
        <f t="shared" ref="O254:O280" si="116">(H254*$H$13+I$27*$I$13+J254*$J$13+$D$27)*$C$27</f>
        <v>-0.52684966761389895</v>
      </c>
      <c r="P254" s="87">
        <f t="shared" ref="P254:P280" si="117">(H254*$H$14+I$27*$I$14+J254*$J$14+$E$27)*$C$27</f>
        <v>0.22111209306812535</v>
      </c>
      <c r="Q254" s="86">
        <f t="shared" ref="Q254:Q280" si="118">(H254*$H$13+I254*$I$13+J$27*$J$13+$D$27)*$C$27</f>
        <v>-0.34690852746340595</v>
      </c>
      <c r="R254" s="85">
        <f t="shared" ref="R254:R280" si="119">(H254*$H$14+I254*$I$14+J$27*$J$14+$E$27)*$C$27</f>
        <v>-0.45856199392697905</v>
      </c>
    </row>
    <row r="255" spans="2:18">
      <c r="B255" s="83"/>
      <c r="C255" s="84">
        <v>30</v>
      </c>
      <c r="D255" s="84">
        <v>16</v>
      </c>
      <c r="E255" s="84">
        <v>0.34300000000000003</v>
      </c>
      <c r="F255" s="78"/>
      <c r="G255" s="85">
        <f t="shared" si="108"/>
        <v>4.3749305242914427E-2</v>
      </c>
      <c r="H255" s="86">
        <f t="shared" si="109"/>
        <v>0.25</v>
      </c>
      <c r="I255" s="85">
        <f t="shared" si="110"/>
        <v>-0.5</v>
      </c>
      <c r="J255" s="85">
        <f t="shared" si="111"/>
        <v>-0.44948265368228846</v>
      </c>
      <c r="K255" s="86">
        <f t="shared" si="112"/>
        <v>-0.55535134622437132</v>
      </c>
      <c r="L255" s="87">
        <f t="shared" si="113"/>
        <v>-0.42121993841612615</v>
      </c>
      <c r="M255" s="86">
        <f t="shared" si="114"/>
        <v>-0.29883623873011983</v>
      </c>
      <c r="N255" s="87">
        <f t="shared" si="115"/>
        <v>-6.8835205621410711E-2</v>
      </c>
      <c r="O255" s="86">
        <f t="shared" si="116"/>
        <v>-0.55535134622437132</v>
      </c>
      <c r="P255" s="87">
        <f t="shared" si="117"/>
        <v>-0.42121993841612615</v>
      </c>
      <c r="Q255" s="86">
        <f t="shared" si="118"/>
        <v>-0.55535134622437143</v>
      </c>
      <c r="R255" s="85">
        <f t="shared" si="119"/>
        <v>-0.46496924365904058</v>
      </c>
    </row>
    <row r="256" spans="2:18">
      <c r="B256" s="83"/>
      <c r="C256" s="84">
        <v>30</v>
      </c>
      <c r="D256" s="84">
        <v>32</v>
      </c>
      <c r="E256" s="84">
        <v>0.63566666666666705</v>
      </c>
      <c r="F256" s="78"/>
      <c r="G256" s="85">
        <f t="shared" si="108"/>
        <v>0.19801392372997839</v>
      </c>
      <c r="H256" s="86">
        <f t="shared" si="109"/>
        <v>0.25</v>
      </c>
      <c r="I256" s="85">
        <f t="shared" si="110"/>
        <v>-0.47872340425531917</v>
      </c>
      <c r="J256" s="85">
        <f t="shared" si="111"/>
        <v>-0.27135321566240594</v>
      </c>
      <c r="K256" s="86">
        <f t="shared" si="112"/>
        <v>-0.5353578862076499</v>
      </c>
      <c r="L256" s="87">
        <f t="shared" si="113"/>
        <v>-0.27059383209210125</v>
      </c>
      <c r="M256" s="86">
        <f t="shared" si="114"/>
        <v>-0.27884277871339841</v>
      </c>
      <c r="N256" s="87">
        <f t="shared" si="115"/>
        <v>8.1790900702614161E-2</v>
      </c>
      <c r="O256" s="86">
        <f t="shared" si="116"/>
        <v>-0.55535134622437132</v>
      </c>
      <c r="P256" s="87">
        <f t="shared" si="117"/>
        <v>-0.26695531992906224</v>
      </c>
      <c r="Q256" s="86">
        <f t="shared" si="118"/>
        <v>-0.53535788620765001</v>
      </c>
      <c r="R256" s="85">
        <f t="shared" si="119"/>
        <v>-0.46860775582207964</v>
      </c>
    </row>
    <row r="257" spans="2:18">
      <c r="B257" s="83"/>
      <c r="C257" s="84">
        <v>30</v>
      </c>
      <c r="D257" s="84">
        <v>48</v>
      </c>
      <c r="E257" s="84">
        <v>0.76400000000000001</v>
      </c>
      <c r="F257" s="78"/>
      <c r="G257" s="85">
        <f t="shared" si="108"/>
        <v>0.26565843183649246</v>
      </c>
      <c r="H257" s="86">
        <f t="shared" si="109"/>
        <v>0.25</v>
      </c>
      <c r="I257" s="85">
        <f t="shared" si="110"/>
        <v>-0.45744680851063829</v>
      </c>
      <c r="J257" s="85">
        <f t="shared" si="111"/>
        <v>-0.19324406573341446</v>
      </c>
      <c r="K257" s="86">
        <f t="shared" si="112"/>
        <v>-0.51536442619092848</v>
      </c>
      <c r="L257" s="87">
        <f t="shared" si="113"/>
        <v>-0.20658783614862619</v>
      </c>
      <c r="M257" s="86">
        <f t="shared" si="114"/>
        <v>-0.25884931869667682</v>
      </c>
      <c r="N257" s="87">
        <f t="shared" si="115"/>
        <v>0.14579689664608922</v>
      </c>
      <c r="O257" s="86">
        <f t="shared" si="116"/>
        <v>-0.55535134622437132</v>
      </c>
      <c r="P257" s="87">
        <f t="shared" si="117"/>
        <v>-0.19931081182254812</v>
      </c>
      <c r="Q257" s="86">
        <f t="shared" si="118"/>
        <v>-0.51536442619092859</v>
      </c>
      <c r="R257" s="85">
        <f t="shared" si="119"/>
        <v>-0.47224626798511865</v>
      </c>
    </row>
    <row r="258" spans="2:18">
      <c r="B258" s="83"/>
      <c r="C258" s="84">
        <v>30</v>
      </c>
      <c r="D258" s="84">
        <v>64</v>
      </c>
      <c r="E258" s="84">
        <v>0.84233333333333305</v>
      </c>
      <c r="F258" s="78"/>
      <c r="G258" s="85">
        <f t="shared" si="108"/>
        <v>0.3069479367846244</v>
      </c>
      <c r="H258" s="86">
        <f t="shared" si="109"/>
        <v>0.25</v>
      </c>
      <c r="I258" s="85">
        <f t="shared" si="110"/>
        <v>-0.43617021276595747</v>
      </c>
      <c r="J258" s="85">
        <f t="shared" si="111"/>
        <v>-0.14556705214039378</v>
      </c>
      <c r="K258" s="86">
        <f t="shared" si="112"/>
        <v>-0.49537096617420706</v>
      </c>
      <c r="L258" s="87">
        <f t="shared" si="113"/>
        <v>-0.16893684336353329</v>
      </c>
      <c r="M258" s="86">
        <f t="shared" si="114"/>
        <v>-0.23885585867995546</v>
      </c>
      <c r="N258" s="87">
        <f t="shared" si="115"/>
        <v>0.18344788943118212</v>
      </c>
      <c r="O258" s="86">
        <f t="shared" si="116"/>
        <v>-0.55535134622437132</v>
      </c>
      <c r="P258" s="87">
        <f t="shared" si="117"/>
        <v>-0.15802130687441621</v>
      </c>
      <c r="Q258" s="86">
        <f t="shared" si="118"/>
        <v>-0.49537096617420712</v>
      </c>
      <c r="R258" s="85">
        <f t="shared" si="119"/>
        <v>-0.47588478014815772</v>
      </c>
    </row>
    <row r="259" spans="2:18">
      <c r="B259" s="83"/>
      <c r="C259" s="84">
        <v>30</v>
      </c>
      <c r="D259" s="84">
        <v>80</v>
      </c>
      <c r="E259" s="84">
        <v>1.0296666666666701</v>
      </c>
      <c r="F259" s="78"/>
      <c r="G259" s="85">
        <f t="shared" si="108"/>
        <v>0.40569134861803158</v>
      </c>
      <c r="H259" s="86">
        <f t="shared" si="109"/>
        <v>0.25</v>
      </c>
      <c r="I259" s="85">
        <f t="shared" si="110"/>
        <v>-0.41489361702127658</v>
      </c>
      <c r="J259" s="85">
        <f t="shared" si="111"/>
        <v>-3.1547981334954345E-2</v>
      </c>
      <c r="K259" s="86">
        <f t="shared" si="112"/>
        <v>-0.47537750615748553</v>
      </c>
      <c r="L259" s="87">
        <f t="shared" si="113"/>
        <v>-7.3831943693165147E-2</v>
      </c>
      <c r="M259" s="86">
        <f t="shared" si="114"/>
        <v>-0.2188623986632339</v>
      </c>
      <c r="N259" s="87">
        <f t="shared" si="115"/>
        <v>0.27855278910155029</v>
      </c>
      <c r="O259" s="86">
        <f t="shared" si="116"/>
        <v>-0.55535134622437132</v>
      </c>
      <c r="P259" s="87">
        <f t="shared" si="117"/>
        <v>-5.9277895041009027E-2</v>
      </c>
      <c r="Q259" s="86">
        <f t="shared" si="118"/>
        <v>-0.47537750615748559</v>
      </c>
      <c r="R259" s="85">
        <f t="shared" si="119"/>
        <v>-0.47952329231119672</v>
      </c>
    </row>
    <row r="260" spans="2:18">
      <c r="B260" s="83"/>
      <c r="C260" s="84">
        <v>30</v>
      </c>
      <c r="D260" s="84">
        <v>96</v>
      </c>
      <c r="E260" s="84">
        <v>1.139</v>
      </c>
      <c r="F260" s="78"/>
      <c r="G260" s="85">
        <f t="shared" si="108"/>
        <v>0.46332095552435881</v>
      </c>
      <c r="H260" s="86">
        <f t="shared" si="109"/>
        <v>0.25</v>
      </c>
      <c r="I260" s="85">
        <f t="shared" si="110"/>
        <v>-0.39361702127659576</v>
      </c>
      <c r="J260" s="85">
        <f t="shared" si="111"/>
        <v>3.4996956786366384E-2</v>
      </c>
      <c r="K260" s="86">
        <f t="shared" si="112"/>
        <v>-0.45538404614076411</v>
      </c>
      <c r="L260" s="87">
        <f t="shared" si="113"/>
        <v>-1.9840848949876894E-2</v>
      </c>
      <c r="M260" s="86">
        <f t="shared" si="114"/>
        <v>-0.19886893864651248</v>
      </c>
      <c r="N260" s="87">
        <f t="shared" si="115"/>
        <v>0.33254388384483852</v>
      </c>
      <c r="O260" s="86">
        <f t="shared" si="116"/>
        <v>-0.55535134622437132</v>
      </c>
      <c r="P260" s="87">
        <f t="shared" si="117"/>
        <v>-1.6482881346817496E-3</v>
      </c>
      <c r="Q260" s="86">
        <f t="shared" si="118"/>
        <v>-0.45538404614076416</v>
      </c>
      <c r="R260" s="85">
        <f t="shared" si="119"/>
        <v>-0.48316180447423573</v>
      </c>
    </row>
    <row r="261" spans="2:18">
      <c r="B261" s="83"/>
      <c r="C261" s="84">
        <v>30</v>
      </c>
      <c r="D261" s="84">
        <v>112</v>
      </c>
      <c r="E261" s="84">
        <v>1.248</v>
      </c>
      <c r="F261" s="78"/>
      <c r="G261" s="85">
        <f t="shared" si="108"/>
        <v>0.52077486240963211</v>
      </c>
      <c r="H261" s="86">
        <f t="shared" si="109"/>
        <v>0.25</v>
      </c>
      <c r="I261" s="85">
        <f t="shared" si="110"/>
        <v>-0.37234042553191493</v>
      </c>
      <c r="J261" s="85">
        <f t="shared" si="111"/>
        <v>0.10133901399878276</v>
      </c>
      <c r="K261" s="86">
        <f t="shared" si="112"/>
        <v>-0.43539058612404269</v>
      </c>
      <c r="L261" s="87">
        <f t="shared" si="113"/>
        <v>3.3974545772357298E-2</v>
      </c>
      <c r="M261" s="86">
        <f t="shared" si="114"/>
        <v>-0.17887547862979106</v>
      </c>
      <c r="N261" s="87">
        <f t="shared" si="115"/>
        <v>0.38635927856707275</v>
      </c>
      <c r="O261" s="86">
        <f t="shared" si="116"/>
        <v>-0.55535134622437132</v>
      </c>
      <c r="P261" s="87">
        <f t="shared" si="117"/>
        <v>5.5805618750591479E-2</v>
      </c>
      <c r="Q261" s="86">
        <f t="shared" si="118"/>
        <v>-0.43539058612404274</v>
      </c>
      <c r="R261" s="85">
        <f t="shared" si="119"/>
        <v>-0.4868003166372748</v>
      </c>
    </row>
    <row r="262" spans="2:18">
      <c r="B262" s="83"/>
      <c r="C262" s="84">
        <v>30</v>
      </c>
      <c r="D262" s="84">
        <v>128</v>
      </c>
      <c r="E262" s="84">
        <v>1.373</v>
      </c>
      <c r="F262" s="78"/>
      <c r="G262" s="85">
        <f t="shared" si="108"/>
        <v>0.58666237030558743</v>
      </c>
      <c r="H262" s="86">
        <f t="shared" si="109"/>
        <v>0.25</v>
      </c>
      <c r="I262" s="85">
        <f t="shared" si="110"/>
        <v>-0.35106382978723405</v>
      </c>
      <c r="J262" s="85">
        <f t="shared" si="111"/>
        <v>0.17741935483870963</v>
      </c>
      <c r="K262" s="86">
        <f t="shared" si="112"/>
        <v>-0.41539712610732121</v>
      </c>
      <c r="L262" s="87">
        <f t="shared" si="113"/>
        <v>9.6223541505273652E-2</v>
      </c>
      <c r="M262" s="86">
        <f t="shared" si="114"/>
        <v>-0.15888201861306955</v>
      </c>
      <c r="N262" s="87">
        <f t="shared" si="115"/>
        <v>0.44860827429998906</v>
      </c>
      <c r="O262" s="86">
        <f t="shared" si="116"/>
        <v>-0.55535134622437132</v>
      </c>
      <c r="P262" s="87">
        <f t="shared" si="117"/>
        <v>0.12169312664654686</v>
      </c>
      <c r="Q262" s="86">
        <f t="shared" si="118"/>
        <v>-0.41539712610732127</v>
      </c>
      <c r="R262" s="85">
        <f t="shared" si="119"/>
        <v>-0.49043882880031381</v>
      </c>
    </row>
    <row r="263" spans="2:18">
      <c r="B263" s="83"/>
      <c r="C263" s="84">
        <v>30</v>
      </c>
      <c r="D263" s="84">
        <v>144</v>
      </c>
      <c r="E263" s="84">
        <v>1.482</v>
      </c>
      <c r="F263" s="78"/>
      <c r="G263" s="85">
        <f t="shared" si="108"/>
        <v>0.64411627719086073</v>
      </c>
      <c r="H263" s="86">
        <f t="shared" si="109"/>
        <v>0.25</v>
      </c>
      <c r="I263" s="85">
        <f t="shared" si="110"/>
        <v>-0.32978723404255317</v>
      </c>
      <c r="J263" s="85">
        <f t="shared" si="111"/>
        <v>0.243761412051126</v>
      </c>
      <c r="K263" s="86">
        <f t="shared" si="112"/>
        <v>-0.39540366609059968</v>
      </c>
      <c r="L263" s="87">
        <f t="shared" si="113"/>
        <v>0.15003893622750786</v>
      </c>
      <c r="M263" s="86">
        <f t="shared" si="114"/>
        <v>-0.13888855859634808</v>
      </c>
      <c r="N263" s="87">
        <f t="shared" si="115"/>
        <v>0.50242366902222324</v>
      </c>
      <c r="O263" s="86">
        <f t="shared" si="116"/>
        <v>-0.55535134622437132</v>
      </c>
      <c r="P263" s="87">
        <f t="shared" si="117"/>
        <v>0.1791470335318201</v>
      </c>
      <c r="Q263" s="86">
        <f t="shared" si="118"/>
        <v>-0.39540366609059979</v>
      </c>
      <c r="R263" s="85">
        <f t="shared" si="119"/>
        <v>-0.49407734096335287</v>
      </c>
    </row>
    <row r="264" spans="2:18">
      <c r="B264" s="83"/>
      <c r="C264" s="84">
        <v>33</v>
      </c>
      <c r="D264" s="84">
        <v>16</v>
      </c>
      <c r="E264" s="84">
        <v>0.27500000000000002</v>
      </c>
      <c r="F264" s="78"/>
      <c r="G264" s="85">
        <f t="shared" si="108"/>
        <v>7.9065009475146608E-3</v>
      </c>
      <c r="H264" s="86">
        <f t="shared" si="109"/>
        <v>0.33333333333333337</v>
      </c>
      <c r="I264" s="85">
        <f t="shared" si="110"/>
        <v>-0.5</v>
      </c>
      <c r="J264" s="85">
        <f t="shared" si="111"/>
        <v>-0.49087035909920873</v>
      </c>
      <c r="K264" s="86">
        <f t="shared" si="112"/>
        <v>-0.58385302483484391</v>
      </c>
      <c r="L264" s="87">
        <f t="shared" si="113"/>
        <v>-0.49621660191093875</v>
      </c>
      <c r="M264" s="86">
        <f t="shared" si="114"/>
        <v>-0.29883623873011983</v>
      </c>
      <c r="N264" s="87">
        <f t="shared" si="115"/>
        <v>-0.10467800991681053</v>
      </c>
      <c r="O264" s="86">
        <f t="shared" si="116"/>
        <v>-0.58385302483484391</v>
      </c>
      <c r="P264" s="87">
        <f t="shared" si="117"/>
        <v>-0.49621660191093875</v>
      </c>
      <c r="Q264" s="86">
        <f t="shared" si="118"/>
        <v>-0.58385302483484391</v>
      </c>
      <c r="R264" s="85">
        <f t="shared" si="119"/>
        <v>-0.50412310285845341</v>
      </c>
    </row>
    <row r="265" spans="2:18">
      <c r="B265" s="83"/>
      <c r="C265" s="84">
        <v>33</v>
      </c>
      <c r="D265" s="84">
        <v>32</v>
      </c>
      <c r="E265" s="84">
        <v>0.66100000000000003</v>
      </c>
      <c r="F265" s="78"/>
      <c r="G265" s="85">
        <f t="shared" si="108"/>
        <v>0.21136712533022511</v>
      </c>
      <c r="H265" s="86">
        <f t="shared" si="109"/>
        <v>0.33333333333333337</v>
      </c>
      <c r="I265" s="85">
        <f t="shared" si="110"/>
        <v>-0.47872340425531917</v>
      </c>
      <c r="J265" s="85">
        <f t="shared" si="111"/>
        <v>-0.25593426658551433</v>
      </c>
      <c r="K265" s="86">
        <f t="shared" si="112"/>
        <v>-0.56385956481812238</v>
      </c>
      <c r="L265" s="87">
        <f t="shared" si="113"/>
        <v>-0.2963944896912673</v>
      </c>
      <c r="M265" s="86">
        <f t="shared" si="114"/>
        <v>-0.27884277871339841</v>
      </c>
      <c r="N265" s="87">
        <f t="shared" si="115"/>
        <v>9.5144102302860939E-2</v>
      </c>
      <c r="O265" s="86">
        <f t="shared" si="116"/>
        <v>-0.5838530248348438</v>
      </c>
      <c r="P265" s="87">
        <f t="shared" si="117"/>
        <v>-0.2927559775282283</v>
      </c>
      <c r="Q265" s="86">
        <f t="shared" si="118"/>
        <v>-0.56385956481812249</v>
      </c>
      <c r="R265" s="85">
        <f t="shared" si="119"/>
        <v>-0.50776161502149242</v>
      </c>
    </row>
    <row r="266" spans="2:18">
      <c r="B266" s="83"/>
      <c r="C266" s="84">
        <v>33</v>
      </c>
      <c r="D266" s="84">
        <v>48</v>
      </c>
      <c r="E266" s="84">
        <v>0.795333333333333</v>
      </c>
      <c r="F266" s="78"/>
      <c r="G266" s="85">
        <f t="shared" si="108"/>
        <v>0.28217423381574513</v>
      </c>
      <c r="H266" s="86">
        <f t="shared" si="109"/>
        <v>0.33333333333333337</v>
      </c>
      <c r="I266" s="85">
        <f t="shared" si="110"/>
        <v>-0.45744680851063829</v>
      </c>
      <c r="J266" s="85">
        <f t="shared" si="111"/>
        <v>-0.17417326029620633</v>
      </c>
      <c r="K266" s="86">
        <f t="shared" si="112"/>
        <v>-0.54386610480140085</v>
      </c>
      <c r="L266" s="87">
        <f t="shared" si="113"/>
        <v>-0.2292258933687864</v>
      </c>
      <c r="M266" s="86">
        <f t="shared" si="114"/>
        <v>-0.25884931869667682</v>
      </c>
      <c r="N266" s="87">
        <f t="shared" si="115"/>
        <v>0.16231269862534184</v>
      </c>
      <c r="O266" s="86">
        <f t="shared" si="116"/>
        <v>-0.5838530248348438</v>
      </c>
      <c r="P266" s="87">
        <f t="shared" si="117"/>
        <v>-0.22194886904270833</v>
      </c>
      <c r="Q266" s="86">
        <f t="shared" si="118"/>
        <v>-0.54386610480140096</v>
      </c>
      <c r="R266" s="85">
        <f t="shared" si="119"/>
        <v>-0.51140012718453154</v>
      </c>
    </row>
    <row r="267" spans="2:18">
      <c r="B267" s="83"/>
      <c r="C267" s="84">
        <v>33</v>
      </c>
      <c r="D267" s="84">
        <v>64</v>
      </c>
      <c r="E267" s="84">
        <v>0.87366666666666704</v>
      </c>
      <c r="F267" s="78"/>
      <c r="G267" s="85">
        <f t="shared" si="108"/>
        <v>0.32346373876387763</v>
      </c>
      <c r="H267" s="86">
        <f t="shared" si="109"/>
        <v>0.33333333333333337</v>
      </c>
      <c r="I267" s="85">
        <f t="shared" si="110"/>
        <v>-0.43617021276595747</v>
      </c>
      <c r="J267" s="85">
        <f t="shared" si="111"/>
        <v>-0.12649624670318499</v>
      </c>
      <c r="K267" s="86">
        <f t="shared" si="112"/>
        <v>-0.52387264478467943</v>
      </c>
      <c r="L267" s="87">
        <f t="shared" si="113"/>
        <v>-0.19157490058369292</v>
      </c>
      <c r="M267" s="86">
        <f t="shared" si="114"/>
        <v>-0.23885585867995546</v>
      </c>
      <c r="N267" s="87">
        <f t="shared" si="115"/>
        <v>0.19996369141043532</v>
      </c>
      <c r="O267" s="86">
        <f t="shared" si="116"/>
        <v>-0.5838530248348438</v>
      </c>
      <c r="P267" s="87">
        <f t="shared" si="117"/>
        <v>-0.18065936409457584</v>
      </c>
      <c r="Q267" s="86">
        <f t="shared" si="118"/>
        <v>-0.52387264478467954</v>
      </c>
      <c r="R267" s="85">
        <f t="shared" si="119"/>
        <v>-0.51503863934757055</v>
      </c>
    </row>
    <row r="268" spans="2:18">
      <c r="B268" s="83"/>
      <c r="C268" s="84">
        <v>33</v>
      </c>
      <c r="D268" s="84">
        <v>80</v>
      </c>
      <c r="E268" s="84">
        <v>1.0556666666666701</v>
      </c>
      <c r="F268" s="78"/>
      <c r="G268" s="85">
        <f t="shared" si="108"/>
        <v>0.41939595026039034</v>
      </c>
      <c r="H268" s="86">
        <f t="shared" si="109"/>
        <v>0.33333333333333337</v>
      </c>
      <c r="I268" s="85">
        <f t="shared" si="110"/>
        <v>-0.41489361702127658</v>
      </c>
      <c r="J268" s="85">
        <f t="shared" si="111"/>
        <v>-1.5723270440249515E-2</v>
      </c>
      <c r="K268" s="86">
        <f t="shared" si="112"/>
        <v>-0.5038791847679579</v>
      </c>
      <c r="L268" s="87">
        <f t="shared" si="113"/>
        <v>-9.928120125021922E-2</v>
      </c>
      <c r="M268" s="86">
        <f t="shared" si="114"/>
        <v>-0.2188623986632339</v>
      </c>
      <c r="N268" s="87">
        <f t="shared" si="115"/>
        <v>0.29225739074390905</v>
      </c>
      <c r="O268" s="86">
        <f t="shared" si="116"/>
        <v>-0.5838530248348438</v>
      </c>
      <c r="P268" s="87">
        <f t="shared" si="117"/>
        <v>-8.4727152598063099E-2</v>
      </c>
      <c r="Q268" s="86">
        <f t="shared" si="118"/>
        <v>-0.50387918476795801</v>
      </c>
      <c r="R268" s="85">
        <f t="shared" si="119"/>
        <v>-0.51867715151060956</v>
      </c>
    </row>
    <row r="269" spans="2:18">
      <c r="B269" s="83"/>
      <c r="C269" s="84">
        <v>33</v>
      </c>
      <c r="D269" s="84">
        <v>96</v>
      </c>
      <c r="E269" s="84">
        <v>1.17533333333333</v>
      </c>
      <c r="F269" s="78"/>
      <c r="G269" s="85">
        <f t="shared" si="108"/>
        <v>0.48247225781944819</v>
      </c>
      <c r="H269" s="86">
        <f t="shared" si="109"/>
        <v>0.33333333333333337</v>
      </c>
      <c r="I269" s="85">
        <f t="shared" si="110"/>
        <v>-0.39361702127659576</v>
      </c>
      <c r="J269" s="85">
        <f t="shared" si="111"/>
        <v>5.7110975857169843E-2</v>
      </c>
      <c r="K269" s="86">
        <f t="shared" si="112"/>
        <v>-0.48388572475123648</v>
      </c>
      <c r="L269" s="87">
        <f t="shared" si="113"/>
        <v>-3.9843405854200382E-2</v>
      </c>
      <c r="M269" s="86">
        <f t="shared" si="114"/>
        <v>-0.19886893864651248</v>
      </c>
      <c r="N269" s="87">
        <f t="shared" si="115"/>
        <v>0.35169518613992784</v>
      </c>
      <c r="O269" s="86">
        <f t="shared" si="116"/>
        <v>-0.5838530248348438</v>
      </c>
      <c r="P269" s="87">
        <f t="shared" si="117"/>
        <v>-2.1650845039005238E-2</v>
      </c>
      <c r="Q269" s="86">
        <f t="shared" si="118"/>
        <v>-0.48388572475123653</v>
      </c>
      <c r="R269" s="85">
        <f t="shared" si="119"/>
        <v>-0.52231566367364857</v>
      </c>
    </row>
    <row r="270" spans="2:18">
      <c r="B270" s="83"/>
      <c r="C270" s="84">
        <v>33</v>
      </c>
      <c r="D270" s="84">
        <v>112</v>
      </c>
      <c r="E270" s="84">
        <v>1.3360000000000001</v>
      </c>
      <c r="F270" s="78"/>
      <c r="G270" s="85">
        <f t="shared" si="108"/>
        <v>0.56715966796838468</v>
      </c>
      <c r="H270" s="86">
        <f t="shared" si="109"/>
        <v>0.33333333333333337</v>
      </c>
      <c r="I270" s="85">
        <f t="shared" si="110"/>
        <v>-0.37234042553191493</v>
      </c>
      <c r="J270" s="85">
        <f t="shared" si="111"/>
        <v>0.15489957395009135</v>
      </c>
      <c r="K270" s="86">
        <f t="shared" si="112"/>
        <v>-0.46389226473451506</v>
      </c>
      <c r="L270" s="87">
        <f t="shared" si="113"/>
        <v>4.1205492131697122E-2</v>
      </c>
      <c r="M270" s="86">
        <f t="shared" si="114"/>
        <v>-0.17887547862979103</v>
      </c>
      <c r="N270" s="87">
        <f t="shared" si="115"/>
        <v>0.43274408412582538</v>
      </c>
      <c r="O270" s="86">
        <f t="shared" si="116"/>
        <v>-0.5838530248348438</v>
      </c>
      <c r="P270" s="87">
        <f t="shared" si="117"/>
        <v>6.3036565109931303E-2</v>
      </c>
      <c r="Q270" s="86">
        <f t="shared" si="118"/>
        <v>-0.46389226473451511</v>
      </c>
      <c r="R270" s="85">
        <f t="shared" si="119"/>
        <v>-0.52595417583668758</v>
      </c>
    </row>
    <row r="271" spans="2:18">
      <c r="B271" s="83"/>
      <c r="C271" s="84">
        <v>33</v>
      </c>
      <c r="D271" s="84">
        <v>128</v>
      </c>
      <c r="E271" s="84">
        <v>1.4873333333333301</v>
      </c>
      <c r="F271" s="78"/>
      <c r="G271" s="85">
        <f t="shared" si="108"/>
        <v>0.64692747752775304</v>
      </c>
      <c r="H271" s="86">
        <f t="shared" si="109"/>
        <v>0.33333333333333337</v>
      </c>
      <c r="I271" s="85">
        <f t="shared" si="110"/>
        <v>-0.35106382978723405</v>
      </c>
      <c r="J271" s="85">
        <f t="shared" si="111"/>
        <v>0.24700750659362758</v>
      </c>
      <c r="K271" s="86">
        <f t="shared" si="112"/>
        <v>-0.44389880471779358</v>
      </c>
      <c r="L271" s="87">
        <f t="shared" si="113"/>
        <v>0.11733478952802645</v>
      </c>
      <c r="M271" s="86">
        <f t="shared" si="114"/>
        <v>-0.15888201861306955</v>
      </c>
      <c r="N271" s="87">
        <f t="shared" si="115"/>
        <v>0.50887338152215467</v>
      </c>
      <c r="O271" s="86">
        <f t="shared" si="116"/>
        <v>-0.5838530248348438</v>
      </c>
      <c r="P271" s="87">
        <f t="shared" si="117"/>
        <v>0.14280437466929966</v>
      </c>
      <c r="Q271" s="86">
        <f t="shared" si="118"/>
        <v>-0.44389880471779369</v>
      </c>
      <c r="R271" s="85">
        <f t="shared" si="119"/>
        <v>-0.52959268799972659</v>
      </c>
    </row>
    <row r="272" spans="2:18">
      <c r="B272" s="83"/>
      <c r="C272" s="84">
        <v>36</v>
      </c>
      <c r="D272" s="84">
        <v>16</v>
      </c>
      <c r="E272" s="84">
        <v>0.29666666666666702</v>
      </c>
      <c r="F272" s="78"/>
      <c r="G272" s="85">
        <f t="shared" si="108"/>
        <v>1.9327002316147146E-2</v>
      </c>
      <c r="H272" s="86">
        <f t="shared" si="109"/>
        <v>0.41666666666666663</v>
      </c>
      <c r="I272" s="85">
        <f t="shared" si="110"/>
        <v>-0.5</v>
      </c>
      <c r="J272" s="85">
        <f t="shared" si="111"/>
        <v>-0.47768310002028785</v>
      </c>
      <c r="K272" s="86">
        <f t="shared" si="112"/>
        <v>-0.61235470344531628</v>
      </c>
      <c r="L272" s="87">
        <f t="shared" si="113"/>
        <v>-0.5239499597417191</v>
      </c>
      <c r="M272" s="86">
        <f t="shared" si="114"/>
        <v>-0.29883623873011983</v>
      </c>
      <c r="N272" s="87">
        <f t="shared" si="115"/>
        <v>-9.3257508548178047E-2</v>
      </c>
      <c r="O272" s="86">
        <f t="shared" si="116"/>
        <v>-0.61235470344531628</v>
      </c>
      <c r="P272" s="87">
        <f t="shared" si="117"/>
        <v>-0.5239499597417191</v>
      </c>
      <c r="Q272" s="86">
        <f t="shared" si="118"/>
        <v>-0.61235470344531628</v>
      </c>
      <c r="R272" s="85">
        <f t="shared" si="119"/>
        <v>-0.54327696205786624</v>
      </c>
    </row>
    <row r="273" spans="2:18">
      <c r="B273" s="83"/>
      <c r="C273" s="84">
        <v>36</v>
      </c>
      <c r="D273" s="84">
        <v>32</v>
      </c>
      <c r="E273" s="84">
        <v>0.68633333333333302</v>
      </c>
      <c r="F273" s="78"/>
      <c r="G273" s="85">
        <f t="shared" si="108"/>
        <v>0.22472032693047195</v>
      </c>
      <c r="H273" s="86">
        <f t="shared" si="109"/>
        <v>0.41666666666666663</v>
      </c>
      <c r="I273" s="85">
        <f t="shared" si="110"/>
        <v>-0.47872340425531917</v>
      </c>
      <c r="J273" s="85">
        <f t="shared" si="111"/>
        <v>-0.24051531750862265</v>
      </c>
      <c r="K273" s="86">
        <f t="shared" si="112"/>
        <v>-0.59236124342859475</v>
      </c>
      <c r="L273" s="87">
        <f t="shared" si="113"/>
        <v>-0.3221951472904333</v>
      </c>
      <c r="M273" s="86">
        <f t="shared" si="114"/>
        <v>-0.27884277871339841</v>
      </c>
      <c r="N273" s="87">
        <f t="shared" si="115"/>
        <v>0.10849730390310774</v>
      </c>
      <c r="O273" s="86">
        <f t="shared" si="116"/>
        <v>-0.61235470344531617</v>
      </c>
      <c r="P273" s="87">
        <f t="shared" si="117"/>
        <v>-0.31855663512739429</v>
      </c>
      <c r="Q273" s="86">
        <f t="shared" si="118"/>
        <v>-0.59236124342859486</v>
      </c>
      <c r="R273" s="85">
        <f t="shared" si="119"/>
        <v>-0.54691547422090525</v>
      </c>
    </row>
    <row r="274" spans="2:18">
      <c r="B274" s="83"/>
      <c r="C274" s="84">
        <v>36</v>
      </c>
      <c r="D274" s="84">
        <v>48</v>
      </c>
      <c r="E274" s="84">
        <v>0.81100000000000005</v>
      </c>
      <c r="F274" s="78"/>
      <c r="G274" s="85">
        <f t="shared" si="108"/>
        <v>0.29043213480537172</v>
      </c>
      <c r="H274" s="86">
        <f t="shared" si="109"/>
        <v>0.41666666666666663</v>
      </c>
      <c r="I274" s="85">
        <f t="shared" si="110"/>
        <v>-0.45744680851063829</v>
      </c>
      <c r="J274" s="85">
        <f t="shared" si="111"/>
        <v>-0.16463785757760191</v>
      </c>
      <c r="K274" s="86">
        <f t="shared" si="112"/>
        <v>-0.57236778341187322</v>
      </c>
      <c r="L274" s="87">
        <f t="shared" si="113"/>
        <v>-0.26012185157857254</v>
      </c>
      <c r="M274" s="86">
        <f t="shared" si="114"/>
        <v>-0.25884931869667682</v>
      </c>
      <c r="N274" s="87">
        <f t="shared" si="115"/>
        <v>0.17057059961496848</v>
      </c>
      <c r="O274" s="86">
        <f t="shared" si="116"/>
        <v>-0.61235470344531617</v>
      </c>
      <c r="P274" s="87">
        <f t="shared" si="117"/>
        <v>-0.25284482725249446</v>
      </c>
      <c r="Q274" s="86">
        <f t="shared" si="118"/>
        <v>-0.57236778341187333</v>
      </c>
      <c r="R274" s="85">
        <f t="shared" si="119"/>
        <v>-0.55055398638394426</v>
      </c>
    </row>
    <row r="275" spans="2:18">
      <c r="B275" s="83"/>
      <c r="C275" s="84">
        <v>36</v>
      </c>
      <c r="D275" s="84">
        <v>64</v>
      </c>
      <c r="E275" s="84">
        <v>0.91566666666666696</v>
      </c>
      <c r="F275" s="78"/>
      <c r="G275" s="85">
        <f t="shared" si="108"/>
        <v>0.34560194141691852</v>
      </c>
      <c r="H275" s="86">
        <f t="shared" si="109"/>
        <v>0.41666666666666663</v>
      </c>
      <c r="I275" s="85">
        <f t="shared" si="110"/>
        <v>-0.43617021276595747</v>
      </c>
      <c r="J275" s="85">
        <f t="shared" si="111"/>
        <v>-0.1009332521809696</v>
      </c>
      <c r="K275" s="86">
        <f t="shared" si="112"/>
        <v>-0.5523743233951518</v>
      </c>
      <c r="L275" s="87">
        <f t="shared" si="113"/>
        <v>-0.20859055713006475</v>
      </c>
      <c r="M275" s="86">
        <f t="shared" si="114"/>
        <v>-0.23885585867995543</v>
      </c>
      <c r="N275" s="87">
        <f t="shared" si="115"/>
        <v>0.2221018940634763</v>
      </c>
      <c r="O275" s="86">
        <f t="shared" si="116"/>
        <v>-0.61235470344531617</v>
      </c>
      <c r="P275" s="87">
        <f t="shared" si="117"/>
        <v>-0.19767502064094766</v>
      </c>
      <c r="Q275" s="86">
        <f t="shared" si="118"/>
        <v>-0.55237432339515191</v>
      </c>
      <c r="R275" s="85">
        <f t="shared" si="119"/>
        <v>-0.55419249854698327</v>
      </c>
    </row>
    <row r="276" spans="2:18">
      <c r="B276" s="83"/>
      <c r="C276" s="84">
        <v>36</v>
      </c>
      <c r="D276" s="84">
        <v>80</v>
      </c>
      <c r="E276" s="84">
        <v>1.1176666666666699</v>
      </c>
      <c r="F276" s="78"/>
      <c r="G276" s="85">
        <f t="shared" si="108"/>
        <v>0.45207615417678421</v>
      </c>
      <c r="H276" s="86">
        <f t="shared" si="109"/>
        <v>0.41666666666666663</v>
      </c>
      <c r="I276" s="85">
        <f t="shared" si="110"/>
        <v>-0.41489361702127658</v>
      </c>
      <c r="J276" s="85">
        <f t="shared" si="111"/>
        <v>2.2012578616354195E-2</v>
      </c>
      <c r="K276" s="86">
        <f t="shared" si="112"/>
        <v>-0.53238086337843027</v>
      </c>
      <c r="L276" s="87">
        <f t="shared" si="113"/>
        <v>-0.10575485653323817</v>
      </c>
      <c r="M276" s="86">
        <f t="shared" si="114"/>
        <v>-0.2188623986632339</v>
      </c>
      <c r="N276" s="87">
        <f t="shared" si="115"/>
        <v>0.32493759466030292</v>
      </c>
      <c r="O276" s="86">
        <f t="shared" si="116"/>
        <v>-0.61235470344531617</v>
      </c>
      <c r="P276" s="87">
        <f t="shared" si="117"/>
        <v>-9.1200807881082049E-2</v>
      </c>
      <c r="Q276" s="86">
        <f t="shared" si="118"/>
        <v>-0.53238086337843038</v>
      </c>
      <c r="R276" s="85">
        <f t="shared" si="119"/>
        <v>-0.55783101071002239</v>
      </c>
    </row>
    <row r="277" spans="2:18">
      <c r="B277" s="83"/>
      <c r="C277" s="84">
        <v>36</v>
      </c>
      <c r="D277" s="84">
        <v>96</v>
      </c>
      <c r="E277" s="84">
        <v>1.2533333333333301</v>
      </c>
      <c r="F277" s="78"/>
      <c r="G277" s="85">
        <f t="shared" si="108"/>
        <v>0.52358606274652442</v>
      </c>
      <c r="H277" s="86">
        <f t="shared" si="109"/>
        <v>0.41666666666666663</v>
      </c>
      <c r="I277" s="85">
        <f t="shared" si="110"/>
        <v>-0.39361702127659576</v>
      </c>
      <c r="J277" s="85">
        <f t="shared" si="111"/>
        <v>0.10458510854128422</v>
      </c>
      <c r="K277" s="86">
        <f t="shared" si="112"/>
        <v>-0.51238740336170885</v>
      </c>
      <c r="L277" s="87">
        <f t="shared" si="113"/>
        <v>-3.7883460126537025E-2</v>
      </c>
      <c r="M277" s="86">
        <f t="shared" si="114"/>
        <v>-0.19886893864651248</v>
      </c>
      <c r="N277" s="87">
        <f t="shared" si="115"/>
        <v>0.39280899106700401</v>
      </c>
      <c r="O277" s="86">
        <f t="shared" si="116"/>
        <v>-0.61235470344531617</v>
      </c>
      <c r="P277" s="87">
        <f t="shared" si="117"/>
        <v>-1.9690899311341867E-2</v>
      </c>
      <c r="Q277" s="86">
        <f t="shared" si="118"/>
        <v>-0.51238740336170896</v>
      </c>
      <c r="R277" s="85">
        <f t="shared" si="119"/>
        <v>-0.5614695228730614</v>
      </c>
    </row>
    <row r="278" spans="2:18">
      <c r="B278" s="83"/>
      <c r="C278" s="84">
        <v>36</v>
      </c>
      <c r="D278" s="84">
        <v>112</v>
      </c>
      <c r="E278" s="84">
        <v>1.4350000000000001</v>
      </c>
      <c r="F278" s="78"/>
      <c r="G278" s="85">
        <f t="shared" si="108"/>
        <v>0.61934257422198147</v>
      </c>
      <c r="H278" s="86">
        <f t="shared" si="109"/>
        <v>0.41666666666666663</v>
      </c>
      <c r="I278" s="85">
        <f t="shared" si="110"/>
        <v>-0.37234042553191493</v>
      </c>
      <c r="J278" s="85">
        <f t="shared" si="111"/>
        <v>0.21515520389531351</v>
      </c>
      <c r="K278" s="86">
        <f t="shared" si="112"/>
        <v>-0.49239394334498743</v>
      </c>
      <c r="L278" s="87">
        <f t="shared" si="113"/>
        <v>5.4234539185881059E-2</v>
      </c>
      <c r="M278" s="86">
        <f t="shared" si="114"/>
        <v>-0.17887547862979103</v>
      </c>
      <c r="N278" s="87">
        <f t="shared" si="115"/>
        <v>0.48492699037942211</v>
      </c>
      <c r="O278" s="86">
        <f t="shared" si="116"/>
        <v>-0.61235470344531617</v>
      </c>
      <c r="P278" s="87">
        <f t="shared" si="117"/>
        <v>7.6065612164115226E-2</v>
      </c>
      <c r="Q278" s="86">
        <f t="shared" si="118"/>
        <v>-0.49239394334498748</v>
      </c>
      <c r="R278" s="85">
        <f t="shared" si="119"/>
        <v>-0.56510803503610041</v>
      </c>
    </row>
    <row r="279" spans="2:18">
      <c r="B279" s="83"/>
      <c r="C279" s="84">
        <v>36</v>
      </c>
      <c r="D279" s="84">
        <v>128</v>
      </c>
      <c r="E279" s="84">
        <v>1.62266666666667</v>
      </c>
      <c r="F279" s="78"/>
      <c r="G279" s="85">
        <f t="shared" si="108"/>
        <v>0.71826168607644436</v>
      </c>
      <c r="H279" s="86">
        <f t="shared" si="109"/>
        <v>0.41666666666666663</v>
      </c>
      <c r="I279" s="85">
        <f t="shared" si="110"/>
        <v>-0.35106382978723405</v>
      </c>
      <c r="J279" s="85">
        <f t="shared" si="111"/>
        <v>0.32937715560965919</v>
      </c>
      <c r="K279" s="86">
        <f t="shared" si="112"/>
        <v>-0.47240048332826595</v>
      </c>
      <c r="L279" s="87">
        <f t="shared" si="113"/>
        <v>0.14951513887730492</v>
      </c>
      <c r="M279" s="86">
        <f t="shared" si="114"/>
        <v>-0.15888201861306955</v>
      </c>
      <c r="N279" s="87">
        <f t="shared" si="115"/>
        <v>0.58020759007084588</v>
      </c>
      <c r="O279" s="86">
        <f t="shared" si="116"/>
        <v>-0.61235470344531617</v>
      </c>
      <c r="P279" s="87">
        <f t="shared" si="117"/>
        <v>0.17498472401857812</v>
      </c>
      <c r="Q279" s="86">
        <f t="shared" si="118"/>
        <v>-0.47240048332826606</v>
      </c>
      <c r="R279" s="85">
        <f t="shared" si="119"/>
        <v>-0.56874654719913942</v>
      </c>
    </row>
    <row r="280" spans="2:18">
      <c r="B280" s="83"/>
      <c r="C280" s="84">
        <v>39</v>
      </c>
      <c r="D280" s="84">
        <v>16</v>
      </c>
      <c r="E280" s="84">
        <v>0.31733333333333302</v>
      </c>
      <c r="F280" s="78"/>
      <c r="G280" s="85">
        <f t="shared" si="108"/>
        <v>3.022040362161138E-2</v>
      </c>
      <c r="H280" s="86">
        <f t="shared" si="109"/>
        <v>0.5</v>
      </c>
      <c r="I280" s="85">
        <f t="shared" si="110"/>
        <v>-0.5</v>
      </c>
      <c r="J280" s="85">
        <f t="shared" si="111"/>
        <v>-0.46510448366808704</v>
      </c>
      <c r="K280" s="86">
        <f t="shared" si="112"/>
        <v>-0.64085638205578865</v>
      </c>
      <c r="L280" s="87">
        <f t="shared" si="113"/>
        <v>-0.55221041763566769</v>
      </c>
      <c r="M280" s="86">
        <f t="shared" si="114"/>
        <v>-0.29883623873011983</v>
      </c>
      <c r="N280" s="87">
        <f t="shared" si="115"/>
        <v>-8.2364107242713813E-2</v>
      </c>
      <c r="O280" s="86">
        <f t="shared" si="116"/>
        <v>-0.64085638205578865</v>
      </c>
      <c r="P280" s="87">
        <f t="shared" si="117"/>
        <v>-0.55221041763566769</v>
      </c>
      <c r="Q280" s="86">
        <f t="shared" si="118"/>
        <v>-0.64085638205578865</v>
      </c>
      <c r="R280" s="85">
        <f t="shared" si="119"/>
        <v>-0.58243082125727907</v>
      </c>
    </row>
    <row r="281" spans="2:18">
      <c r="B281" s="83"/>
      <c r="C281" s="84">
        <v>39</v>
      </c>
      <c r="D281" s="84">
        <v>32</v>
      </c>
      <c r="E281" s="84">
        <v>0.69666666666666699</v>
      </c>
      <c r="F281" s="78"/>
      <c r="G281" s="85">
        <f t="shared" ref="G281:G312" si="120">D$19*(L281-R281)</f>
        <v>0.23016702758320459</v>
      </c>
      <c r="H281" s="86">
        <f t="shared" ref="H281:H312" si="121">(C281-H$16)/H$17-0.5</f>
        <v>-0.30952380952380953</v>
      </c>
      <c r="I281" s="85">
        <f t="shared" ref="I281:I312" si="122">(D281-I$16)/I$17-0.5</f>
        <v>-0.47872340425531917</v>
      </c>
      <c r="J281" s="85">
        <f t="shared" ref="J281:J312" si="123">(E281-J$16)/J$17-0.5</f>
        <v>-0.23422600933252163</v>
      </c>
      <c r="K281" s="86">
        <f t="shared" ref="K281:K312" si="124">(H281*$H$13+I281*$I$13+J281*$J$13+$D$27)*$C$27</f>
        <v>-0.34398947268019242</v>
      </c>
      <c r="L281" s="87">
        <f t="shared" ref="L281:L312" si="125">(H281*$H$14+I281*$I$14+J281*$J$14+$E$27)*$C$27</f>
        <v>2.4449469242896787E-2</v>
      </c>
      <c r="M281" s="86">
        <f t="shared" ref="M281:M312" si="126">(H$27*$H$13+I281*$I$13+J281*$J$13+$D$27)*$C$27</f>
        <v>-0.27884277871339841</v>
      </c>
      <c r="N281" s="87">
        <f t="shared" ref="N281:N312" si="127">(H$27*$H$14+I281*$I$14+J281*$J$14+$E$27)*$C$27</f>
        <v>0.11394400455584039</v>
      </c>
      <c r="O281" s="86">
        <f t="shared" ref="O281:O312" si="128">(H281*$H$13+I$27*$I$13+J281*$J$13+$D$27)*$C$27</f>
        <v>-0.36398293269691384</v>
      </c>
      <c r="P281" s="87">
        <f t="shared" ref="P281:P312" si="129">(H281*$H$14+I$27*$I$14+J281*$J$14+$E$27)*$C$27</f>
        <v>2.8087981405935797E-2</v>
      </c>
      <c r="Q281" s="86">
        <f t="shared" ref="Q281:Q312" si="130">(H281*$H$13+I281*$I$13+J$27*$J$13+$D$27)*$C$27</f>
        <v>-0.34398947268019242</v>
      </c>
      <c r="R281" s="85">
        <f t="shared" ref="R281:R312" si="131">(H281*$H$14+I281*$I$14+J$27*$J$14+$E$27)*$C$27</f>
        <v>-0.2057175583403078</v>
      </c>
    </row>
    <row r="282" spans="2:18">
      <c r="B282" s="83"/>
      <c r="C282" s="84">
        <v>39</v>
      </c>
      <c r="D282" s="84">
        <v>48</v>
      </c>
      <c r="E282" s="84">
        <v>0.84233333333333305</v>
      </c>
      <c r="F282" s="78"/>
      <c r="G282" s="85">
        <f t="shared" si="120"/>
        <v>0.3069479367846244</v>
      </c>
      <c r="H282" s="86">
        <f t="shared" si="121"/>
        <v>-0.30952380952380953</v>
      </c>
      <c r="I282" s="85">
        <f t="shared" si="122"/>
        <v>-0.45744680851063829</v>
      </c>
      <c r="J282" s="85">
        <f t="shared" si="123"/>
        <v>-0.14556705214039378</v>
      </c>
      <c r="K282" s="86">
        <f t="shared" si="124"/>
        <v>-0.32399601266347089</v>
      </c>
      <c r="L282" s="87">
        <f t="shared" si="125"/>
        <v>9.7591866281277528E-2</v>
      </c>
      <c r="M282" s="86">
        <f t="shared" si="126"/>
        <v>-0.25884931869667682</v>
      </c>
      <c r="N282" s="87">
        <f t="shared" si="127"/>
        <v>0.18708640159422113</v>
      </c>
      <c r="O282" s="86">
        <f t="shared" si="128"/>
        <v>-0.36398293269691379</v>
      </c>
      <c r="P282" s="87">
        <f t="shared" si="129"/>
        <v>0.1048688906073556</v>
      </c>
      <c r="Q282" s="86">
        <f t="shared" si="130"/>
        <v>-0.32399601266347094</v>
      </c>
      <c r="R282" s="85">
        <f t="shared" si="131"/>
        <v>-0.20935607050334687</v>
      </c>
    </row>
    <row r="283" spans="2:18">
      <c r="B283" s="83"/>
      <c r="C283" s="84">
        <v>39</v>
      </c>
      <c r="D283" s="84">
        <v>64</v>
      </c>
      <c r="E283" s="84">
        <v>0.95166666666666699</v>
      </c>
      <c r="F283" s="78"/>
      <c r="G283" s="85">
        <f t="shared" si="120"/>
        <v>0.36457754369095374</v>
      </c>
      <c r="H283" s="86">
        <f t="shared" si="121"/>
        <v>-0.30952380952380953</v>
      </c>
      <c r="I283" s="85">
        <f t="shared" si="122"/>
        <v>-0.43617021276595747</v>
      </c>
      <c r="J283" s="85">
        <f t="shared" si="123"/>
        <v>-7.9022114019070611E-2</v>
      </c>
      <c r="K283" s="86">
        <f t="shared" si="124"/>
        <v>-0.30400255264674947</v>
      </c>
      <c r="L283" s="87">
        <f t="shared" si="125"/>
        <v>0.15158296102456789</v>
      </c>
      <c r="M283" s="86">
        <f t="shared" si="126"/>
        <v>-0.23885585867995543</v>
      </c>
      <c r="N283" s="87">
        <f t="shared" si="127"/>
        <v>0.24107749633751149</v>
      </c>
      <c r="O283" s="86">
        <f t="shared" si="128"/>
        <v>-0.36398293269691379</v>
      </c>
      <c r="P283" s="87">
        <f t="shared" si="129"/>
        <v>0.16249849751368498</v>
      </c>
      <c r="Q283" s="86">
        <f t="shared" si="130"/>
        <v>-0.30400255264674952</v>
      </c>
      <c r="R283" s="85">
        <f t="shared" si="131"/>
        <v>-0.21299458266638588</v>
      </c>
    </row>
    <row r="284" spans="2:18">
      <c r="B284" s="83"/>
      <c r="C284" s="84">
        <v>39</v>
      </c>
      <c r="D284" s="84">
        <v>80</v>
      </c>
      <c r="E284" s="84">
        <v>1.1803333333333299</v>
      </c>
      <c r="F284" s="78"/>
      <c r="G284" s="85">
        <f t="shared" si="120"/>
        <v>0.48510775813528628</v>
      </c>
      <c r="H284" s="86">
        <f t="shared" si="121"/>
        <v>-0.30952380952380953</v>
      </c>
      <c r="I284" s="85">
        <f t="shared" si="122"/>
        <v>-0.41489361702127658</v>
      </c>
      <c r="J284" s="85">
        <f t="shared" si="123"/>
        <v>6.0154189490766785E-2</v>
      </c>
      <c r="K284" s="86">
        <f t="shared" si="124"/>
        <v>-0.28400909263002794</v>
      </c>
      <c r="L284" s="87">
        <f t="shared" si="125"/>
        <v>0.26847466330586139</v>
      </c>
      <c r="M284" s="86">
        <f t="shared" si="126"/>
        <v>-0.2188623986632339</v>
      </c>
      <c r="N284" s="87">
        <f t="shared" si="127"/>
        <v>0.357969198618805</v>
      </c>
      <c r="O284" s="86">
        <f t="shared" si="128"/>
        <v>-0.36398293269691379</v>
      </c>
      <c r="P284" s="87">
        <f t="shared" si="129"/>
        <v>0.28302871195801749</v>
      </c>
      <c r="Q284" s="86">
        <f t="shared" si="130"/>
        <v>-0.28400909263002799</v>
      </c>
      <c r="R284" s="85">
        <f t="shared" si="131"/>
        <v>-0.21663309482942492</v>
      </c>
    </row>
    <row r="285" spans="2:18">
      <c r="B285" s="83"/>
      <c r="C285" s="84">
        <v>39</v>
      </c>
      <c r="D285" s="84">
        <v>96</v>
      </c>
      <c r="E285" s="84">
        <v>1.33633333333333</v>
      </c>
      <c r="F285" s="78"/>
      <c r="G285" s="85">
        <f t="shared" si="120"/>
        <v>0.56733536798943884</v>
      </c>
      <c r="H285" s="86">
        <f t="shared" si="121"/>
        <v>-0.30952380952380953</v>
      </c>
      <c r="I285" s="85">
        <f t="shared" si="122"/>
        <v>-0.39361702127659576</v>
      </c>
      <c r="J285" s="85">
        <f t="shared" si="123"/>
        <v>0.15510245485899576</v>
      </c>
      <c r="K285" s="86">
        <f t="shared" si="124"/>
        <v>-0.26401563261330652</v>
      </c>
      <c r="L285" s="87">
        <f t="shared" si="125"/>
        <v>0.34706376099697489</v>
      </c>
      <c r="M285" s="86">
        <f t="shared" si="126"/>
        <v>-0.19886893864651245</v>
      </c>
      <c r="N285" s="87">
        <f t="shared" si="127"/>
        <v>0.43655829630991849</v>
      </c>
      <c r="O285" s="86">
        <f t="shared" si="128"/>
        <v>-0.36398293269691379</v>
      </c>
      <c r="P285" s="87">
        <f t="shared" si="129"/>
        <v>0.36525632181217005</v>
      </c>
      <c r="Q285" s="86">
        <f t="shared" si="130"/>
        <v>-0.26401563261330657</v>
      </c>
      <c r="R285" s="85">
        <f t="shared" si="131"/>
        <v>-0.22027160699246395</v>
      </c>
    </row>
    <row r="286" spans="2:18">
      <c r="B286" s="83"/>
      <c r="C286" s="84">
        <v>39</v>
      </c>
      <c r="D286" s="84">
        <v>112</v>
      </c>
      <c r="E286" s="84">
        <v>1.5393333333333299</v>
      </c>
      <c r="F286" s="78"/>
      <c r="G286" s="85">
        <f t="shared" si="120"/>
        <v>0.67433668081247045</v>
      </c>
      <c r="H286" s="86">
        <f t="shared" si="121"/>
        <v>-0.30952380952380953</v>
      </c>
      <c r="I286" s="85">
        <f t="shared" si="122"/>
        <v>-0.37234042553191493</v>
      </c>
      <c r="J286" s="85">
        <f t="shared" si="123"/>
        <v>0.27865692838303702</v>
      </c>
      <c r="K286" s="86">
        <f t="shared" si="124"/>
        <v>-0.24402217259658507</v>
      </c>
      <c r="L286" s="87">
        <f t="shared" si="125"/>
        <v>0.45042656165696748</v>
      </c>
      <c r="M286" s="86">
        <f t="shared" si="126"/>
        <v>-0.17887547862979103</v>
      </c>
      <c r="N286" s="87">
        <f t="shared" si="127"/>
        <v>0.53992109696991109</v>
      </c>
      <c r="O286" s="86">
        <f t="shared" si="128"/>
        <v>-0.36398293269691373</v>
      </c>
      <c r="P286" s="87">
        <f t="shared" si="129"/>
        <v>0.47225763463520165</v>
      </c>
      <c r="Q286" s="86">
        <f t="shared" si="130"/>
        <v>-0.24402217259658515</v>
      </c>
      <c r="R286" s="85">
        <f t="shared" si="131"/>
        <v>-0.22391011915550296</v>
      </c>
    </row>
    <row r="287" spans="2:18">
      <c r="B287" s="83"/>
      <c r="C287" s="84">
        <v>42</v>
      </c>
      <c r="D287" s="84">
        <v>16</v>
      </c>
      <c r="E287" s="84">
        <v>0.348333333333333</v>
      </c>
      <c r="F287" s="78"/>
      <c r="G287" s="85">
        <f t="shared" si="120"/>
        <v>4.6560505579808342E-2</v>
      </c>
      <c r="H287" s="86">
        <f t="shared" si="121"/>
        <v>-0.29365079365079366</v>
      </c>
      <c r="I287" s="85">
        <f t="shared" si="122"/>
        <v>-0.5</v>
      </c>
      <c r="J287" s="85">
        <f t="shared" si="123"/>
        <v>-0.44623655913978516</v>
      </c>
      <c r="K287" s="86">
        <f t="shared" si="124"/>
        <v>-0.36941182386081334</v>
      </c>
      <c r="L287" s="87">
        <f t="shared" si="125"/>
        <v>-0.16297641854020575</v>
      </c>
      <c r="M287" s="86">
        <f t="shared" si="126"/>
        <v>-0.29883623873011983</v>
      </c>
      <c r="N287" s="87">
        <f t="shared" si="127"/>
        <v>-6.6024005284516851E-2</v>
      </c>
      <c r="O287" s="86">
        <f t="shared" si="128"/>
        <v>-0.36941182386081334</v>
      </c>
      <c r="P287" s="87">
        <f t="shared" si="129"/>
        <v>-0.16297641854020575</v>
      </c>
      <c r="Q287" s="86">
        <f t="shared" si="130"/>
        <v>-0.36941182386081334</v>
      </c>
      <c r="R287" s="85">
        <f t="shared" si="131"/>
        <v>-0.2095369241200141</v>
      </c>
    </row>
    <row r="288" spans="2:18">
      <c r="B288" s="83"/>
      <c r="C288" s="84">
        <v>42</v>
      </c>
      <c r="D288" s="84">
        <v>32</v>
      </c>
      <c r="E288" s="84">
        <v>0.70199999999999996</v>
      </c>
      <c r="F288" s="78"/>
      <c r="G288" s="85">
        <f t="shared" si="120"/>
        <v>0.23297822792009854</v>
      </c>
      <c r="H288" s="86">
        <f t="shared" si="121"/>
        <v>-0.29365079365079366</v>
      </c>
      <c r="I288" s="85">
        <f t="shared" si="122"/>
        <v>-0.47872340425531917</v>
      </c>
      <c r="J288" s="85">
        <f t="shared" si="123"/>
        <v>-0.23097991479001828</v>
      </c>
      <c r="K288" s="86">
        <f t="shared" si="124"/>
        <v>-0.34941836384409192</v>
      </c>
      <c r="L288" s="87">
        <f t="shared" si="125"/>
        <v>1.9802791637045403E-2</v>
      </c>
      <c r="M288" s="86">
        <f t="shared" si="126"/>
        <v>-0.27884277871339841</v>
      </c>
      <c r="N288" s="87">
        <f t="shared" si="127"/>
        <v>0.11675520489273433</v>
      </c>
      <c r="O288" s="86">
        <f t="shared" si="128"/>
        <v>-0.36941182386081334</v>
      </c>
      <c r="P288" s="87">
        <f t="shared" si="129"/>
        <v>2.344130380008444E-2</v>
      </c>
      <c r="Q288" s="86">
        <f t="shared" si="130"/>
        <v>-0.34941836384409192</v>
      </c>
      <c r="R288" s="85">
        <f t="shared" si="131"/>
        <v>-0.21317543628305313</v>
      </c>
    </row>
    <row r="289" spans="2:18">
      <c r="B289" s="83"/>
      <c r="C289" s="84">
        <v>42</v>
      </c>
      <c r="D289" s="84">
        <v>48</v>
      </c>
      <c r="E289" s="84">
        <v>0.85799999999999998</v>
      </c>
      <c r="F289" s="78"/>
      <c r="G289" s="85">
        <f t="shared" si="120"/>
        <v>0.31520583777425099</v>
      </c>
      <c r="H289" s="86">
        <f t="shared" si="121"/>
        <v>-0.29365079365079366</v>
      </c>
      <c r="I289" s="85">
        <f t="shared" si="122"/>
        <v>-0.45744680851063829</v>
      </c>
      <c r="J289" s="85">
        <f t="shared" si="123"/>
        <v>-0.13603164942178941</v>
      </c>
      <c r="K289" s="86">
        <f t="shared" si="124"/>
        <v>-0.32942490382737044</v>
      </c>
      <c r="L289" s="87">
        <f t="shared" si="125"/>
        <v>9.839188932815883E-2</v>
      </c>
      <c r="M289" s="86">
        <f t="shared" si="126"/>
        <v>-0.25884931869667682</v>
      </c>
      <c r="N289" s="87">
        <f t="shared" si="127"/>
        <v>0.19534430258384772</v>
      </c>
      <c r="O289" s="86">
        <f t="shared" si="128"/>
        <v>-0.36941182386081328</v>
      </c>
      <c r="P289" s="87">
        <f t="shared" si="129"/>
        <v>0.10566891365423688</v>
      </c>
      <c r="Q289" s="86">
        <f t="shared" si="130"/>
        <v>-0.3294249038273705</v>
      </c>
      <c r="R289" s="85">
        <f t="shared" si="131"/>
        <v>-0.21681394844609214</v>
      </c>
    </row>
    <row r="290" spans="2:18">
      <c r="B290" s="83"/>
      <c r="C290" s="84">
        <v>42</v>
      </c>
      <c r="D290" s="84">
        <v>64</v>
      </c>
      <c r="E290" s="84">
        <v>0.99833333333333296</v>
      </c>
      <c r="F290" s="78"/>
      <c r="G290" s="85">
        <f t="shared" si="120"/>
        <v>0.38917554663877674</v>
      </c>
      <c r="H290" s="86">
        <f t="shared" si="121"/>
        <v>-0.29365079365079366</v>
      </c>
      <c r="I290" s="85">
        <f t="shared" si="122"/>
        <v>-0.43617021276595747</v>
      </c>
      <c r="J290" s="85">
        <f t="shared" si="123"/>
        <v>-5.061878677216497E-2</v>
      </c>
      <c r="K290" s="86">
        <f t="shared" si="124"/>
        <v>-0.30943144381064902</v>
      </c>
      <c r="L290" s="87">
        <f t="shared" si="125"/>
        <v>0.16872308602964559</v>
      </c>
      <c r="M290" s="86">
        <f t="shared" si="126"/>
        <v>-0.23885585867995543</v>
      </c>
      <c r="N290" s="87">
        <f t="shared" si="127"/>
        <v>0.26567549928533452</v>
      </c>
      <c r="O290" s="86">
        <f t="shared" si="128"/>
        <v>-0.36941182386081328</v>
      </c>
      <c r="P290" s="87">
        <f t="shared" si="129"/>
        <v>0.17963862251876267</v>
      </c>
      <c r="Q290" s="86">
        <f t="shared" si="130"/>
        <v>-0.30943144381064908</v>
      </c>
      <c r="R290" s="85">
        <f t="shared" si="131"/>
        <v>-0.22045246060913118</v>
      </c>
    </row>
    <row r="291" spans="2:18">
      <c r="B291" s="83"/>
      <c r="C291" s="84">
        <v>42</v>
      </c>
      <c r="D291" s="84">
        <v>80</v>
      </c>
      <c r="E291" s="84">
        <v>1.2426666666666699</v>
      </c>
      <c r="F291" s="78"/>
      <c r="G291" s="85">
        <f t="shared" si="120"/>
        <v>0.51796366207273969</v>
      </c>
      <c r="H291" s="86">
        <f t="shared" si="121"/>
        <v>-0.29365079365079366</v>
      </c>
      <c r="I291" s="85">
        <f t="shared" si="122"/>
        <v>-0.41489361702127658</v>
      </c>
      <c r="J291" s="85">
        <f t="shared" si="123"/>
        <v>9.809291945628118E-2</v>
      </c>
      <c r="K291" s="86">
        <f t="shared" si="124"/>
        <v>-0.28943798379392749</v>
      </c>
      <c r="L291" s="87">
        <f t="shared" si="125"/>
        <v>0.29387268930056948</v>
      </c>
      <c r="M291" s="86">
        <f t="shared" si="126"/>
        <v>-0.2188623986632339</v>
      </c>
      <c r="N291" s="87">
        <f t="shared" si="127"/>
        <v>0.39082510255625841</v>
      </c>
      <c r="O291" s="86">
        <f t="shared" si="128"/>
        <v>-0.36941182386081328</v>
      </c>
      <c r="P291" s="87">
        <f t="shared" si="129"/>
        <v>0.30842673795272557</v>
      </c>
      <c r="Q291" s="86">
        <f t="shared" si="130"/>
        <v>-0.28943798379392754</v>
      </c>
      <c r="R291" s="85">
        <f t="shared" si="131"/>
        <v>-0.22409097277217022</v>
      </c>
    </row>
    <row r="292" spans="2:18">
      <c r="B292" s="83"/>
      <c r="C292" s="84">
        <v>42</v>
      </c>
      <c r="D292" s="84">
        <v>96</v>
      </c>
      <c r="E292" s="84">
        <v>1.42</v>
      </c>
      <c r="F292" s="78"/>
      <c r="G292" s="85">
        <f t="shared" si="120"/>
        <v>0.6114360732744667</v>
      </c>
      <c r="H292" s="86">
        <f t="shared" si="121"/>
        <v>-0.29365079365079366</v>
      </c>
      <c r="I292" s="85">
        <f t="shared" si="122"/>
        <v>-0.39361702127659576</v>
      </c>
      <c r="J292" s="85">
        <f t="shared" si="123"/>
        <v>0.20602556299452213</v>
      </c>
      <c r="K292" s="86">
        <f t="shared" si="124"/>
        <v>-0.26944452377720607</v>
      </c>
      <c r="L292" s="87">
        <f t="shared" si="125"/>
        <v>0.38370658833925747</v>
      </c>
      <c r="M292" s="86">
        <f t="shared" si="126"/>
        <v>-0.19886893864651245</v>
      </c>
      <c r="N292" s="87">
        <f t="shared" si="127"/>
        <v>0.48065900159494634</v>
      </c>
      <c r="O292" s="86">
        <f t="shared" si="128"/>
        <v>-0.36941182386081328</v>
      </c>
      <c r="P292" s="87">
        <f t="shared" si="129"/>
        <v>0.40189914915445257</v>
      </c>
      <c r="Q292" s="86">
        <f t="shared" si="130"/>
        <v>-0.26944452377720612</v>
      </c>
      <c r="R292" s="85">
        <f t="shared" si="131"/>
        <v>-0.22772948493520923</v>
      </c>
    </row>
    <row r="293" spans="2:18">
      <c r="B293" s="83"/>
      <c r="C293" s="84">
        <v>45</v>
      </c>
      <c r="D293" s="84">
        <v>16</v>
      </c>
      <c r="E293" s="84">
        <v>0.37933333333333302</v>
      </c>
      <c r="F293" s="78"/>
      <c r="G293" s="85">
        <f t="shared" si="120"/>
        <v>6.290060753800536E-2</v>
      </c>
      <c r="H293" s="86">
        <f t="shared" si="121"/>
        <v>-0.27777777777777779</v>
      </c>
      <c r="I293" s="85">
        <f t="shared" si="122"/>
        <v>-0.5</v>
      </c>
      <c r="J293" s="85">
        <f t="shared" si="123"/>
        <v>-0.42736863461148322</v>
      </c>
      <c r="K293" s="86">
        <f t="shared" si="124"/>
        <v>-0.37484071502471289</v>
      </c>
      <c r="L293" s="87">
        <f t="shared" si="125"/>
        <v>-0.15409419452475404</v>
      </c>
      <c r="M293" s="86">
        <f t="shared" si="126"/>
        <v>-0.29883623873011983</v>
      </c>
      <c r="N293" s="87">
        <f t="shared" si="127"/>
        <v>-4.9683903326319834E-2</v>
      </c>
      <c r="O293" s="86">
        <f t="shared" si="128"/>
        <v>-0.37484071502471289</v>
      </c>
      <c r="P293" s="87">
        <f t="shared" si="129"/>
        <v>-0.15409419452475404</v>
      </c>
      <c r="Q293" s="86">
        <f t="shared" si="130"/>
        <v>-0.37484071502471289</v>
      </c>
      <c r="R293" s="85">
        <f t="shared" si="131"/>
        <v>-0.2169948020627594</v>
      </c>
    </row>
    <row r="294" spans="2:18">
      <c r="B294" s="83"/>
      <c r="C294" s="84">
        <v>45</v>
      </c>
      <c r="D294" s="84">
        <v>32</v>
      </c>
      <c r="E294" s="84">
        <v>0.71766666666666701</v>
      </c>
      <c r="F294" s="78"/>
      <c r="G294" s="85">
        <f t="shared" si="120"/>
        <v>0.24123612890972515</v>
      </c>
      <c r="H294" s="86">
        <f t="shared" si="121"/>
        <v>-0.27777777777777779</v>
      </c>
      <c r="I294" s="85">
        <f t="shared" si="122"/>
        <v>-0.47872340425531917</v>
      </c>
      <c r="J294" s="85">
        <f t="shared" si="123"/>
        <v>-0.22144451207141386</v>
      </c>
      <c r="K294" s="86">
        <f t="shared" si="124"/>
        <v>-0.35484725500799141</v>
      </c>
      <c r="L294" s="87">
        <f t="shared" si="125"/>
        <v>2.0602814683926746E-2</v>
      </c>
      <c r="M294" s="86">
        <f t="shared" si="126"/>
        <v>-0.27884277871339835</v>
      </c>
      <c r="N294" s="87">
        <f t="shared" si="127"/>
        <v>0.12501310588236095</v>
      </c>
      <c r="O294" s="86">
        <f t="shared" si="128"/>
        <v>-0.37484071502471283</v>
      </c>
      <c r="P294" s="87">
        <f t="shared" si="129"/>
        <v>2.4241326846965755E-2</v>
      </c>
      <c r="Q294" s="86">
        <f t="shared" si="130"/>
        <v>-0.35484725500799147</v>
      </c>
      <c r="R294" s="85">
        <f t="shared" si="131"/>
        <v>-0.2206333142257984</v>
      </c>
    </row>
    <row r="295" spans="2:18">
      <c r="B295" s="83"/>
      <c r="C295" s="84">
        <v>45</v>
      </c>
      <c r="D295" s="84">
        <v>48</v>
      </c>
      <c r="E295" s="84">
        <v>0.88900000000000001</v>
      </c>
      <c r="F295" s="78"/>
      <c r="G295" s="85">
        <f t="shared" si="120"/>
        <v>0.33154593973244795</v>
      </c>
      <c r="H295" s="86">
        <f t="shared" si="121"/>
        <v>-0.27777777777777779</v>
      </c>
      <c r="I295" s="85">
        <f t="shared" si="122"/>
        <v>-0.45744680851063829</v>
      </c>
      <c r="J295" s="85">
        <f t="shared" si="123"/>
        <v>-0.11716372489348753</v>
      </c>
      <c r="K295" s="86">
        <f t="shared" si="124"/>
        <v>-0.33485379499126994</v>
      </c>
      <c r="L295" s="87">
        <f t="shared" si="125"/>
        <v>0.10727411334361045</v>
      </c>
      <c r="M295" s="86">
        <f t="shared" si="126"/>
        <v>-0.25884931869667682</v>
      </c>
      <c r="N295" s="87">
        <f t="shared" si="127"/>
        <v>0.21168440454204465</v>
      </c>
      <c r="O295" s="86">
        <f t="shared" si="128"/>
        <v>-0.37484071502471283</v>
      </c>
      <c r="P295" s="87">
        <f t="shared" si="129"/>
        <v>0.11455113766968852</v>
      </c>
      <c r="Q295" s="86">
        <f t="shared" si="130"/>
        <v>-0.33485379499126999</v>
      </c>
      <c r="R295" s="85">
        <f t="shared" si="131"/>
        <v>-0.22427182638883747</v>
      </c>
    </row>
    <row r="296" spans="2:18">
      <c r="B296" s="83"/>
      <c r="C296" s="84">
        <v>45</v>
      </c>
      <c r="D296" s="84">
        <v>64</v>
      </c>
      <c r="E296" s="84">
        <v>1.04</v>
      </c>
      <c r="F296" s="78"/>
      <c r="G296" s="85">
        <f t="shared" si="120"/>
        <v>0.41113804927076214</v>
      </c>
      <c r="H296" s="86">
        <f t="shared" si="121"/>
        <v>-0.27777777777777779</v>
      </c>
      <c r="I296" s="85">
        <f t="shared" si="122"/>
        <v>-0.43617021276595747</v>
      </c>
      <c r="J296" s="85">
        <f t="shared" si="123"/>
        <v>-2.5258673158855716E-2</v>
      </c>
      <c r="K296" s="86">
        <f t="shared" si="124"/>
        <v>-0.31486033497454852</v>
      </c>
      <c r="L296" s="87">
        <f t="shared" si="125"/>
        <v>0.18322771071888569</v>
      </c>
      <c r="M296" s="86">
        <f t="shared" si="126"/>
        <v>-0.23885585867995543</v>
      </c>
      <c r="N296" s="87">
        <f t="shared" si="127"/>
        <v>0.28763800191731992</v>
      </c>
      <c r="O296" s="86">
        <f t="shared" si="128"/>
        <v>-0.37484071502471283</v>
      </c>
      <c r="P296" s="87">
        <f t="shared" si="129"/>
        <v>0.19414324720800277</v>
      </c>
      <c r="Q296" s="86">
        <f t="shared" si="130"/>
        <v>-0.31486033497454857</v>
      </c>
      <c r="R296" s="85">
        <f t="shared" si="131"/>
        <v>-0.22791033855187648</v>
      </c>
    </row>
    <row r="297" spans="2:18">
      <c r="B297" s="83"/>
      <c r="C297" s="84">
        <v>45</v>
      </c>
      <c r="D297" s="84">
        <v>80</v>
      </c>
      <c r="E297" s="84">
        <v>1.3053333333333299</v>
      </c>
      <c r="F297" s="78"/>
      <c r="G297" s="85">
        <f t="shared" si="120"/>
        <v>0.55099526603124183</v>
      </c>
      <c r="H297" s="86">
        <f t="shared" si="121"/>
        <v>-0.27777777777777779</v>
      </c>
      <c r="I297" s="85">
        <f t="shared" si="122"/>
        <v>-0.41489361702127658</v>
      </c>
      <c r="J297" s="85">
        <f t="shared" si="123"/>
        <v>0.13623453033069377</v>
      </c>
      <c r="K297" s="86">
        <f t="shared" si="124"/>
        <v>-0.29486687495782699</v>
      </c>
      <c r="L297" s="87">
        <f t="shared" si="125"/>
        <v>0.31944641531632628</v>
      </c>
      <c r="M297" s="86">
        <f t="shared" si="126"/>
        <v>-0.21886239866323387</v>
      </c>
      <c r="N297" s="87">
        <f t="shared" si="127"/>
        <v>0.42385670651476048</v>
      </c>
      <c r="O297" s="86">
        <f t="shared" si="128"/>
        <v>-0.37484071502471283</v>
      </c>
      <c r="P297" s="87">
        <f t="shared" si="129"/>
        <v>0.33400046396848238</v>
      </c>
      <c r="Q297" s="86">
        <f t="shared" si="130"/>
        <v>-0.29486687495782704</v>
      </c>
      <c r="R297" s="85">
        <f t="shared" si="131"/>
        <v>-0.23154885071491552</v>
      </c>
    </row>
    <row r="298" spans="2:18">
      <c r="B298" s="83"/>
      <c r="C298" s="84">
        <v>45</v>
      </c>
      <c r="D298" s="84">
        <v>96</v>
      </c>
      <c r="E298" s="84">
        <v>1.508</v>
      </c>
      <c r="F298" s="78"/>
      <c r="G298" s="85">
        <f t="shared" si="120"/>
        <v>0.65782087883321938</v>
      </c>
      <c r="H298" s="86">
        <f t="shared" si="121"/>
        <v>-0.27777777777777779</v>
      </c>
      <c r="I298" s="85">
        <f t="shared" si="122"/>
        <v>-0.39361702127659576</v>
      </c>
      <c r="J298" s="85">
        <f t="shared" si="123"/>
        <v>0.25958612294583083</v>
      </c>
      <c r="K298" s="86">
        <f t="shared" si="124"/>
        <v>-0.27487341494110551</v>
      </c>
      <c r="L298" s="87">
        <f t="shared" si="125"/>
        <v>0.42263351595526488</v>
      </c>
      <c r="M298" s="86">
        <f t="shared" si="126"/>
        <v>-0.19886893864651245</v>
      </c>
      <c r="N298" s="87">
        <f t="shared" si="127"/>
        <v>0.52704380715369914</v>
      </c>
      <c r="O298" s="86">
        <f t="shared" si="128"/>
        <v>-0.37484071502471278</v>
      </c>
      <c r="P298" s="87">
        <f t="shared" si="129"/>
        <v>0.44082607677046004</v>
      </c>
      <c r="Q298" s="86">
        <f t="shared" si="130"/>
        <v>-0.27487341494110562</v>
      </c>
      <c r="R298" s="85">
        <f t="shared" si="131"/>
        <v>-0.23518736287795455</v>
      </c>
    </row>
    <row r="299" spans="2:18">
      <c r="B299" s="83"/>
      <c r="C299" s="84">
        <v>48</v>
      </c>
      <c r="D299" s="84">
        <v>16</v>
      </c>
      <c r="E299" s="84">
        <v>0.40566666666666701</v>
      </c>
      <c r="F299" s="78"/>
      <c r="G299" s="85">
        <f t="shared" si="120"/>
        <v>7.6780909201420278E-2</v>
      </c>
      <c r="H299" s="86">
        <f t="shared" si="121"/>
        <v>-0.26190476190476192</v>
      </c>
      <c r="I299" s="85">
        <f t="shared" si="122"/>
        <v>-0.5</v>
      </c>
      <c r="J299" s="85">
        <f t="shared" si="123"/>
        <v>-0.41134104280787159</v>
      </c>
      <c r="K299" s="86">
        <f t="shared" si="124"/>
        <v>-0.38026960618861239</v>
      </c>
      <c r="L299" s="87">
        <f t="shared" si="125"/>
        <v>-0.14767177080408439</v>
      </c>
      <c r="M299" s="86">
        <f t="shared" si="126"/>
        <v>-0.29883623873011983</v>
      </c>
      <c r="N299" s="87">
        <f t="shared" si="127"/>
        <v>-3.5803601662904916E-2</v>
      </c>
      <c r="O299" s="86">
        <f t="shared" si="128"/>
        <v>-0.38026960618861239</v>
      </c>
      <c r="P299" s="87">
        <f t="shared" si="129"/>
        <v>-0.14767177080408439</v>
      </c>
      <c r="Q299" s="86">
        <f t="shared" si="130"/>
        <v>-0.38026960618861239</v>
      </c>
      <c r="R299" s="85">
        <f t="shared" si="131"/>
        <v>-0.22445268000550467</v>
      </c>
    </row>
    <row r="300" spans="2:18">
      <c r="B300" s="83"/>
      <c r="C300" s="84">
        <v>48</v>
      </c>
      <c r="D300" s="84">
        <v>32</v>
      </c>
      <c r="E300" s="84">
        <v>0.73299999999999998</v>
      </c>
      <c r="F300" s="78"/>
      <c r="G300" s="85">
        <f t="shared" si="120"/>
        <v>0.24931832987829547</v>
      </c>
      <c r="H300" s="86">
        <f t="shared" si="121"/>
        <v>-0.26190476190476192</v>
      </c>
      <c r="I300" s="85">
        <f t="shared" si="122"/>
        <v>-0.47872340425531917</v>
      </c>
      <c r="J300" s="85">
        <f t="shared" si="123"/>
        <v>-0.2121119902617164</v>
      </c>
      <c r="K300" s="86">
        <f t="shared" si="124"/>
        <v>-0.36027614617189091</v>
      </c>
      <c r="L300" s="87">
        <f t="shared" si="125"/>
        <v>2.1227137709751764E-2</v>
      </c>
      <c r="M300" s="86">
        <f t="shared" si="126"/>
        <v>-0.27884277871339835</v>
      </c>
      <c r="N300" s="87">
        <f t="shared" si="127"/>
        <v>0.13309530685093127</v>
      </c>
      <c r="O300" s="86">
        <f t="shared" si="128"/>
        <v>-0.38026960618861233</v>
      </c>
      <c r="P300" s="87">
        <f t="shared" si="129"/>
        <v>2.4865649872790802E-2</v>
      </c>
      <c r="Q300" s="86">
        <f t="shared" si="130"/>
        <v>-0.36027614617189097</v>
      </c>
      <c r="R300" s="85">
        <f t="shared" si="131"/>
        <v>-0.2280911921685437</v>
      </c>
    </row>
    <row r="301" spans="2:18">
      <c r="B301" s="83"/>
      <c r="C301" s="84">
        <v>48</v>
      </c>
      <c r="D301" s="84">
        <v>48</v>
      </c>
      <c r="E301" s="84">
        <v>0.920333333333333</v>
      </c>
      <c r="F301" s="78"/>
      <c r="G301" s="85">
        <f t="shared" si="120"/>
        <v>0.34806174171170062</v>
      </c>
      <c r="H301" s="86">
        <f t="shared" si="121"/>
        <v>-0.26190476190476192</v>
      </c>
      <c r="I301" s="85">
        <f t="shared" si="122"/>
        <v>-0.45744680851063829</v>
      </c>
      <c r="J301" s="85">
        <f t="shared" si="123"/>
        <v>-9.8092919456279348E-2</v>
      </c>
      <c r="K301" s="86">
        <f t="shared" si="124"/>
        <v>-0.34028268615516943</v>
      </c>
      <c r="L301" s="87">
        <f t="shared" si="125"/>
        <v>0.11633203738011787</v>
      </c>
      <c r="M301" s="86">
        <f t="shared" si="126"/>
        <v>-0.25884931869667682</v>
      </c>
      <c r="N301" s="87">
        <f t="shared" si="127"/>
        <v>0.22820020652129736</v>
      </c>
      <c r="O301" s="86">
        <f t="shared" si="128"/>
        <v>-0.38026960618861233</v>
      </c>
      <c r="P301" s="87">
        <f t="shared" si="129"/>
        <v>0.12360906170619594</v>
      </c>
      <c r="Q301" s="86">
        <f t="shared" si="130"/>
        <v>-0.34028268615516949</v>
      </c>
      <c r="R301" s="85">
        <f t="shared" si="131"/>
        <v>-0.23172970433158274</v>
      </c>
    </row>
    <row r="302" spans="2:18">
      <c r="B302" s="83"/>
      <c r="C302" s="84">
        <v>48</v>
      </c>
      <c r="D302" s="84">
        <v>64</v>
      </c>
      <c r="E302" s="84">
        <v>1.0920000000000001</v>
      </c>
      <c r="F302" s="78"/>
      <c r="G302" s="85">
        <f t="shared" si="120"/>
        <v>0.43854725255547966</v>
      </c>
      <c r="H302" s="86">
        <f t="shared" si="121"/>
        <v>-0.26190476190476192</v>
      </c>
      <c r="I302" s="85">
        <f t="shared" si="122"/>
        <v>-0.43617021276595747</v>
      </c>
      <c r="J302" s="85">
        <f t="shared" si="123"/>
        <v>6.3907486305538885E-3</v>
      </c>
      <c r="K302" s="86">
        <f t="shared" si="124"/>
        <v>-0.32028922613844801</v>
      </c>
      <c r="L302" s="87">
        <f t="shared" si="125"/>
        <v>0.20317903606085788</v>
      </c>
      <c r="M302" s="86">
        <f t="shared" si="126"/>
        <v>-0.23885585867995543</v>
      </c>
      <c r="N302" s="87">
        <f t="shared" si="127"/>
        <v>0.31504720520203738</v>
      </c>
      <c r="O302" s="86">
        <f t="shared" si="128"/>
        <v>-0.38026960618861233</v>
      </c>
      <c r="P302" s="87">
        <f t="shared" si="129"/>
        <v>0.21409457254997497</v>
      </c>
      <c r="Q302" s="86">
        <f t="shared" si="130"/>
        <v>-0.32028922613844807</v>
      </c>
      <c r="R302" s="85">
        <f t="shared" si="131"/>
        <v>-0.23536821649462175</v>
      </c>
    </row>
    <row r="303" spans="2:18">
      <c r="B303" s="83"/>
      <c r="C303" s="84">
        <v>48</v>
      </c>
      <c r="D303" s="84">
        <v>80</v>
      </c>
      <c r="E303" s="84">
        <v>1.373</v>
      </c>
      <c r="F303" s="78"/>
      <c r="G303" s="85">
        <f t="shared" si="120"/>
        <v>0.58666237030558743</v>
      </c>
      <c r="H303" s="86">
        <f t="shared" si="121"/>
        <v>-0.26190476190476192</v>
      </c>
      <c r="I303" s="85">
        <f t="shared" si="122"/>
        <v>-0.41489361702127658</v>
      </c>
      <c r="J303" s="85">
        <f t="shared" si="123"/>
        <v>0.17741935483870963</v>
      </c>
      <c r="K303" s="86">
        <f t="shared" si="124"/>
        <v>-0.30029576612172648</v>
      </c>
      <c r="L303" s="87">
        <f t="shared" si="125"/>
        <v>0.34765564164792662</v>
      </c>
      <c r="M303" s="86">
        <f t="shared" si="126"/>
        <v>-0.21886239866323387</v>
      </c>
      <c r="N303" s="87">
        <f t="shared" si="127"/>
        <v>0.4595238107891062</v>
      </c>
      <c r="O303" s="86">
        <f t="shared" si="128"/>
        <v>-0.38026960618861233</v>
      </c>
      <c r="P303" s="87">
        <f t="shared" si="129"/>
        <v>0.36220969030008277</v>
      </c>
      <c r="Q303" s="86">
        <f t="shared" si="130"/>
        <v>-0.30029576612172654</v>
      </c>
      <c r="R303" s="85">
        <f t="shared" si="131"/>
        <v>-0.23900672865766082</v>
      </c>
    </row>
    <row r="304" spans="2:18">
      <c r="B304" s="83"/>
      <c r="C304" s="84">
        <v>48</v>
      </c>
      <c r="D304" s="84">
        <v>96</v>
      </c>
      <c r="E304" s="84">
        <v>1.60666666666667</v>
      </c>
      <c r="F304" s="78"/>
      <c r="G304" s="85">
        <f t="shared" si="120"/>
        <v>0.709828085065762</v>
      </c>
      <c r="H304" s="86">
        <f t="shared" si="121"/>
        <v>-0.26190476190476192</v>
      </c>
      <c r="I304" s="85">
        <f t="shared" si="122"/>
        <v>-0.39361702127659576</v>
      </c>
      <c r="J304" s="85">
        <f t="shared" si="123"/>
        <v>0.31963887198214846</v>
      </c>
      <c r="K304" s="86">
        <f t="shared" si="124"/>
        <v>-0.28030230610500501</v>
      </c>
      <c r="L304" s="87">
        <f t="shared" si="125"/>
        <v>0.46718284424506218</v>
      </c>
      <c r="M304" s="86">
        <f t="shared" si="126"/>
        <v>-0.19886893864651245</v>
      </c>
      <c r="N304" s="87">
        <f t="shared" si="127"/>
        <v>0.57905101338624165</v>
      </c>
      <c r="O304" s="86">
        <f t="shared" si="128"/>
        <v>-0.38026960618861227</v>
      </c>
      <c r="P304" s="87">
        <f t="shared" si="129"/>
        <v>0.48537540506025734</v>
      </c>
      <c r="Q304" s="86">
        <f t="shared" si="130"/>
        <v>-0.28030230610500512</v>
      </c>
      <c r="R304" s="85">
        <f t="shared" si="131"/>
        <v>-0.24264524082069983</v>
      </c>
    </row>
    <row r="305" spans="2:18">
      <c r="B305" s="83"/>
      <c r="C305" s="84">
        <v>51</v>
      </c>
      <c r="D305" s="84">
        <v>16</v>
      </c>
      <c r="E305" s="84">
        <v>0.432</v>
      </c>
      <c r="F305" s="78"/>
      <c r="G305" s="85">
        <f t="shared" si="120"/>
        <v>9.0661210864834696E-2</v>
      </c>
      <c r="H305" s="86">
        <f t="shared" si="121"/>
        <v>-0.24603174603174605</v>
      </c>
      <c r="I305" s="85">
        <f t="shared" si="122"/>
        <v>-0.5</v>
      </c>
      <c r="J305" s="85">
        <f t="shared" si="123"/>
        <v>-0.39531345100426052</v>
      </c>
      <c r="K305" s="86">
        <f t="shared" si="124"/>
        <v>-0.38569849735251188</v>
      </c>
      <c r="L305" s="87">
        <f t="shared" si="125"/>
        <v>-0.1412493470834153</v>
      </c>
      <c r="M305" s="86">
        <f t="shared" si="126"/>
        <v>-0.29883623873011983</v>
      </c>
      <c r="N305" s="87">
        <f t="shared" si="127"/>
        <v>-2.1923299999490498E-2</v>
      </c>
      <c r="O305" s="86">
        <f t="shared" si="128"/>
        <v>-0.38569849735251188</v>
      </c>
      <c r="P305" s="87">
        <f t="shared" si="129"/>
        <v>-0.1412493470834153</v>
      </c>
      <c r="Q305" s="86">
        <f t="shared" si="130"/>
        <v>-0.38569849735251188</v>
      </c>
      <c r="R305" s="85">
        <f t="shared" si="131"/>
        <v>-0.23191055794825</v>
      </c>
    </row>
    <row r="306" spans="2:18">
      <c r="B306" s="83"/>
      <c r="C306" s="84">
        <v>51</v>
      </c>
      <c r="D306" s="84">
        <v>32</v>
      </c>
      <c r="E306" s="84">
        <v>0.754</v>
      </c>
      <c r="F306" s="78"/>
      <c r="G306" s="85">
        <f t="shared" si="120"/>
        <v>0.260387431204816</v>
      </c>
      <c r="H306" s="86">
        <f t="shared" si="121"/>
        <v>-0.24603174603174605</v>
      </c>
      <c r="I306" s="85">
        <f t="shared" si="122"/>
        <v>-0.47872340425531917</v>
      </c>
      <c r="J306" s="85">
        <f t="shared" si="123"/>
        <v>-0.19933049300060862</v>
      </c>
      <c r="K306" s="86">
        <f t="shared" si="124"/>
        <v>-0.36570503733579041</v>
      </c>
      <c r="L306" s="87">
        <f t="shared" si="125"/>
        <v>2.4838361093527023E-2</v>
      </c>
      <c r="M306" s="86">
        <f t="shared" si="126"/>
        <v>-0.27884277871339835</v>
      </c>
      <c r="N306" s="87">
        <f t="shared" si="127"/>
        <v>0.14416440817745182</v>
      </c>
      <c r="O306" s="86">
        <f t="shared" si="128"/>
        <v>-0.38569849735251183</v>
      </c>
      <c r="P306" s="87">
        <f t="shared" si="129"/>
        <v>2.8476873256566032E-2</v>
      </c>
      <c r="Q306" s="86">
        <f t="shared" si="130"/>
        <v>-0.36570503733579046</v>
      </c>
      <c r="R306" s="85">
        <f t="shared" si="131"/>
        <v>-0.23554907011128901</v>
      </c>
    </row>
    <row r="307" spans="2:18">
      <c r="B307" s="83"/>
      <c r="C307" s="84">
        <v>51</v>
      </c>
      <c r="D307" s="84">
        <v>48</v>
      </c>
      <c r="E307" s="84">
        <v>0.95133333333333303</v>
      </c>
      <c r="F307" s="78"/>
      <c r="G307" s="85">
        <f t="shared" si="120"/>
        <v>0.36440184366989758</v>
      </c>
      <c r="H307" s="86">
        <f t="shared" si="121"/>
        <v>-0.24603174603174605</v>
      </c>
      <c r="I307" s="85">
        <f t="shared" si="122"/>
        <v>-0.45744680851063829</v>
      </c>
      <c r="J307" s="85">
        <f t="shared" si="123"/>
        <v>-7.9224994927977466E-2</v>
      </c>
      <c r="K307" s="86">
        <f t="shared" si="124"/>
        <v>-0.34571157731906893</v>
      </c>
      <c r="L307" s="87">
        <f t="shared" si="125"/>
        <v>0.12521426139556951</v>
      </c>
      <c r="M307" s="86">
        <f t="shared" si="126"/>
        <v>-0.25884931869667682</v>
      </c>
      <c r="N307" s="87">
        <f t="shared" si="127"/>
        <v>0.24454030847949429</v>
      </c>
      <c r="O307" s="86">
        <f t="shared" si="128"/>
        <v>-0.38569849735251183</v>
      </c>
      <c r="P307" s="87">
        <f t="shared" si="129"/>
        <v>0.13249128572164756</v>
      </c>
      <c r="Q307" s="86">
        <f t="shared" si="130"/>
        <v>-0.34571157731906899</v>
      </c>
      <c r="R307" s="85">
        <f t="shared" si="131"/>
        <v>-0.23918758227432804</v>
      </c>
    </row>
    <row r="308" spans="2:18">
      <c r="B308" s="83"/>
      <c r="C308" s="84">
        <v>51</v>
      </c>
      <c r="D308" s="84">
        <v>64</v>
      </c>
      <c r="E308" s="84">
        <v>1.13866666666667</v>
      </c>
      <c r="F308" s="78"/>
      <c r="G308" s="85">
        <f t="shared" si="120"/>
        <v>0.46314525550330476</v>
      </c>
      <c r="H308" s="86">
        <f t="shared" si="121"/>
        <v>-0.24603174603174605</v>
      </c>
      <c r="I308" s="85">
        <f t="shared" si="122"/>
        <v>-0.43617021276595747</v>
      </c>
      <c r="J308" s="85">
        <f t="shared" si="123"/>
        <v>3.4794075877461972E-2</v>
      </c>
      <c r="K308" s="86">
        <f t="shared" si="124"/>
        <v>-0.32571811730234751</v>
      </c>
      <c r="L308" s="87">
        <f t="shared" si="125"/>
        <v>0.22031916106593769</v>
      </c>
      <c r="M308" s="86">
        <f t="shared" si="126"/>
        <v>-0.23885585867995543</v>
      </c>
      <c r="N308" s="87">
        <f t="shared" si="127"/>
        <v>0.33964520814986249</v>
      </c>
      <c r="O308" s="86">
        <f t="shared" si="128"/>
        <v>-0.38569849735251183</v>
      </c>
      <c r="P308" s="87">
        <f t="shared" si="129"/>
        <v>0.23123469755505477</v>
      </c>
      <c r="Q308" s="86">
        <f t="shared" si="130"/>
        <v>-0.32571811730234757</v>
      </c>
      <c r="R308" s="85">
        <f t="shared" si="131"/>
        <v>-0.24282609443736708</v>
      </c>
    </row>
    <row r="309" spans="2:18">
      <c r="B309" s="83"/>
      <c r="C309" s="84">
        <v>51</v>
      </c>
      <c r="D309" s="84">
        <v>80</v>
      </c>
      <c r="E309" s="84">
        <v>1.446</v>
      </c>
      <c r="F309" s="78"/>
      <c r="G309" s="85">
        <f t="shared" si="120"/>
        <v>0.62514067491682546</v>
      </c>
      <c r="H309" s="86">
        <f t="shared" si="121"/>
        <v>-0.24603174603174605</v>
      </c>
      <c r="I309" s="85">
        <f t="shared" si="122"/>
        <v>-0.41489361702127658</v>
      </c>
      <c r="J309" s="85">
        <f t="shared" si="123"/>
        <v>0.22185027388922696</v>
      </c>
      <c r="K309" s="86">
        <f t="shared" si="124"/>
        <v>-0.30572465728562598</v>
      </c>
      <c r="L309" s="87">
        <f t="shared" si="125"/>
        <v>0.37867606831641937</v>
      </c>
      <c r="M309" s="86">
        <f t="shared" si="126"/>
        <v>-0.21886239866323387</v>
      </c>
      <c r="N309" s="87">
        <f t="shared" si="127"/>
        <v>0.49800211540034417</v>
      </c>
      <c r="O309" s="86">
        <f t="shared" si="128"/>
        <v>-0.38569849735251183</v>
      </c>
      <c r="P309" s="87">
        <f t="shared" si="129"/>
        <v>0.39323011696857546</v>
      </c>
      <c r="Q309" s="86">
        <f t="shared" si="130"/>
        <v>-0.30572465728562603</v>
      </c>
      <c r="R309" s="85">
        <f t="shared" si="131"/>
        <v>-0.24646460660040609</v>
      </c>
    </row>
    <row r="310" spans="2:18">
      <c r="B310" s="83"/>
      <c r="C310" s="84">
        <v>54</v>
      </c>
      <c r="D310" s="84">
        <v>16</v>
      </c>
      <c r="E310" s="84">
        <v>0.462666666666667</v>
      </c>
      <c r="F310" s="78"/>
      <c r="G310" s="85">
        <f t="shared" si="120"/>
        <v>0.106825612801976</v>
      </c>
      <c r="H310" s="86">
        <f t="shared" si="121"/>
        <v>-0.23015873015873017</v>
      </c>
      <c r="I310" s="85">
        <f t="shared" si="122"/>
        <v>-0.5</v>
      </c>
      <c r="J310" s="85">
        <f t="shared" si="123"/>
        <v>-0.37664840738486488</v>
      </c>
      <c r="K310" s="86">
        <f t="shared" si="124"/>
        <v>-0.39112738851641138</v>
      </c>
      <c r="L310" s="87">
        <f t="shared" si="125"/>
        <v>-0.13254282308901927</v>
      </c>
      <c r="M310" s="86">
        <f t="shared" si="126"/>
        <v>-0.29883623873011983</v>
      </c>
      <c r="N310" s="87">
        <f t="shared" si="127"/>
        <v>-5.7588980623491937E-3</v>
      </c>
      <c r="O310" s="86">
        <f t="shared" si="128"/>
        <v>-0.39112738851641138</v>
      </c>
      <c r="P310" s="87">
        <f t="shared" si="129"/>
        <v>-0.13254282308901927</v>
      </c>
      <c r="Q310" s="86">
        <f t="shared" si="130"/>
        <v>-0.39112738851641138</v>
      </c>
      <c r="R310" s="85">
        <f t="shared" si="131"/>
        <v>-0.23936843589099527</v>
      </c>
    </row>
    <row r="311" spans="2:18">
      <c r="B311" s="83"/>
      <c r="C311" s="84">
        <v>54</v>
      </c>
      <c r="D311" s="84">
        <v>32</v>
      </c>
      <c r="E311" s="84">
        <v>0.75933333333333297</v>
      </c>
      <c r="F311" s="78"/>
      <c r="G311" s="85">
        <f t="shared" si="120"/>
        <v>0.26319863154170992</v>
      </c>
      <c r="H311" s="86">
        <f t="shared" si="121"/>
        <v>-0.23015873015873017</v>
      </c>
      <c r="I311" s="85">
        <f t="shared" si="122"/>
        <v>-0.47872340425531917</v>
      </c>
      <c r="J311" s="85">
        <f t="shared" si="123"/>
        <v>-0.19608439845810532</v>
      </c>
      <c r="K311" s="86">
        <f t="shared" si="124"/>
        <v>-0.3711339284996899</v>
      </c>
      <c r="L311" s="87">
        <f t="shared" si="125"/>
        <v>2.019168348767561E-2</v>
      </c>
      <c r="M311" s="86">
        <f t="shared" si="126"/>
        <v>-0.27884277871339835</v>
      </c>
      <c r="N311" s="87">
        <f t="shared" si="127"/>
        <v>0.14697560851434571</v>
      </c>
      <c r="O311" s="86">
        <f t="shared" si="128"/>
        <v>-0.39112738851641132</v>
      </c>
      <c r="P311" s="87">
        <f t="shared" si="129"/>
        <v>2.3830195650714647E-2</v>
      </c>
      <c r="Q311" s="86">
        <f t="shared" si="130"/>
        <v>-0.37113392849968996</v>
      </c>
      <c r="R311" s="85">
        <f t="shared" si="131"/>
        <v>-0.24300694805403431</v>
      </c>
    </row>
    <row r="312" spans="2:18">
      <c r="B312" s="83"/>
      <c r="C312" s="84">
        <v>54</v>
      </c>
      <c r="D312" s="84">
        <v>48</v>
      </c>
      <c r="E312" s="84">
        <v>0.98233333333333295</v>
      </c>
      <c r="F312" s="78"/>
      <c r="G312" s="85">
        <f t="shared" si="120"/>
        <v>0.38074194562809449</v>
      </c>
      <c r="H312" s="86">
        <f t="shared" si="121"/>
        <v>-0.23015873015873017</v>
      </c>
      <c r="I312" s="85">
        <f t="shared" si="122"/>
        <v>-0.45744680851063829</v>
      </c>
      <c r="J312" s="85">
        <f t="shared" si="123"/>
        <v>-6.0357070399675639E-2</v>
      </c>
      <c r="K312" s="86">
        <f t="shared" si="124"/>
        <v>-0.35114046848296843</v>
      </c>
      <c r="L312" s="87">
        <f t="shared" si="125"/>
        <v>0.13409648541102112</v>
      </c>
      <c r="M312" s="86">
        <f t="shared" si="126"/>
        <v>-0.25884931869667682</v>
      </c>
      <c r="N312" s="87">
        <f t="shared" si="127"/>
        <v>0.26088041043769117</v>
      </c>
      <c r="O312" s="86">
        <f t="shared" si="128"/>
        <v>-0.39112738851641132</v>
      </c>
      <c r="P312" s="87">
        <f t="shared" si="129"/>
        <v>0.1413735097370992</v>
      </c>
      <c r="Q312" s="86">
        <f t="shared" si="130"/>
        <v>-0.35114046848296848</v>
      </c>
      <c r="R312" s="85">
        <f t="shared" si="131"/>
        <v>-0.24664546021707334</v>
      </c>
    </row>
    <row r="313" spans="2:18">
      <c r="B313" s="83"/>
      <c r="C313" s="84">
        <v>54</v>
      </c>
      <c r="D313" s="84">
        <v>64</v>
      </c>
      <c r="E313" s="84">
        <v>1.18566666666667</v>
      </c>
      <c r="F313" s="78"/>
      <c r="G313" s="85">
        <f t="shared" ref="G313:G344" si="132">D$19*(L313-R313)</f>
        <v>0.48791895847218397</v>
      </c>
      <c r="H313" s="86">
        <f t="shared" ref="H313:H344" si="133">(C313-H$16)/H$17-0.5</f>
        <v>-0.23015873015873017</v>
      </c>
      <c r="I313" s="85">
        <f t="shared" ref="I313:I344" si="134">(D313-I$16)/I$17-0.5</f>
        <v>-0.43617021276595747</v>
      </c>
      <c r="J313" s="85">
        <f t="shared" ref="J313:J344" si="135">(E313-J$16)/J$17-0.5</f>
        <v>6.3400284033274468E-2</v>
      </c>
      <c r="K313" s="86">
        <f t="shared" ref="K313:K344" si="136">(H313*$H$13+I313*$I$13+J313*$J$13+$D$27)*$C$27</f>
        <v>-0.33114700846624701</v>
      </c>
      <c r="L313" s="87">
        <f t="shared" ref="L313:L344" si="137">(H313*$H$14+I313*$I$14+J313*$J$14+$E$27)*$C$27</f>
        <v>0.23763498609207162</v>
      </c>
      <c r="M313" s="86">
        <f t="shared" ref="M313:M344" si="138">(H$27*$H$13+I313*$I$13+J313*$J$13+$D$27)*$C$27</f>
        <v>-0.23885585867995543</v>
      </c>
      <c r="N313" s="87">
        <f t="shared" ref="N313:N344" si="139">(H$27*$H$14+I313*$I$14+J313*$J$14+$E$27)*$C$27</f>
        <v>0.3644189111187417</v>
      </c>
      <c r="O313" s="86">
        <f t="shared" ref="O313:O344" si="140">(H313*$H$13+I$27*$I$13+J313*$J$13+$D$27)*$C$27</f>
        <v>-0.39112738851641132</v>
      </c>
      <c r="P313" s="87">
        <f t="shared" ref="P313:P344" si="141">(H313*$H$14+I$27*$I$14+J313*$J$14+$E$27)*$C$27</f>
        <v>0.2485505225811887</v>
      </c>
      <c r="Q313" s="86">
        <f t="shared" ref="Q313:Q344" si="142">(H313*$H$13+I313*$I$13+J$27*$J$13+$D$27)*$C$27</f>
        <v>-0.33114700846624706</v>
      </c>
      <c r="R313" s="85">
        <f t="shared" ref="R313:R344" si="143">(H313*$H$14+I313*$I$14+J$27*$J$14+$E$27)*$C$27</f>
        <v>-0.25028397238011235</v>
      </c>
    </row>
    <row r="314" spans="2:18">
      <c r="B314" s="83"/>
      <c r="C314" s="84">
        <v>54</v>
      </c>
      <c r="D314" s="84">
        <v>80</v>
      </c>
      <c r="E314" s="84">
        <v>1.524</v>
      </c>
      <c r="F314" s="78"/>
      <c r="G314" s="85">
        <f t="shared" si="132"/>
        <v>0.66625447984390163</v>
      </c>
      <c r="H314" s="86">
        <f t="shared" si="133"/>
        <v>-0.23015873015873017</v>
      </c>
      <c r="I314" s="85">
        <f t="shared" si="134"/>
        <v>-0.41489361702127658</v>
      </c>
      <c r="J314" s="85">
        <f t="shared" si="135"/>
        <v>0.26932440657334145</v>
      </c>
      <c r="K314" s="86">
        <f t="shared" si="136"/>
        <v>-0.31115354844952542</v>
      </c>
      <c r="L314" s="87">
        <f t="shared" si="137"/>
        <v>0.41233199530075026</v>
      </c>
      <c r="M314" s="86">
        <f t="shared" si="138"/>
        <v>-0.21886239866323387</v>
      </c>
      <c r="N314" s="87">
        <f t="shared" si="139"/>
        <v>0.53911592032742039</v>
      </c>
      <c r="O314" s="86">
        <f t="shared" si="140"/>
        <v>-0.39112738851641127</v>
      </c>
      <c r="P314" s="87">
        <f t="shared" si="141"/>
        <v>0.42688604395290641</v>
      </c>
      <c r="Q314" s="86">
        <f t="shared" si="142"/>
        <v>-0.31115354844952553</v>
      </c>
      <c r="R314" s="85">
        <f t="shared" si="143"/>
        <v>-0.25392248454315142</v>
      </c>
    </row>
    <row r="315" spans="2:18">
      <c r="B315" s="83"/>
      <c r="C315" s="84">
        <v>57</v>
      </c>
      <c r="D315" s="84">
        <v>16</v>
      </c>
      <c r="E315" s="84">
        <v>0.49366666666666698</v>
      </c>
      <c r="F315" s="78"/>
      <c r="G315" s="85">
        <f t="shared" si="132"/>
        <v>0.12316571476017291</v>
      </c>
      <c r="H315" s="86">
        <f t="shared" si="133"/>
        <v>-0.2142857142857143</v>
      </c>
      <c r="I315" s="85">
        <f t="shared" si="134"/>
        <v>-0.5</v>
      </c>
      <c r="J315" s="85">
        <f t="shared" si="135"/>
        <v>-0.35778048285656305</v>
      </c>
      <c r="K315" s="86">
        <f t="shared" si="136"/>
        <v>-0.39655627968031087</v>
      </c>
      <c r="L315" s="87">
        <f t="shared" si="137"/>
        <v>-0.12366059907356769</v>
      </c>
      <c r="M315" s="86">
        <f t="shared" si="138"/>
        <v>-0.29883623873011983</v>
      </c>
      <c r="N315" s="87">
        <f t="shared" si="139"/>
        <v>1.0581203895847713E-2</v>
      </c>
      <c r="O315" s="86">
        <f t="shared" si="140"/>
        <v>-0.39655627968031087</v>
      </c>
      <c r="P315" s="87">
        <f t="shared" si="141"/>
        <v>-0.12366059907356769</v>
      </c>
      <c r="Q315" s="86">
        <f t="shared" si="142"/>
        <v>-0.39655627968031087</v>
      </c>
      <c r="R315" s="85">
        <f t="shared" si="143"/>
        <v>-0.2468263138337406</v>
      </c>
    </row>
    <row r="316" spans="2:18">
      <c r="B316" s="83"/>
      <c r="C316" s="84">
        <v>57</v>
      </c>
      <c r="D316" s="84">
        <v>32</v>
      </c>
      <c r="E316" s="84">
        <v>0.78</v>
      </c>
      <c r="F316" s="78"/>
      <c r="G316" s="85">
        <f t="shared" si="132"/>
        <v>0.27409203284717476</v>
      </c>
      <c r="H316" s="86">
        <f t="shared" si="133"/>
        <v>-0.2142857142857143</v>
      </c>
      <c r="I316" s="85">
        <f t="shared" si="134"/>
        <v>-0.47872340425531917</v>
      </c>
      <c r="J316" s="85">
        <f t="shared" si="135"/>
        <v>-0.18350578210590385</v>
      </c>
      <c r="K316" s="86">
        <f t="shared" si="136"/>
        <v>-0.3765628196635894</v>
      </c>
      <c r="L316" s="87">
        <f t="shared" si="137"/>
        <v>2.3627206850395155E-2</v>
      </c>
      <c r="M316" s="86">
        <f t="shared" si="138"/>
        <v>-0.27884277871339835</v>
      </c>
      <c r="N316" s="87">
        <f t="shared" si="139"/>
        <v>0.15786900981981056</v>
      </c>
      <c r="O316" s="86">
        <f t="shared" si="140"/>
        <v>-0.39655627968031082</v>
      </c>
      <c r="P316" s="87">
        <f t="shared" si="141"/>
        <v>2.7265719013434164E-2</v>
      </c>
      <c r="Q316" s="86">
        <f t="shared" si="142"/>
        <v>-0.37656281966358945</v>
      </c>
      <c r="R316" s="85">
        <f t="shared" si="143"/>
        <v>-0.25046482599677961</v>
      </c>
    </row>
    <row r="317" spans="2:18">
      <c r="B317" s="83"/>
      <c r="C317" s="84">
        <v>57</v>
      </c>
      <c r="D317" s="84">
        <v>48</v>
      </c>
      <c r="E317" s="84">
        <v>1.0086666666666699</v>
      </c>
      <c r="F317" s="78"/>
      <c r="G317" s="85">
        <f t="shared" si="132"/>
        <v>0.39462224729151107</v>
      </c>
      <c r="H317" s="86">
        <f t="shared" si="133"/>
        <v>-0.2142857142857143</v>
      </c>
      <c r="I317" s="85">
        <f t="shared" si="134"/>
        <v>-0.45744680851063829</v>
      </c>
      <c r="J317" s="85">
        <f t="shared" si="135"/>
        <v>-4.4329478596062122E-2</v>
      </c>
      <c r="K317" s="86">
        <f t="shared" si="136"/>
        <v>-0.35656935964686792</v>
      </c>
      <c r="L317" s="87">
        <f t="shared" si="137"/>
        <v>0.14051890913169238</v>
      </c>
      <c r="M317" s="86">
        <f t="shared" si="138"/>
        <v>-0.25884931869667682</v>
      </c>
      <c r="N317" s="87">
        <f t="shared" si="139"/>
        <v>0.27476071210110775</v>
      </c>
      <c r="O317" s="86">
        <f t="shared" si="140"/>
        <v>-0.39655627968031082</v>
      </c>
      <c r="P317" s="87">
        <f t="shared" si="141"/>
        <v>0.14779593345777042</v>
      </c>
      <c r="Q317" s="86">
        <f t="shared" si="142"/>
        <v>-0.35656935964686798</v>
      </c>
      <c r="R317" s="85">
        <f t="shared" si="143"/>
        <v>-0.25410333815981867</v>
      </c>
    </row>
    <row r="318" spans="2:18">
      <c r="B318" s="83"/>
      <c r="C318" s="84">
        <v>57</v>
      </c>
      <c r="D318" s="84">
        <v>64</v>
      </c>
      <c r="E318" s="84">
        <v>1.2426666666666699</v>
      </c>
      <c r="F318" s="78"/>
      <c r="G318" s="85">
        <f t="shared" si="132"/>
        <v>0.51796366207273969</v>
      </c>
      <c r="H318" s="86">
        <f t="shared" si="133"/>
        <v>-0.2142857142857143</v>
      </c>
      <c r="I318" s="85">
        <f t="shared" si="134"/>
        <v>-0.43617021276595747</v>
      </c>
      <c r="J318" s="85">
        <f t="shared" si="135"/>
        <v>9.809291945628118E-2</v>
      </c>
      <c r="K318" s="86">
        <f t="shared" si="136"/>
        <v>-0.3365758996301465</v>
      </c>
      <c r="L318" s="87">
        <f t="shared" si="137"/>
        <v>0.26022181174988201</v>
      </c>
      <c r="M318" s="86">
        <f t="shared" si="138"/>
        <v>-0.23885585867995543</v>
      </c>
      <c r="N318" s="87">
        <f t="shared" si="139"/>
        <v>0.39446361471929742</v>
      </c>
      <c r="O318" s="86">
        <f t="shared" si="140"/>
        <v>-0.39655627968031082</v>
      </c>
      <c r="P318" s="87">
        <f t="shared" si="141"/>
        <v>0.2711373482389991</v>
      </c>
      <c r="Q318" s="86">
        <f t="shared" si="142"/>
        <v>-0.33657589963014656</v>
      </c>
      <c r="R318" s="85">
        <f t="shared" si="143"/>
        <v>-0.25774185032285768</v>
      </c>
    </row>
    <row r="319" spans="2:18">
      <c r="B319" s="83"/>
      <c r="C319" s="84">
        <v>57</v>
      </c>
      <c r="D319" s="84">
        <v>80</v>
      </c>
      <c r="E319" s="84">
        <v>1.607</v>
      </c>
      <c r="F319" s="78"/>
      <c r="G319" s="85">
        <f t="shared" si="132"/>
        <v>0.71000378508681616</v>
      </c>
      <c r="H319" s="86">
        <f t="shared" si="133"/>
        <v>-0.2142857142857143</v>
      </c>
      <c r="I319" s="85">
        <f t="shared" si="134"/>
        <v>-0.41489361702127658</v>
      </c>
      <c r="J319" s="85">
        <f t="shared" si="135"/>
        <v>0.31984175289105288</v>
      </c>
      <c r="K319" s="86">
        <f t="shared" si="136"/>
        <v>-0.31658243961342492</v>
      </c>
      <c r="L319" s="87">
        <f t="shared" si="137"/>
        <v>0.44862342260091942</v>
      </c>
      <c r="M319" s="86">
        <f t="shared" si="138"/>
        <v>-0.21886239866323387</v>
      </c>
      <c r="N319" s="87">
        <f t="shared" si="139"/>
        <v>0.58286522557033482</v>
      </c>
      <c r="O319" s="86">
        <f t="shared" si="140"/>
        <v>-0.39655627968031076</v>
      </c>
      <c r="P319" s="87">
        <f t="shared" si="141"/>
        <v>0.46317747125307551</v>
      </c>
      <c r="Q319" s="86">
        <f t="shared" si="142"/>
        <v>-0.31658243961342503</v>
      </c>
      <c r="R319" s="85">
        <f t="shared" si="143"/>
        <v>-0.26138036248589669</v>
      </c>
    </row>
    <row r="320" spans="2:18">
      <c r="B320" s="83"/>
      <c r="C320" s="84">
        <v>60</v>
      </c>
      <c r="D320" s="84">
        <v>16</v>
      </c>
      <c r="E320" s="84">
        <v>0.52533333333333299</v>
      </c>
      <c r="F320" s="78"/>
      <c r="G320" s="85">
        <f t="shared" si="132"/>
        <v>0.1398572167604813</v>
      </c>
      <c r="H320" s="86">
        <f t="shared" si="133"/>
        <v>-0.19841269841269843</v>
      </c>
      <c r="I320" s="85">
        <f t="shared" si="134"/>
        <v>-0.5</v>
      </c>
      <c r="J320" s="85">
        <f t="shared" si="135"/>
        <v>-0.33850679651044857</v>
      </c>
      <c r="K320" s="86">
        <f t="shared" si="136"/>
        <v>-0.40198517084421043</v>
      </c>
      <c r="L320" s="87">
        <f t="shared" si="137"/>
        <v>-0.11442697501600457</v>
      </c>
      <c r="M320" s="86">
        <f t="shared" si="138"/>
        <v>-0.29883623873011983</v>
      </c>
      <c r="N320" s="87">
        <f t="shared" si="139"/>
        <v>2.7272705896156102E-2</v>
      </c>
      <c r="O320" s="86">
        <f t="shared" si="140"/>
        <v>-0.40198517084421043</v>
      </c>
      <c r="P320" s="87">
        <f t="shared" si="141"/>
        <v>-0.11442697501600457</v>
      </c>
      <c r="Q320" s="86">
        <f t="shared" si="142"/>
        <v>-0.40198517084421043</v>
      </c>
      <c r="R320" s="85">
        <f t="shared" si="143"/>
        <v>-0.25428419177648587</v>
      </c>
    </row>
    <row r="321" spans="2:18">
      <c r="B321" s="83"/>
      <c r="C321" s="84">
        <v>60</v>
      </c>
      <c r="D321" s="84">
        <v>32</v>
      </c>
      <c r="E321" s="84">
        <v>0.80066666666666697</v>
      </c>
      <c r="F321" s="78"/>
      <c r="G321" s="85">
        <f t="shared" si="132"/>
        <v>0.28498543415263949</v>
      </c>
      <c r="H321" s="86">
        <f t="shared" si="133"/>
        <v>-0.19841269841269843</v>
      </c>
      <c r="I321" s="85">
        <f t="shared" si="134"/>
        <v>-0.47872340425531917</v>
      </c>
      <c r="J321" s="85">
        <f t="shared" si="135"/>
        <v>-0.17092716575370243</v>
      </c>
      <c r="K321" s="86">
        <f t="shared" si="136"/>
        <v>-0.38199171082748895</v>
      </c>
      <c r="L321" s="87">
        <f t="shared" si="137"/>
        <v>2.7062730213114616E-2</v>
      </c>
      <c r="M321" s="86">
        <f t="shared" si="138"/>
        <v>-0.27884277871339835</v>
      </c>
      <c r="N321" s="87">
        <f t="shared" si="139"/>
        <v>0.16876241112527532</v>
      </c>
      <c r="O321" s="86">
        <f t="shared" si="140"/>
        <v>-0.40198517084421037</v>
      </c>
      <c r="P321" s="87">
        <f t="shared" si="141"/>
        <v>3.0701242376153653E-2</v>
      </c>
      <c r="Q321" s="86">
        <f t="shared" si="142"/>
        <v>-0.38199171082748901</v>
      </c>
      <c r="R321" s="85">
        <f t="shared" si="143"/>
        <v>-0.25792270393952488</v>
      </c>
    </row>
    <row r="322" spans="2:18">
      <c r="B322" s="83"/>
      <c r="C322" s="84">
        <v>60</v>
      </c>
      <c r="D322" s="84">
        <v>48</v>
      </c>
      <c r="E322" s="84">
        <v>1.0449999999999999</v>
      </c>
      <c r="F322" s="78"/>
      <c r="G322" s="85">
        <f t="shared" si="132"/>
        <v>0.41377354958660029</v>
      </c>
      <c r="H322" s="86">
        <f t="shared" si="133"/>
        <v>-0.19841269841269843</v>
      </c>
      <c r="I322" s="85">
        <f t="shared" si="134"/>
        <v>-0.45744680851063829</v>
      </c>
      <c r="J322" s="85">
        <f t="shared" si="135"/>
        <v>-2.2215459525258718E-2</v>
      </c>
      <c r="K322" s="86">
        <f t="shared" si="136"/>
        <v>-0.36199825081076742</v>
      </c>
      <c r="L322" s="87">
        <f t="shared" si="137"/>
        <v>0.15221233348403637</v>
      </c>
      <c r="M322" s="86">
        <f t="shared" si="138"/>
        <v>-0.25884931869667682</v>
      </c>
      <c r="N322" s="87">
        <f t="shared" si="139"/>
        <v>0.29391201439619707</v>
      </c>
      <c r="O322" s="86">
        <f t="shared" si="140"/>
        <v>-0.40198517084421037</v>
      </c>
      <c r="P322" s="87">
        <f t="shared" si="141"/>
        <v>0.15948935781011445</v>
      </c>
      <c r="Q322" s="86">
        <f t="shared" si="142"/>
        <v>-0.36199825081076747</v>
      </c>
      <c r="R322" s="85">
        <f t="shared" si="143"/>
        <v>-0.26156121610256394</v>
      </c>
    </row>
    <row r="323" spans="2:18">
      <c r="B323" s="83"/>
      <c r="C323" s="84">
        <v>60</v>
      </c>
      <c r="D323" s="84">
        <v>64</v>
      </c>
      <c r="E323" s="84">
        <v>1.2949999999999999</v>
      </c>
      <c r="F323" s="78"/>
      <c r="G323" s="85">
        <f t="shared" si="132"/>
        <v>0.54554856537851126</v>
      </c>
      <c r="H323" s="86">
        <f t="shared" si="133"/>
        <v>-0.19841269841269843</v>
      </c>
      <c r="I323" s="85">
        <f t="shared" si="134"/>
        <v>-0.43617021276595747</v>
      </c>
      <c r="J323" s="85">
        <f t="shared" si="135"/>
        <v>0.12994522215459525</v>
      </c>
      <c r="K323" s="86">
        <f t="shared" si="136"/>
        <v>-0.342004790794046</v>
      </c>
      <c r="L323" s="87">
        <f t="shared" si="137"/>
        <v>0.28034883711290837</v>
      </c>
      <c r="M323" s="86">
        <f t="shared" si="138"/>
        <v>-0.2388558586799554</v>
      </c>
      <c r="N323" s="87">
        <f t="shared" si="139"/>
        <v>0.42204851802506904</v>
      </c>
      <c r="O323" s="86">
        <f t="shared" si="140"/>
        <v>-0.40198517084421037</v>
      </c>
      <c r="P323" s="87">
        <f t="shared" si="141"/>
        <v>0.29126437360202539</v>
      </c>
      <c r="Q323" s="86">
        <f t="shared" si="142"/>
        <v>-0.34200479079404605</v>
      </c>
      <c r="R323" s="85">
        <f t="shared" si="143"/>
        <v>-0.26519972826560295</v>
      </c>
    </row>
    <row r="324" spans="2:18">
      <c r="B324" s="83"/>
      <c r="C324" s="84">
        <v>63</v>
      </c>
      <c r="D324" s="84">
        <v>16</v>
      </c>
      <c r="E324" s="84">
        <v>0.54600000000000004</v>
      </c>
      <c r="F324" s="78"/>
      <c r="G324" s="85">
        <f t="shared" si="132"/>
        <v>0.15075061806594614</v>
      </c>
      <c r="H324" s="86">
        <f t="shared" si="133"/>
        <v>-0.18253968253968256</v>
      </c>
      <c r="I324" s="85">
        <f t="shared" si="134"/>
        <v>-0.5</v>
      </c>
      <c r="J324" s="85">
        <f t="shared" si="135"/>
        <v>-0.32592818015824709</v>
      </c>
      <c r="K324" s="86">
        <f t="shared" si="136"/>
        <v>-0.40741406200810992</v>
      </c>
      <c r="L324" s="87">
        <f t="shared" si="137"/>
        <v>-0.11099145165328506</v>
      </c>
      <c r="M324" s="86">
        <f t="shared" si="138"/>
        <v>-0.29883623873011983</v>
      </c>
      <c r="N324" s="87">
        <f t="shared" si="139"/>
        <v>3.8166107201620947E-2</v>
      </c>
      <c r="O324" s="86">
        <f t="shared" si="140"/>
        <v>-0.40741406200810992</v>
      </c>
      <c r="P324" s="87">
        <f t="shared" si="141"/>
        <v>-0.11099145165328506</v>
      </c>
      <c r="Q324" s="86">
        <f t="shared" si="142"/>
        <v>-0.40741406200810992</v>
      </c>
      <c r="R324" s="85">
        <f t="shared" si="143"/>
        <v>-0.2617420697192312</v>
      </c>
    </row>
    <row r="325" spans="2:18">
      <c r="B325" s="83"/>
      <c r="C325" s="84">
        <v>63</v>
      </c>
      <c r="D325" s="84">
        <v>32</v>
      </c>
      <c r="E325" s="84">
        <v>0.81100000000000005</v>
      </c>
      <c r="F325" s="78"/>
      <c r="G325" s="85">
        <f t="shared" si="132"/>
        <v>0.29043213480537178</v>
      </c>
      <c r="H325" s="86">
        <f t="shared" si="133"/>
        <v>-0.18253968253968256</v>
      </c>
      <c r="I325" s="85">
        <f t="shared" si="134"/>
        <v>-0.47872340425531917</v>
      </c>
      <c r="J325" s="85">
        <f t="shared" si="135"/>
        <v>-0.16463785757760191</v>
      </c>
      <c r="K325" s="86">
        <f t="shared" si="136"/>
        <v>-0.38742060199138845</v>
      </c>
      <c r="L325" s="87">
        <f t="shared" si="137"/>
        <v>2.5051552923101544E-2</v>
      </c>
      <c r="M325" s="86">
        <f t="shared" si="138"/>
        <v>-0.27884277871339835</v>
      </c>
      <c r="N325" s="87">
        <f t="shared" si="139"/>
        <v>0.17420911177800755</v>
      </c>
      <c r="O325" s="86">
        <f t="shared" si="140"/>
        <v>-0.40741406200810987</v>
      </c>
      <c r="P325" s="87">
        <f t="shared" si="141"/>
        <v>2.8690065086140554E-2</v>
      </c>
      <c r="Q325" s="86">
        <f t="shared" si="142"/>
        <v>-0.3874206019913885</v>
      </c>
      <c r="R325" s="85">
        <f t="shared" si="143"/>
        <v>-0.26538058188227021</v>
      </c>
    </row>
    <row r="326" spans="2:18">
      <c r="B326" s="83"/>
      <c r="C326" s="84">
        <v>63</v>
      </c>
      <c r="D326" s="84">
        <v>48</v>
      </c>
      <c r="E326" s="84">
        <v>1.077</v>
      </c>
      <c r="F326" s="78"/>
      <c r="G326" s="85">
        <f t="shared" si="132"/>
        <v>0.43064075160796489</v>
      </c>
      <c r="H326" s="86">
        <f t="shared" si="133"/>
        <v>-0.18253968253968256</v>
      </c>
      <c r="I326" s="85">
        <f t="shared" si="134"/>
        <v>-0.45744680851063829</v>
      </c>
      <c r="J326" s="85">
        <f t="shared" si="135"/>
        <v>-2.7388922702373808E-3</v>
      </c>
      <c r="K326" s="86">
        <f t="shared" si="136"/>
        <v>-0.36742714197466697</v>
      </c>
      <c r="L326" s="87">
        <f t="shared" si="137"/>
        <v>0.1616216575626557</v>
      </c>
      <c r="M326" s="86">
        <f t="shared" si="138"/>
        <v>-0.25884931869667682</v>
      </c>
      <c r="N326" s="87">
        <f t="shared" si="139"/>
        <v>0.31077921641756168</v>
      </c>
      <c r="O326" s="86">
        <f t="shared" si="140"/>
        <v>-0.40741406200810987</v>
      </c>
      <c r="P326" s="87">
        <f t="shared" si="141"/>
        <v>0.16889868188873375</v>
      </c>
      <c r="Q326" s="86">
        <f t="shared" si="142"/>
        <v>-0.36742714197466703</v>
      </c>
      <c r="R326" s="85">
        <f t="shared" si="143"/>
        <v>-0.26901909404530921</v>
      </c>
    </row>
    <row r="327" spans="2:18">
      <c r="B327" s="83"/>
      <c r="C327" s="84">
        <v>63</v>
      </c>
      <c r="D327" s="84">
        <v>64</v>
      </c>
      <c r="E327" s="84">
        <v>1.3516666666666699</v>
      </c>
      <c r="F327" s="78"/>
      <c r="G327" s="85">
        <f t="shared" si="132"/>
        <v>0.57541756895801277</v>
      </c>
      <c r="H327" s="86">
        <f t="shared" si="133"/>
        <v>-0.18253968253968256</v>
      </c>
      <c r="I327" s="85">
        <f t="shared" si="134"/>
        <v>-0.43617021276595747</v>
      </c>
      <c r="J327" s="85">
        <f t="shared" si="135"/>
        <v>0.16443497666869744</v>
      </c>
      <c r="K327" s="86">
        <f t="shared" si="136"/>
        <v>-0.34743368195794555</v>
      </c>
      <c r="L327" s="87">
        <f t="shared" si="137"/>
        <v>0.30275996274966455</v>
      </c>
      <c r="M327" s="86">
        <f t="shared" si="138"/>
        <v>-0.2388558586799554</v>
      </c>
      <c r="N327" s="87">
        <f t="shared" si="139"/>
        <v>0.45191752160457055</v>
      </c>
      <c r="O327" s="86">
        <f t="shared" si="140"/>
        <v>-0.40741406200810987</v>
      </c>
      <c r="P327" s="87">
        <f t="shared" si="141"/>
        <v>0.31367549923878163</v>
      </c>
      <c r="Q327" s="86">
        <f t="shared" si="142"/>
        <v>-0.34743368195794561</v>
      </c>
      <c r="R327" s="85">
        <f t="shared" si="143"/>
        <v>-0.27265760620834828</v>
      </c>
    </row>
    <row r="328" spans="2:18">
      <c r="B328" s="83"/>
      <c r="C328" s="84">
        <v>66</v>
      </c>
      <c r="D328" s="84">
        <v>16</v>
      </c>
      <c r="E328" s="84">
        <v>0.58233333333333304</v>
      </c>
      <c r="F328" s="78"/>
      <c r="G328" s="85">
        <f t="shared" si="132"/>
        <v>0.16990192036103702</v>
      </c>
      <c r="H328" s="86">
        <f t="shared" si="133"/>
        <v>-0.16666666666666669</v>
      </c>
      <c r="I328" s="85">
        <f t="shared" si="134"/>
        <v>-0.5</v>
      </c>
      <c r="J328" s="85">
        <f t="shared" si="135"/>
        <v>-0.30381416108744186</v>
      </c>
      <c r="K328" s="86">
        <f t="shared" si="136"/>
        <v>-0.41284295317200942</v>
      </c>
      <c r="L328" s="87">
        <f t="shared" si="137"/>
        <v>-9.9298027300939451E-2</v>
      </c>
      <c r="M328" s="86">
        <f t="shared" si="138"/>
        <v>-0.29883623873011983</v>
      </c>
      <c r="N328" s="87">
        <f t="shared" si="139"/>
        <v>5.7317409496711824E-2</v>
      </c>
      <c r="O328" s="86">
        <f t="shared" si="140"/>
        <v>-0.41284295317200942</v>
      </c>
      <c r="P328" s="87">
        <f t="shared" si="141"/>
        <v>-9.9298027300939451E-2</v>
      </c>
      <c r="Q328" s="86">
        <f t="shared" si="142"/>
        <v>-0.41284295317200942</v>
      </c>
      <c r="R328" s="85">
        <f t="shared" si="143"/>
        <v>-0.26919994766197647</v>
      </c>
    </row>
    <row r="329" spans="2:18">
      <c r="B329" s="83"/>
      <c r="C329" s="84">
        <v>66</v>
      </c>
      <c r="D329" s="84">
        <v>32</v>
      </c>
      <c r="E329" s="84">
        <v>0.82699999999999996</v>
      </c>
      <c r="F329" s="78"/>
      <c r="G329" s="85">
        <f t="shared" si="132"/>
        <v>0.29886573581605402</v>
      </c>
      <c r="H329" s="86">
        <f t="shared" si="133"/>
        <v>-0.16666666666666669</v>
      </c>
      <c r="I329" s="85">
        <f t="shared" si="134"/>
        <v>-0.47872340425531917</v>
      </c>
      <c r="J329" s="85">
        <f t="shared" si="135"/>
        <v>-0.15489957395009135</v>
      </c>
      <c r="K329" s="86">
        <f t="shared" si="136"/>
        <v>-0.39284949315528794</v>
      </c>
      <c r="L329" s="87">
        <f t="shared" si="137"/>
        <v>2.6027275991038462E-2</v>
      </c>
      <c r="M329" s="86">
        <f t="shared" si="138"/>
        <v>-0.27884277871339835</v>
      </c>
      <c r="N329" s="87">
        <f t="shared" si="139"/>
        <v>0.18264271278868977</v>
      </c>
      <c r="O329" s="86">
        <f t="shared" si="140"/>
        <v>-0.41284295317200936</v>
      </c>
      <c r="P329" s="87">
        <f t="shared" si="141"/>
        <v>2.9665788154077499E-2</v>
      </c>
      <c r="Q329" s="86">
        <f t="shared" si="142"/>
        <v>-0.392849493155288</v>
      </c>
      <c r="R329" s="85">
        <f t="shared" si="143"/>
        <v>-0.27283845982501553</v>
      </c>
    </row>
    <row r="330" spans="2:18">
      <c r="B330" s="83"/>
      <c r="C330" s="84">
        <v>66</v>
      </c>
      <c r="D330" s="84">
        <v>48</v>
      </c>
      <c r="E330" s="84">
        <v>1.1180000000000001</v>
      </c>
      <c r="F330" s="78"/>
      <c r="G330" s="85">
        <f t="shared" si="132"/>
        <v>0.45225185419783842</v>
      </c>
      <c r="H330" s="86">
        <f t="shared" si="133"/>
        <v>-0.16666666666666669</v>
      </c>
      <c r="I330" s="85">
        <f t="shared" si="134"/>
        <v>-0.45744680851063829</v>
      </c>
      <c r="J330" s="85">
        <f t="shared" si="135"/>
        <v>2.2215459525258718E-2</v>
      </c>
      <c r="K330" s="86">
        <f t="shared" si="136"/>
        <v>-0.37285603313856647</v>
      </c>
      <c r="L330" s="87">
        <f t="shared" si="137"/>
        <v>0.17577488220978385</v>
      </c>
      <c r="M330" s="86">
        <f t="shared" si="138"/>
        <v>-0.25884931869667682</v>
      </c>
      <c r="N330" s="87">
        <f t="shared" si="139"/>
        <v>0.3323903190074351</v>
      </c>
      <c r="O330" s="86">
        <f t="shared" si="140"/>
        <v>-0.41284295317200936</v>
      </c>
      <c r="P330" s="87">
        <f t="shared" si="141"/>
        <v>0.18305190653586192</v>
      </c>
      <c r="Q330" s="86">
        <f t="shared" si="142"/>
        <v>-0.37285603313856652</v>
      </c>
      <c r="R330" s="85">
        <f t="shared" si="143"/>
        <v>-0.27647697198805454</v>
      </c>
    </row>
    <row r="331" spans="2:18">
      <c r="B331" s="83"/>
      <c r="C331" s="84">
        <v>66</v>
      </c>
      <c r="D331" s="84">
        <v>64</v>
      </c>
      <c r="E331" s="84">
        <v>1.409</v>
      </c>
      <c r="F331" s="78"/>
      <c r="G331" s="85">
        <f t="shared" si="132"/>
        <v>0.60563797257962271</v>
      </c>
      <c r="H331" s="86">
        <f t="shared" si="133"/>
        <v>-0.16666666666666669</v>
      </c>
      <c r="I331" s="85">
        <f t="shared" si="134"/>
        <v>-0.43617021276595747</v>
      </c>
      <c r="J331" s="85">
        <f t="shared" si="135"/>
        <v>0.19933049300060868</v>
      </c>
      <c r="K331" s="86">
        <f t="shared" si="136"/>
        <v>-0.35286257312184505</v>
      </c>
      <c r="L331" s="87">
        <f t="shared" si="137"/>
        <v>0.32552248842852916</v>
      </c>
      <c r="M331" s="86">
        <f t="shared" si="138"/>
        <v>-0.2388558586799554</v>
      </c>
      <c r="N331" s="87">
        <f t="shared" si="139"/>
        <v>0.48213792522618043</v>
      </c>
      <c r="O331" s="86">
        <f t="shared" si="140"/>
        <v>-0.41284295317200936</v>
      </c>
      <c r="P331" s="87">
        <f t="shared" si="141"/>
        <v>0.33643802491764624</v>
      </c>
      <c r="Q331" s="86">
        <f t="shared" si="142"/>
        <v>-0.3528625731218451</v>
      </c>
      <c r="R331" s="85">
        <f t="shared" si="143"/>
        <v>-0.28011548415109355</v>
      </c>
    </row>
    <row r="332" spans="2:18">
      <c r="B332" s="83"/>
      <c r="C332" s="84">
        <v>69</v>
      </c>
      <c r="D332" s="84">
        <v>16</v>
      </c>
      <c r="E332" s="84">
        <v>0.62933333333333297</v>
      </c>
      <c r="F332" s="78"/>
      <c r="G332" s="85">
        <f t="shared" si="132"/>
        <v>0.19467562332991623</v>
      </c>
      <c r="H332" s="86">
        <f t="shared" si="133"/>
        <v>-0.15079365079365081</v>
      </c>
      <c r="I332" s="85">
        <f t="shared" si="134"/>
        <v>-0.5</v>
      </c>
      <c r="J332" s="85">
        <f t="shared" si="135"/>
        <v>-0.27520795293162936</v>
      </c>
      <c r="K332" s="86">
        <f t="shared" si="136"/>
        <v>-0.41827184433590892</v>
      </c>
      <c r="L332" s="87">
        <f t="shared" si="137"/>
        <v>-8.1982202274805571E-2</v>
      </c>
      <c r="M332" s="86">
        <f t="shared" si="138"/>
        <v>-0.29883623873011983</v>
      </c>
      <c r="N332" s="87">
        <f t="shared" si="139"/>
        <v>8.2091112465591032E-2</v>
      </c>
      <c r="O332" s="86">
        <f t="shared" si="140"/>
        <v>-0.41827184433590892</v>
      </c>
      <c r="P332" s="87">
        <f t="shared" si="141"/>
        <v>-8.1982202274805571E-2</v>
      </c>
      <c r="Q332" s="86">
        <f t="shared" si="142"/>
        <v>-0.41827184433590892</v>
      </c>
      <c r="R332" s="85">
        <f t="shared" si="143"/>
        <v>-0.2766578256047218</v>
      </c>
    </row>
    <row r="333" spans="2:18">
      <c r="B333" s="83"/>
      <c r="C333" s="84">
        <v>69</v>
      </c>
      <c r="D333" s="84">
        <v>32</v>
      </c>
      <c r="E333" s="84">
        <v>0.85266666666666702</v>
      </c>
      <c r="F333" s="78"/>
      <c r="G333" s="85">
        <f t="shared" si="132"/>
        <v>0.31239463743735707</v>
      </c>
      <c r="H333" s="86">
        <f t="shared" si="133"/>
        <v>-0.15079365079365081</v>
      </c>
      <c r="I333" s="85">
        <f t="shared" si="134"/>
        <v>-0.47872340425531917</v>
      </c>
      <c r="J333" s="85">
        <f t="shared" si="135"/>
        <v>-0.13927774396429277</v>
      </c>
      <c r="K333" s="86">
        <f t="shared" si="136"/>
        <v>-0.39827838431918744</v>
      </c>
      <c r="L333" s="87">
        <f t="shared" si="137"/>
        <v>3.2098299669596236E-2</v>
      </c>
      <c r="M333" s="86">
        <f t="shared" si="138"/>
        <v>-0.27884277871339835</v>
      </c>
      <c r="N333" s="87">
        <f t="shared" si="139"/>
        <v>0.19617161440999284</v>
      </c>
      <c r="O333" s="86">
        <f t="shared" si="140"/>
        <v>-0.41827184433590886</v>
      </c>
      <c r="P333" s="87">
        <f t="shared" si="141"/>
        <v>3.5736811832635246E-2</v>
      </c>
      <c r="Q333" s="86">
        <f t="shared" si="142"/>
        <v>-0.3982783843191875</v>
      </c>
      <c r="R333" s="85">
        <f t="shared" si="143"/>
        <v>-0.28029633776776081</v>
      </c>
    </row>
    <row r="334" spans="2:18">
      <c r="B334" s="83"/>
      <c r="C334" s="84">
        <v>69</v>
      </c>
      <c r="D334" s="84">
        <v>48</v>
      </c>
      <c r="E334" s="84">
        <v>1.1546666666666701</v>
      </c>
      <c r="F334" s="78"/>
      <c r="G334" s="85">
        <f t="shared" si="132"/>
        <v>0.47157885651398707</v>
      </c>
      <c r="H334" s="86">
        <f t="shared" si="133"/>
        <v>-0.15079365079365081</v>
      </c>
      <c r="I334" s="85">
        <f t="shared" si="134"/>
        <v>-0.45744680851063829</v>
      </c>
      <c r="J334" s="85">
        <f t="shared" si="135"/>
        <v>4.4532359504972585E-2</v>
      </c>
      <c r="K334" s="86">
        <f t="shared" si="136"/>
        <v>-0.37828492430246596</v>
      </c>
      <c r="L334" s="87">
        <f t="shared" si="137"/>
        <v>0.1876440065831872</v>
      </c>
      <c r="M334" s="86">
        <f t="shared" si="138"/>
        <v>-0.25884931869667682</v>
      </c>
      <c r="N334" s="87">
        <f t="shared" si="139"/>
        <v>0.35171732132358374</v>
      </c>
      <c r="O334" s="86">
        <f t="shared" si="140"/>
        <v>-0.41827184433590886</v>
      </c>
      <c r="P334" s="87">
        <f t="shared" si="141"/>
        <v>0.19492103090926521</v>
      </c>
      <c r="Q334" s="86">
        <f t="shared" si="142"/>
        <v>-0.37828492430246602</v>
      </c>
      <c r="R334" s="85">
        <f t="shared" si="143"/>
        <v>-0.28393484993079987</v>
      </c>
    </row>
    <row r="335" spans="2:18">
      <c r="B335" s="83"/>
      <c r="C335" s="84">
        <v>69</v>
      </c>
      <c r="D335" s="84">
        <v>64</v>
      </c>
      <c r="E335" s="84">
        <v>1.4663333333333299</v>
      </c>
      <c r="F335" s="78"/>
      <c r="G335" s="85">
        <f t="shared" si="132"/>
        <v>0.63585837620123242</v>
      </c>
      <c r="H335" s="86">
        <f t="shared" si="133"/>
        <v>-0.15079365079365081</v>
      </c>
      <c r="I335" s="85">
        <f t="shared" si="134"/>
        <v>-0.43617021276595747</v>
      </c>
      <c r="J335" s="85">
        <f t="shared" si="135"/>
        <v>0.23422600933251969</v>
      </c>
      <c r="K335" s="86">
        <f t="shared" si="136"/>
        <v>-0.35829146428574449</v>
      </c>
      <c r="L335" s="87">
        <f t="shared" si="137"/>
        <v>0.34828501410739354</v>
      </c>
      <c r="M335" s="86">
        <f t="shared" si="138"/>
        <v>-0.2388558586799554</v>
      </c>
      <c r="N335" s="87">
        <f t="shared" si="139"/>
        <v>0.5123583288477902</v>
      </c>
      <c r="O335" s="86">
        <f t="shared" si="140"/>
        <v>-0.4182718443359088</v>
      </c>
      <c r="P335" s="87">
        <f t="shared" si="141"/>
        <v>0.35920055059651063</v>
      </c>
      <c r="Q335" s="86">
        <f t="shared" si="142"/>
        <v>-0.3582914642857446</v>
      </c>
      <c r="R335" s="85">
        <f t="shared" si="143"/>
        <v>-0.28757336209383888</v>
      </c>
    </row>
    <row r="336" spans="2:18">
      <c r="B336" s="83"/>
      <c r="C336" s="84">
        <v>72</v>
      </c>
      <c r="D336" s="84">
        <v>16</v>
      </c>
      <c r="E336" s="84">
        <v>0.63966666666666705</v>
      </c>
      <c r="F336" s="78"/>
      <c r="G336" s="85">
        <f t="shared" si="132"/>
        <v>0.20012232398264893</v>
      </c>
      <c r="H336" s="86">
        <f t="shared" si="133"/>
        <v>-0.13492063492063494</v>
      </c>
      <c r="I336" s="85">
        <f t="shared" si="134"/>
        <v>-0.5</v>
      </c>
      <c r="J336" s="85">
        <f t="shared" si="135"/>
        <v>-0.26891864475552829</v>
      </c>
      <c r="K336" s="86">
        <f t="shared" si="136"/>
        <v>-0.42370073549980841</v>
      </c>
      <c r="L336" s="87">
        <f t="shared" si="137"/>
        <v>-8.3993379564818144E-2</v>
      </c>
      <c r="M336" s="86">
        <f t="shared" si="138"/>
        <v>-0.29883623873011983</v>
      </c>
      <c r="N336" s="87">
        <f t="shared" si="139"/>
        <v>8.7537813118323732E-2</v>
      </c>
      <c r="O336" s="86">
        <f t="shared" si="140"/>
        <v>-0.42370073549980841</v>
      </c>
      <c r="P336" s="87">
        <f t="shared" si="141"/>
        <v>-8.3993379564818144E-2</v>
      </c>
      <c r="Q336" s="86">
        <f t="shared" si="142"/>
        <v>-0.42370073549980841</v>
      </c>
      <c r="R336" s="85">
        <f t="shared" si="143"/>
        <v>-0.28411570354746707</v>
      </c>
    </row>
    <row r="337" spans="2:18">
      <c r="B337" s="83"/>
      <c r="C337" s="84">
        <v>72</v>
      </c>
      <c r="D337" s="84">
        <v>32</v>
      </c>
      <c r="E337" s="84">
        <v>0.87333333333333296</v>
      </c>
      <c r="F337" s="78"/>
      <c r="G337" s="85">
        <f t="shared" si="132"/>
        <v>0.32328803874282125</v>
      </c>
      <c r="H337" s="86">
        <f t="shared" si="133"/>
        <v>-0.13492063492063494</v>
      </c>
      <c r="I337" s="85">
        <f t="shared" si="134"/>
        <v>-0.47872340425531917</v>
      </c>
      <c r="J337" s="85">
        <f t="shared" si="135"/>
        <v>-0.12669912761209196</v>
      </c>
      <c r="K337" s="86">
        <f t="shared" si="136"/>
        <v>-0.40370727548308694</v>
      </c>
      <c r="L337" s="87">
        <f t="shared" si="137"/>
        <v>3.5533823032315184E-2</v>
      </c>
      <c r="M337" s="86">
        <f t="shared" si="138"/>
        <v>-0.27884277871339835</v>
      </c>
      <c r="N337" s="87">
        <f t="shared" si="139"/>
        <v>0.2070650157154571</v>
      </c>
      <c r="O337" s="86">
        <f t="shared" si="140"/>
        <v>-0.42370073549980836</v>
      </c>
      <c r="P337" s="87">
        <f t="shared" si="141"/>
        <v>3.9172335195354221E-2</v>
      </c>
      <c r="Q337" s="86">
        <f t="shared" si="142"/>
        <v>-0.40370727548308699</v>
      </c>
      <c r="R337" s="85">
        <f t="shared" si="143"/>
        <v>-0.28775421571050608</v>
      </c>
    </row>
    <row r="338" spans="2:18">
      <c r="B338" s="83"/>
      <c r="C338" s="84">
        <v>72</v>
      </c>
      <c r="D338" s="84">
        <v>48</v>
      </c>
      <c r="E338" s="84">
        <v>1.196</v>
      </c>
      <c r="F338" s="78"/>
      <c r="G338" s="85">
        <f t="shared" si="132"/>
        <v>0.49336565912491459</v>
      </c>
      <c r="H338" s="86">
        <f t="shared" si="133"/>
        <v>-0.13492063492063494</v>
      </c>
      <c r="I338" s="85">
        <f t="shared" si="134"/>
        <v>-0.45744680851063829</v>
      </c>
      <c r="J338" s="85">
        <f t="shared" si="135"/>
        <v>6.9689592209373097E-2</v>
      </c>
      <c r="K338" s="86">
        <f t="shared" si="136"/>
        <v>-0.38371381546636546</v>
      </c>
      <c r="L338" s="87">
        <f t="shared" si="137"/>
        <v>0.20197293125136942</v>
      </c>
      <c r="M338" s="86">
        <f t="shared" si="138"/>
        <v>-0.25884931869667682</v>
      </c>
      <c r="N338" s="87">
        <f t="shared" si="139"/>
        <v>0.37350412393451127</v>
      </c>
      <c r="O338" s="86">
        <f t="shared" si="140"/>
        <v>-0.42370073549980836</v>
      </c>
      <c r="P338" s="87">
        <f t="shared" si="141"/>
        <v>0.20924995557744749</v>
      </c>
      <c r="Q338" s="86">
        <f t="shared" si="142"/>
        <v>-0.38371381546636552</v>
      </c>
      <c r="R338" s="85">
        <f t="shared" si="143"/>
        <v>-0.29139272787354514</v>
      </c>
    </row>
    <row r="339" spans="2:18">
      <c r="B339" s="83"/>
      <c r="C339" s="84">
        <v>72</v>
      </c>
      <c r="D339" s="84">
        <v>64</v>
      </c>
      <c r="E339" s="84">
        <v>1.5393333333333299</v>
      </c>
      <c r="F339" s="78"/>
      <c r="G339" s="85">
        <f t="shared" si="132"/>
        <v>0.67433668081247045</v>
      </c>
      <c r="H339" s="86">
        <f t="shared" si="133"/>
        <v>-0.13492063492063494</v>
      </c>
      <c r="I339" s="85">
        <f t="shared" si="134"/>
        <v>-0.43617021276595747</v>
      </c>
      <c r="J339" s="85">
        <f t="shared" si="135"/>
        <v>0.27865692838303702</v>
      </c>
      <c r="K339" s="86">
        <f t="shared" si="136"/>
        <v>-0.36372035544964398</v>
      </c>
      <c r="L339" s="87">
        <f t="shared" si="137"/>
        <v>0.37930544077588624</v>
      </c>
      <c r="M339" s="86">
        <f t="shared" si="138"/>
        <v>-0.2388558586799554</v>
      </c>
      <c r="N339" s="87">
        <f t="shared" si="139"/>
        <v>0.55083663345902811</v>
      </c>
      <c r="O339" s="86">
        <f t="shared" si="140"/>
        <v>-0.4237007354998083</v>
      </c>
      <c r="P339" s="87">
        <f t="shared" si="141"/>
        <v>0.39022097726500338</v>
      </c>
      <c r="Q339" s="86">
        <f t="shared" si="142"/>
        <v>-0.36372035544964409</v>
      </c>
      <c r="R339" s="85">
        <f t="shared" si="143"/>
        <v>-0.29503124003658415</v>
      </c>
    </row>
    <row r="340" spans="2:18">
      <c r="B340" s="83"/>
      <c r="C340" s="84">
        <v>75</v>
      </c>
      <c r="D340" s="84">
        <v>16</v>
      </c>
      <c r="E340" s="84">
        <v>0.64966666666666695</v>
      </c>
      <c r="F340" s="78"/>
      <c r="G340" s="85">
        <f t="shared" si="132"/>
        <v>0.20539332461432536</v>
      </c>
      <c r="H340" s="86">
        <f t="shared" si="133"/>
        <v>-0.11904761904761907</v>
      </c>
      <c r="I340" s="85">
        <f t="shared" si="134"/>
        <v>-0.5</v>
      </c>
      <c r="J340" s="85">
        <f t="shared" si="135"/>
        <v>-0.26283221748833419</v>
      </c>
      <c r="K340" s="86">
        <f t="shared" si="136"/>
        <v>-0.42912962666370791</v>
      </c>
      <c r="L340" s="87">
        <f t="shared" si="137"/>
        <v>-8.618025687588704E-2</v>
      </c>
      <c r="M340" s="86">
        <f t="shared" si="138"/>
        <v>-0.29883623873011983</v>
      </c>
      <c r="N340" s="87">
        <f t="shared" si="139"/>
        <v>9.2808813750000135E-2</v>
      </c>
      <c r="O340" s="86">
        <f t="shared" si="140"/>
        <v>-0.42912962666370791</v>
      </c>
      <c r="P340" s="87">
        <f t="shared" si="141"/>
        <v>-8.618025687588704E-2</v>
      </c>
      <c r="Q340" s="86">
        <f t="shared" si="142"/>
        <v>-0.42912962666370791</v>
      </c>
      <c r="R340" s="85">
        <f t="shared" si="143"/>
        <v>-0.2915735814902124</v>
      </c>
    </row>
    <row r="341" spans="2:18">
      <c r="B341" s="83"/>
      <c r="C341" s="84">
        <v>75</v>
      </c>
      <c r="D341" s="84">
        <v>32</v>
      </c>
      <c r="E341" s="84">
        <v>0.88966666666666705</v>
      </c>
      <c r="F341" s="78"/>
      <c r="G341" s="85">
        <f t="shared" si="132"/>
        <v>0.33189733977455987</v>
      </c>
      <c r="H341" s="86">
        <f t="shared" si="133"/>
        <v>-0.11904761904761907</v>
      </c>
      <c r="I341" s="85">
        <f t="shared" si="134"/>
        <v>-0.47872340425531917</v>
      </c>
      <c r="J341" s="85">
        <f t="shared" si="135"/>
        <v>-0.11675796307567438</v>
      </c>
      <c r="K341" s="86">
        <f t="shared" si="136"/>
        <v>-0.40913616664698643</v>
      </c>
      <c r="L341" s="87">
        <f t="shared" si="137"/>
        <v>3.6685246121308468E-2</v>
      </c>
      <c r="M341" s="86">
        <f t="shared" si="138"/>
        <v>-0.27884277871339835</v>
      </c>
      <c r="N341" s="87">
        <f t="shared" si="139"/>
        <v>0.21567431674719567</v>
      </c>
      <c r="O341" s="86">
        <f t="shared" si="140"/>
        <v>-0.42912962666370785</v>
      </c>
      <c r="P341" s="87">
        <f t="shared" si="141"/>
        <v>4.0323758284347505E-2</v>
      </c>
      <c r="Q341" s="86">
        <f t="shared" si="142"/>
        <v>-0.40913616664698649</v>
      </c>
      <c r="R341" s="85">
        <f t="shared" si="143"/>
        <v>-0.29521209365325141</v>
      </c>
    </row>
    <row r="342" spans="2:18">
      <c r="B342" s="83"/>
      <c r="C342" s="84">
        <v>75</v>
      </c>
      <c r="D342" s="84">
        <v>48</v>
      </c>
      <c r="E342" s="84">
        <v>1.2323333333333299</v>
      </c>
      <c r="F342" s="78"/>
      <c r="G342" s="85">
        <f t="shared" si="132"/>
        <v>0.5125169614200038</v>
      </c>
      <c r="H342" s="86">
        <f t="shared" si="133"/>
        <v>-0.11904761904761907</v>
      </c>
      <c r="I342" s="85">
        <f t="shared" si="134"/>
        <v>-0.45744680851063829</v>
      </c>
      <c r="J342" s="85">
        <f t="shared" si="135"/>
        <v>9.1803611280176445E-2</v>
      </c>
      <c r="K342" s="86">
        <f t="shared" si="136"/>
        <v>-0.38914270663026496</v>
      </c>
      <c r="L342" s="87">
        <f t="shared" si="137"/>
        <v>0.21366635560371339</v>
      </c>
      <c r="M342" s="86">
        <f t="shared" si="138"/>
        <v>-0.25884931869667682</v>
      </c>
      <c r="N342" s="87">
        <f t="shared" si="139"/>
        <v>0.39265542622960053</v>
      </c>
      <c r="O342" s="86">
        <f t="shared" si="140"/>
        <v>-0.42912962666370785</v>
      </c>
      <c r="P342" s="87">
        <f t="shared" si="141"/>
        <v>0.22094337992979146</v>
      </c>
      <c r="Q342" s="86">
        <f t="shared" si="142"/>
        <v>-0.38914270663026501</v>
      </c>
      <c r="R342" s="85">
        <f t="shared" si="143"/>
        <v>-0.29885060581629042</v>
      </c>
    </row>
    <row r="343" spans="2:18">
      <c r="B343" s="83"/>
      <c r="C343" s="84">
        <v>78</v>
      </c>
      <c r="D343" s="84">
        <v>16</v>
      </c>
      <c r="E343" s="84">
        <v>0.65500000000000003</v>
      </c>
      <c r="F343" s="78"/>
      <c r="G343" s="85">
        <f t="shared" si="132"/>
        <v>0.2082045249512193</v>
      </c>
      <c r="H343" s="86">
        <f t="shared" si="133"/>
        <v>-0.1031746031746032</v>
      </c>
      <c r="I343" s="85">
        <f t="shared" si="134"/>
        <v>-0.5</v>
      </c>
      <c r="J343" s="85">
        <f t="shared" si="135"/>
        <v>-0.25958612294583078</v>
      </c>
      <c r="K343" s="86">
        <f t="shared" si="136"/>
        <v>-0.4345585178276074</v>
      </c>
      <c r="L343" s="87">
        <f t="shared" si="137"/>
        <v>-9.0826934481738369E-2</v>
      </c>
      <c r="M343" s="86">
        <f t="shared" si="138"/>
        <v>-0.29883623873011983</v>
      </c>
      <c r="N343" s="87">
        <f t="shared" si="139"/>
        <v>9.5620014086894106E-2</v>
      </c>
      <c r="O343" s="86">
        <f t="shared" si="140"/>
        <v>-0.4345585178276074</v>
      </c>
      <c r="P343" s="87">
        <f t="shared" si="141"/>
        <v>-9.0826934481738369E-2</v>
      </c>
      <c r="Q343" s="86">
        <f t="shared" si="142"/>
        <v>-0.4345585178276074</v>
      </c>
      <c r="R343" s="85">
        <f t="shared" si="143"/>
        <v>-0.29903145943295767</v>
      </c>
    </row>
    <row r="344" spans="2:18">
      <c r="B344" s="83"/>
      <c r="C344" s="84">
        <v>78</v>
      </c>
      <c r="D344" s="84">
        <v>32</v>
      </c>
      <c r="E344" s="84">
        <v>0.915333333333333</v>
      </c>
      <c r="F344" s="78"/>
      <c r="G344" s="85">
        <f t="shared" si="132"/>
        <v>0.34542624139586242</v>
      </c>
      <c r="H344" s="86">
        <f t="shared" si="133"/>
        <v>-0.1031746031746032</v>
      </c>
      <c r="I344" s="85">
        <f t="shared" si="134"/>
        <v>-0.47872340425531917</v>
      </c>
      <c r="J344" s="85">
        <f t="shared" si="135"/>
        <v>-0.10113613308987646</v>
      </c>
      <c r="K344" s="86">
        <f t="shared" si="136"/>
        <v>-0.41456505781088593</v>
      </c>
      <c r="L344" s="87">
        <f t="shared" si="137"/>
        <v>4.2756269799865659E-2</v>
      </c>
      <c r="M344" s="86">
        <f t="shared" si="138"/>
        <v>-0.27884277871339835</v>
      </c>
      <c r="N344" s="87">
        <f t="shared" si="139"/>
        <v>0.22920321836849816</v>
      </c>
      <c r="O344" s="86">
        <f t="shared" si="140"/>
        <v>-0.43455851782760735</v>
      </c>
      <c r="P344" s="87">
        <f t="shared" si="141"/>
        <v>4.6394781962904696E-2</v>
      </c>
      <c r="Q344" s="86">
        <f t="shared" si="142"/>
        <v>-0.41456505781088598</v>
      </c>
      <c r="R344" s="85">
        <f t="shared" si="143"/>
        <v>-0.30266997159599673</v>
      </c>
    </row>
    <row r="345" spans="2:18">
      <c r="B345" s="83"/>
      <c r="C345" s="84">
        <v>78</v>
      </c>
      <c r="D345" s="84">
        <v>48</v>
      </c>
      <c r="E345" s="84">
        <v>1.2793333333333301</v>
      </c>
      <c r="F345" s="78"/>
      <c r="G345" s="85">
        <f t="shared" ref="G345:G376" si="144">D$19*(L345-R345)</f>
        <v>0.53729066438888307</v>
      </c>
      <c r="H345" s="86">
        <f t="shared" ref="H345:H376" si="145">(C345-H$16)/H$17-0.5</f>
        <v>-0.1031746031746032</v>
      </c>
      <c r="I345" s="85">
        <f t="shared" ref="I345:I376" si="146">(D345-I$16)/I$17-0.5</f>
        <v>-0.45744680851063829</v>
      </c>
      <c r="J345" s="85">
        <f t="shared" ref="J345:J376" si="147">(E345-J$16)/J$17-0.5</f>
        <v>0.12040981943598905</v>
      </c>
      <c r="K345" s="86">
        <f t="shared" ref="K345:K376" si="148">(H345*$H$13+I345*$I$13+J345*$J$13+$D$27)*$C$27</f>
        <v>-0.39457159779416445</v>
      </c>
      <c r="L345" s="87">
        <f t="shared" ref="L345:L376" si="149">(H345*$H$14+I345*$I$14+J345*$J$14+$E$27)*$C$27</f>
        <v>0.23098218062984738</v>
      </c>
      <c r="M345" s="86">
        <f t="shared" ref="M345:M376" si="150">(H$27*$H$13+I345*$I$13+J345*$J$13+$D$27)*$C$27</f>
        <v>-0.25884931869667682</v>
      </c>
      <c r="N345" s="87">
        <f t="shared" ref="N345:N376" si="151">(H$27*$H$14+I345*$I$14+J345*$J$14+$E$27)*$C$27</f>
        <v>0.41742912919847985</v>
      </c>
      <c r="O345" s="86">
        <f t="shared" ref="O345:O376" si="152">(H345*$H$13+I$27*$I$13+J345*$J$13+$D$27)*$C$27</f>
        <v>-0.43455851782760735</v>
      </c>
      <c r="P345" s="87">
        <f t="shared" ref="P345:P376" si="153">(H345*$H$14+I$27*$I$14+J345*$J$14+$E$27)*$C$27</f>
        <v>0.23825920495592545</v>
      </c>
      <c r="Q345" s="86">
        <f t="shared" ref="Q345:Q376" si="154">(H345*$H$13+I345*$I$13+J$27*$J$13+$D$27)*$C$27</f>
        <v>-0.39457159779416451</v>
      </c>
      <c r="R345" s="85">
        <f t="shared" ref="R345:R376" si="155">(H345*$H$14+I345*$I$14+J$27*$J$14+$E$27)*$C$27</f>
        <v>-0.30630848375903574</v>
      </c>
    </row>
    <row r="346" spans="2:18">
      <c r="B346" s="83"/>
      <c r="C346" s="84">
        <v>81</v>
      </c>
      <c r="D346" s="84">
        <v>16</v>
      </c>
      <c r="E346" s="84">
        <v>0.66033333333333299</v>
      </c>
      <c r="F346" s="78"/>
      <c r="G346" s="85">
        <f t="shared" si="144"/>
        <v>0.21101572528811316</v>
      </c>
      <c r="H346" s="86">
        <f t="shared" si="145"/>
        <v>-8.7301587301587324E-2</v>
      </c>
      <c r="I346" s="85">
        <f t="shared" si="146"/>
        <v>-0.5</v>
      </c>
      <c r="J346" s="85">
        <f t="shared" si="147"/>
        <v>-0.25634002840332748</v>
      </c>
      <c r="K346" s="86">
        <f t="shared" si="148"/>
        <v>-0.43998740899150696</v>
      </c>
      <c r="L346" s="87">
        <f t="shared" si="149"/>
        <v>-9.5473612087589782E-2</v>
      </c>
      <c r="M346" s="86">
        <f t="shared" si="150"/>
        <v>-0.29883623873011983</v>
      </c>
      <c r="N346" s="87">
        <f t="shared" si="151"/>
        <v>9.8431214423787994E-2</v>
      </c>
      <c r="O346" s="86">
        <f t="shared" si="152"/>
        <v>-0.43998740899150696</v>
      </c>
      <c r="P346" s="87">
        <f t="shared" si="153"/>
        <v>-9.5473612087589782E-2</v>
      </c>
      <c r="Q346" s="86">
        <f t="shared" si="154"/>
        <v>-0.43998740899150696</v>
      </c>
      <c r="R346" s="85">
        <f t="shared" si="155"/>
        <v>-0.30648933737570294</v>
      </c>
    </row>
    <row r="347" spans="2:18">
      <c r="B347" s="83"/>
      <c r="C347" s="84">
        <v>81</v>
      </c>
      <c r="D347" s="84">
        <v>32</v>
      </c>
      <c r="E347" s="84">
        <v>0.93066666666666698</v>
      </c>
      <c r="F347" s="78"/>
      <c r="G347" s="85">
        <f t="shared" si="144"/>
        <v>0.35350844236443324</v>
      </c>
      <c r="H347" s="86">
        <f t="shared" si="145"/>
        <v>-8.7301587301587324E-2</v>
      </c>
      <c r="I347" s="85">
        <f t="shared" si="146"/>
        <v>-0.47872340425531917</v>
      </c>
      <c r="J347" s="85">
        <f t="shared" si="147"/>
        <v>-9.1803611280178332E-2</v>
      </c>
      <c r="K347" s="86">
        <f t="shared" si="148"/>
        <v>-0.41999394897478548</v>
      </c>
      <c r="L347" s="87">
        <f t="shared" si="149"/>
        <v>4.3380592825691261E-2</v>
      </c>
      <c r="M347" s="86">
        <f t="shared" si="150"/>
        <v>-0.27884277871339835</v>
      </c>
      <c r="N347" s="87">
        <f t="shared" si="151"/>
        <v>0.23728541933706906</v>
      </c>
      <c r="O347" s="86">
        <f t="shared" si="152"/>
        <v>-0.4399874089915069</v>
      </c>
      <c r="P347" s="87">
        <f t="shared" si="153"/>
        <v>4.7019104988730298E-2</v>
      </c>
      <c r="Q347" s="86">
        <f t="shared" si="154"/>
        <v>-0.41999394897478554</v>
      </c>
      <c r="R347" s="85">
        <f t="shared" si="155"/>
        <v>-0.31012784953874201</v>
      </c>
    </row>
    <row r="348" spans="2:18">
      <c r="B348" s="83"/>
      <c r="C348" s="84">
        <v>81</v>
      </c>
      <c r="D348" s="84">
        <v>48</v>
      </c>
      <c r="E348" s="84">
        <v>1.3153333333333299</v>
      </c>
      <c r="F348" s="78"/>
      <c r="G348" s="85">
        <f t="shared" si="144"/>
        <v>0.55626626666291834</v>
      </c>
      <c r="H348" s="86">
        <f t="shared" si="145"/>
        <v>-8.7301587301587324E-2</v>
      </c>
      <c r="I348" s="85">
        <f t="shared" si="146"/>
        <v>-0.45744680851063829</v>
      </c>
      <c r="J348" s="85">
        <f t="shared" si="147"/>
        <v>0.14232095759788799</v>
      </c>
      <c r="K348" s="86">
        <f t="shared" si="148"/>
        <v>-0.40000048895806395</v>
      </c>
      <c r="L348" s="87">
        <f t="shared" si="149"/>
        <v>0.24249990496113721</v>
      </c>
      <c r="M348" s="86">
        <f t="shared" si="150"/>
        <v>-0.25884931869667682</v>
      </c>
      <c r="N348" s="87">
        <f t="shared" si="151"/>
        <v>0.43640473147251502</v>
      </c>
      <c r="O348" s="86">
        <f t="shared" si="152"/>
        <v>-0.4399874089915069</v>
      </c>
      <c r="P348" s="87">
        <f t="shared" si="153"/>
        <v>0.24977692928721529</v>
      </c>
      <c r="Q348" s="86">
        <f t="shared" si="154"/>
        <v>-0.400000488958064</v>
      </c>
      <c r="R348" s="85">
        <f t="shared" si="155"/>
        <v>-0.31376636170178107</v>
      </c>
    </row>
    <row r="349" spans="2:18">
      <c r="B349" s="83"/>
      <c r="C349" s="84">
        <v>84</v>
      </c>
      <c r="D349" s="84">
        <v>16</v>
      </c>
      <c r="E349" s="84">
        <v>0.67100000000000004</v>
      </c>
      <c r="F349" s="78"/>
      <c r="G349" s="85">
        <f t="shared" si="144"/>
        <v>0.21663812596190163</v>
      </c>
      <c r="H349" s="86">
        <f t="shared" si="145"/>
        <v>-7.1428571428571452E-2</v>
      </c>
      <c r="I349" s="85">
        <f t="shared" si="146"/>
        <v>-0.5</v>
      </c>
      <c r="J349" s="85">
        <f t="shared" si="147"/>
        <v>-0.24984783931832011</v>
      </c>
      <c r="K349" s="86">
        <f t="shared" si="148"/>
        <v>-0.44541630015540645</v>
      </c>
      <c r="L349" s="87">
        <f t="shared" si="149"/>
        <v>-9.7309089356546641E-2</v>
      </c>
      <c r="M349" s="86">
        <f t="shared" si="150"/>
        <v>-0.29883623873011983</v>
      </c>
      <c r="N349" s="87">
        <f t="shared" si="151"/>
        <v>0.10405361509757644</v>
      </c>
      <c r="O349" s="86">
        <f t="shared" si="152"/>
        <v>-0.44541630015540645</v>
      </c>
      <c r="P349" s="87">
        <f t="shared" si="153"/>
        <v>-9.7309089356546641E-2</v>
      </c>
      <c r="Q349" s="86">
        <f t="shared" si="154"/>
        <v>-0.44541630015540645</v>
      </c>
      <c r="R349" s="85">
        <f t="shared" si="155"/>
        <v>-0.31394721531844827</v>
      </c>
    </row>
    <row r="350" spans="2:18">
      <c r="B350" s="83"/>
      <c r="C350" s="84">
        <v>84</v>
      </c>
      <c r="D350" s="84">
        <v>32</v>
      </c>
      <c r="E350" s="84">
        <v>0.95199999999999996</v>
      </c>
      <c r="F350" s="78"/>
      <c r="G350" s="85">
        <f t="shared" si="144"/>
        <v>0.36475324371200946</v>
      </c>
      <c r="H350" s="86">
        <f t="shared" si="145"/>
        <v>-7.1428571428571452E-2</v>
      </c>
      <c r="I350" s="85">
        <f t="shared" si="146"/>
        <v>-0.47872340425531917</v>
      </c>
      <c r="J350" s="85">
        <f t="shared" si="147"/>
        <v>-7.8819233110164366E-2</v>
      </c>
      <c r="K350" s="86">
        <f t="shared" si="148"/>
        <v>-0.42542284013868498</v>
      </c>
      <c r="L350" s="87">
        <f t="shared" si="149"/>
        <v>4.716751623052215E-2</v>
      </c>
      <c r="M350" s="86">
        <f t="shared" si="150"/>
        <v>-0.27884277871339835</v>
      </c>
      <c r="N350" s="87">
        <f t="shared" si="151"/>
        <v>0.24853022068464525</v>
      </c>
      <c r="O350" s="86">
        <f t="shared" si="152"/>
        <v>-0.4454163001554064</v>
      </c>
      <c r="P350" s="87">
        <f t="shared" si="153"/>
        <v>5.0806028393561187E-2</v>
      </c>
      <c r="Q350" s="86">
        <f t="shared" si="154"/>
        <v>-0.42542284013868503</v>
      </c>
      <c r="R350" s="85">
        <f t="shared" si="155"/>
        <v>-0.31758572748148728</v>
      </c>
    </row>
    <row r="351" spans="2:18">
      <c r="B351" s="83"/>
      <c r="C351" s="84">
        <v>84</v>
      </c>
      <c r="D351" s="84">
        <v>48</v>
      </c>
      <c r="E351" s="84">
        <v>1.357</v>
      </c>
      <c r="F351" s="78"/>
      <c r="G351" s="85">
        <f t="shared" si="144"/>
        <v>0.5782287692949053</v>
      </c>
      <c r="H351" s="86">
        <f t="shared" si="145"/>
        <v>-7.1428571428571452E-2</v>
      </c>
      <c r="I351" s="85">
        <f t="shared" si="146"/>
        <v>-0.45744680851063829</v>
      </c>
      <c r="J351" s="85">
        <f t="shared" si="147"/>
        <v>0.16768107121119902</v>
      </c>
      <c r="K351" s="86">
        <f t="shared" si="148"/>
        <v>-0.4054293801219635</v>
      </c>
      <c r="L351" s="87">
        <f t="shared" si="149"/>
        <v>0.2570045296503789</v>
      </c>
      <c r="M351" s="86">
        <f t="shared" si="150"/>
        <v>-0.25884931869667682</v>
      </c>
      <c r="N351" s="87">
        <f t="shared" si="151"/>
        <v>0.45836723410450197</v>
      </c>
      <c r="O351" s="86">
        <f t="shared" si="152"/>
        <v>-0.4454163001554064</v>
      </c>
      <c r="P351" s="87">
        <f t="shared" si="153"/>
        <v>0.26428155397645692</v>
      </c>
      <c r="Q351" s="86">
        <f t="shared" si="154"/>
        <v>-0.40542938012196356</v>
      </c>
      <c r="R351" s="85">
        <f t="shared" si="155"/>
        <v>-0.32122423964452634</v>
      </c>
    </row>
    <row r="352" spans="2:18">
      <c r="B352" s="83"/>
      <c r="C352" s="84">
        <v>87</v>
      </c>
      <c r="D352" s="84">
        <v>16</v>
      </c>
      <c r="E352" s="84">
        <v>0.68100000000000005</v>
      </c>
      <c r="F352" s="78"/>
      <c r="G352" s="85">
        <f t="shared" si="144"/>
        <v>0.22190912659357809</v>
      </c>
      <c r="H352" s="86">
        <f t="shared" si="145"/>
        <v>-5.555555555555558E-2</v>
      </c>
      <c r="I352" s="85">
        <f t="shared" si="146"/>
        <v>-0.5</v>
      </c>
      <c r="J352" s="85">
        <f t="shared" si="147"/>
        <v>-0.24376141205112595</v>
      </c>
      <c r="K352" s="86">
        <f t="shared" si="148"/>
        <v>-0.45084519131930595</v>
      </c>
      <c r="L352" s="87">
        <f t="shared" si="149"/>
        <v>-9.949596666761551E-2</v>
      </c>
      <c r="M352" s="86">
        <f t="shared" si="150"/>
        <v>-0.29883623873011983</v>
      </c>
      <c r="N352" s="87">
        <f t="shared" si="151"/>
        <v>0.10932461572925287</v>
      </c>
      <c r="O352" s="86">
        <f t="shared" si="152"/>
        <v>-0.45084519131930595</v>
      </c>
      <c r="P352" s="87">
        <f t="shared" si="153"/>
        <v>-9.949596666761551E-2</v>
      </c>
      <c r="Q352" s="86">
        <f t="shared" si="154"/>
        <v>-0.45084519131930595</v>
      </c>
      <c r="R352" s="85">
        <f t="shared" si="155"/>
        <v>-0.3214050932611936</v>
      </c>
    </row>
    <row r="353" spans="2:18">
      <c r="B353" s="83"/>
      <c r="C353" s="84">
        <v>87</v>
      </c>
      <c r="D353" s="84">
        <v>32</v>
      </c>
      <c r="E353" s="84">
        <v>0.96733333333333305</v>
      </c>
      <c r="F353" s="78"/>
      <c r="G353" s="85">
        <f t="shared" si="144"/>
        <v>0.37283544468057989</v>
      </c>
      <c r="H353" s="86">
        <f t="shared" si="145"/>
        <v>-5.555555555555558E-2</v>
      </c>
      <c r="I353" s="85">
        <f t="shared" si="146"/>
        <v>-0.47872340425531917</v>
      </c>
      <c r="J353" s="85">
        <f t="shared" si="147"/>
        <v>-6.9486711300466797E-2</v>
      </c>
      <c r="K353" s="86">
        <f t="shared" si="148"/>
        <v>-0.43085173130258447</v>
      </c>
      <c r="L353" s="87">
        <f t="shared" si="149"/>
        <v>4.7791839256347286E-2</v>
      </c>
      <c r="M353" s="86">
        <f t="shared" si="150"/>
        <v>-0.27884277871339835</v>
      </c>
      <c r="N353" s="87">
        <f t="shared" si="151"/>
        <v>0.25661242165321568</v>
      </c>
      <c r="O353" s="86">
        <f t="shared" si="152"/>
        <v>-0.45084519131930589</v>
      </c>
      <c r="P353" s="87">
        <f t="shared" si="153"/>
        <v>5.143035141938631E-2</v>
      </c>
      <c r="Q353" s="86">
        <f t="shared" si="154"/>
        <v>-0.43085173130258453</v>
      </c>
      <c r="R353" s="85">
        <f t="shared" si="155"/>
        <v>-0.32504360542423261</v>
      </c>
    </row>
    <row r="354" spans="2:18">
      <c r="B354" s="83"/>
      <c r="C354" s="84">
        <v>87</v>
      </c>
      <c r="D354" s="84">
        <v>48</v>
      </c>
      <c r="E354" s="84">
        <v>1.4039999999999999</v>
      </c>
      <c r="F354" s="78"/>
      <c r="G354" s="85">
        <f t="shared" si="144"/>
        <v>0.60300247226378434</v>
      </c>
      <c r="H354" s="86">
        <f t="shared" si="145"/>
        <v>-5.555555555555558E-2</v>
      </c>
      <c r="I354" s="85">
        <f t="shared" si="146"/>
        <v>-0.45744680851063829</v>
      </c>
      <c r="J354" s="85">
        <f t="shared" si="147"/>
        <v>0.19628727936701151</v>
      </c>
      <c r="K354" s="86">
        <f t="shared" si="148"/>
        <v>-0.410858271285863</v>
      </c>
      <c r="L354" s="87">
        <f t="shared" si="149"/>
        <v>0.27432035467651278</v>
      </c>
      <c r="M354" s="86">
        <f t="shared" si="150"/>
        <v>-0.25884931869667682</v>
      </c>
      <c r="N354" s="87">
        <f t="shared" si="151"/>
        <v>0.48314093707338113</v>
      </c>
      <c r="O354" s="86">
        <f t="shared" si="152"/>
        <v>-0.45084519131930589</v>
      </c>
      <c r="P354" s="87">
        <f t="shared" si="153"/>
        <v>0.28159737900259085</v>
      </c>
      <c r="Q354" s="86">
        <f t="shared" si="154"/>
        <v>-0.41085827128586305</v>
      </c>
      <c r="R354" s="85">
        <f t="shared" si="155"/>
        <v>-0.32868211758727162</v>
      </c>
    </row>
    <row r="355" spans="2:18">
      <c r="B355" s="83"/>
      <c r="C355" s="84">
        <v>90</v>
      </c>
      <c r="D355" s="84">
        <v>16</v>
      </c>
      <c r="E355" s="84">
        <v>0.68633333333333302</v>
      </c>
      <c r="F355" s="78"/>
      <c r="G355" s="85">
        <f t="shared" si="144"/>
        <v>0.22472032693047195</v>
      </c>
      <c r="H355" s="86">
        <f t="shared" si="145"/>
        <v>-3.9682539682539708E-2</v>
      </c>
      <c r="I355" s="85">
        <f t="shared" si="146"/>
        <v>-0.5</v>
      </c>
      <c r="J355" s="85">
        <f t="shared" si="147"/>
        <v>-0.24051531750862265</v>
      </c>
      <c r="K355" s="86">
        <f t="shared" si="148"/>
        <v>-0.45627408248320545</v>
      </c>
      <c r="L355" s="87">
        <f t="shared" si="149"/>
        <v>-0.10414264427346692</v>
      </c>
      <c r="M355" s="86">
        <f t="shared" si="150"/>
        <v>-0.29883623873011983</v>
      </c>
      <c r="N355" s="87">
        <f t="shared" si="151"/>
        <v>0.11213581606614675</v>
      </c>
      <c r="O355" s="86">
        <f t="shared" si="152"/>
        <v>-0.45627408248320545</v>
      </c>
      <c r="P355" s="87">
        <f t="shared" si="153"/>
        <v>-0.10414264427346692</v>
      </c>
      <c r="Q355" s="86">
        <f t="shared" si="154"/>
        <v>-0.45627408248320545</v>
      </c>
      <c r="R355" s="85">
        <f t="shared" si="155"/>
        <v>-0.32886297120393887</v>
      </c>
    </row>
    <row r="356" spans="2:18">
      <c r="B356" s="83"/>
      <c r="C356" s="84">
        <v>90</v>
      </c>
      <c r="D356" s="84">
        <v>32</v>
      </c>
      <c r="E356" s="84">
        <v>0.99833333333333296</v>
      </c>
      <c r="F356" s="78"/>
      <c r="G356" s="85">
        <f t="shared" si="144"/>
        <v>0.38917554663877674</v>
      </c>
      <c r="H356" s="86">
        <f t="shared" si="145"/>
        <v>-3.9682539682539708E-2</v>
      </c>
      <c r="I356" s="85">
        <f t="shared" si="146"/>
        <v>-0.47872340425531917</v>
      </c>
      <c r="J356" s="85">
        <f t="shared" si="147"/>
        <v>-5.061878677216497E-2</v>
      </c>
      <c r="K356" s="86">
        <f t="shared" si="148"/>
        <v>-0.43628062246648397</v>
      </c>
      <c r="L356" s="87">
        <f t="shared" si="149"/>
        <v>5.6674063271798886E-2</v>
      </c>
      <c r="M356" s="86">
        <f t="shared" si="150"/>
        <v>-0.27884277871339835</v>
      </c>
      <c r="N356" s="87">
        <f t="shared" si="151"/>
        <v>0.27295252361141259</v>
      </c>
      <c r="O356" s="86">
        <f t="shared" si="152"/>
        <v>-0.45627408248320539</v>
      </c>
      <c r="P356" s="87">
        <f t="shared" si="153"/>
        <v>6.0312575434837909E-2</v>
      </c>
      <c r="Q356" s="86">
        <f t="shared" si="154"/>
        <v>-0.43628062246648402</v>
      </c>
      <c r="R356" s="85">
        <f t="shared" si="155"/>
        <v>-0.33250148336697788</v>
      </c>
    </row>
    <row r="357" spans="2:18">
      <c r="B357" s="83"/>
      <c r="C357" s="84">
        <v>90</v>
      </c>
      <c r="D357" s="84">
        <v>48</v>
      </c>
      <c r="E357" s="84">
        <v>1.4510000000000001</v>
      </c>
      <c r="F357" s="78"/>
      <c r="G357" s="85">
        <f t="shared" si="144"/>
        <v>0.62777617523266382</v>
      </c>
      <c r="H357" s="86">
        <f t="shared" si="145"/>
        <v>-3.9682539682539708E-2</v>
      </c>
      <c r="I357" s="85">
        <f t="shared" si="146"/>
        <v>-0.45744680851063829</v>
      </c>
      <c r="J357" s="85">
        <f t="shared" si="147"/>
        <v>0.22489348752282412</v>
      </c>
      <c r="K357" s="86">
        <f t="shared" si="148"/>
        <v>-0.41628716244976249</v>
      </c>
      <c r="L357" s="87">
        <f t="shared" si="149"/>
        <v>0.29163617970264682</v>
      </c>
      <c r="M357" s="86">
        <f t="shared" si="150"/>
        <v>-0.25884931869667682</v>
      </c>
      <c r="N357" s="87">
        <f t="shared" si="151"/>
        <v>0.5079146400422605</v>
      </c>
      <c r="O357" s="86">
        <f t="shared" si="152"/>
        <v>-0.45627408248320539</v>
      </c>
      <c r="P357" s="87">
        <f t="shared" si="153"/>
        <v>0.2989132040287249</v>
      </c>
      <c r="Q357" s="86">
        <f t="shared" si="154"/>
        <v>-0.41628716244976255</v>
      </c>
      <c r="R357" s="85">
        <f t="shared" si="155"/>
        <v>-0.33613999553001694</v>
      </c>
    </row>
    <row r="358" spans="2:18">
      <c r="B358" s="83"/>
      <c r="C358" s="84">
        <v>93</v>
      </c>
      <c r="D358" s="84">
        <v>16</v>
      </c>
      <c r="E358" s="84">
        <v>0.68633333333333302</v>
      </c>
      <c r="F358" s="78"/>
      <c r="G358" s="85">
        <f t="shared" si="144"/>
        <v>0.22472032693047192</v>
      </c>
      <c r="H358" s="86">
        <f t="shared" si="145"/>
        <v>-2.3809523809523836E-2</v>
      </c>
      <c r="I358" s="85">
        <f t="shared" si="146"/>
        <v>-0.5</v>
      </c>
      <c r="J358" s="85">
        <f t="shared" si="147"/>
        <v>-0.24051531750862265</v>
      </c>
      <c r="K358" s="86">
        <f t="shared" si="148"/>
        <v>-0.46170297364710494</v>
      </c>
      <c r="L358" s="87">
        <f t="shared" si="149"/>
        <v>-0.11160052221621222</v>
      </c>
      <c r="M358" s="86">
        <f t="shared" si="150"/>
        <v>-0.29883623873011983</v>
      </c>
      <c r="N358" s="87">
        <f t="shared" si="151"/>
        <v>0.11213581606614675</v>
      </c>
      <c r="O358" s="86">
        <f t="shared" si="152"/>
        <v>-0.46170297364710494</v>
      </c>
      <c r="P358" s="87">
        <f t="shared" si="153"/>
        <v>-0.11160052221621222</v>
      </c>
      <c r="Q358" s="86">
        <f t="shared" si="154"/>
        <v>-0.46170297364710494</v>
      </c>
      <c r="R358" s="85">
        <f t="shared" si="155"/>
        <v>-0.33632084914668414</v>
      </c>
    </row>
    <row r="359" spans="2:18">
      <c r="B359" s="83"/>
      <c r="C359" s="84">
        <v>93</v>
      </c>
      <c r="D359" s="84">
        <v>32</v>
      </c>
      <c r="E359" s="84">
        <v>1.014</v>
      </c>
      <c r="F359" s="78"/>
      <c r="G359" s="85">
        <f t="shared" si="144"/>
        <v>0.39743344762840344</v>
      </c>
      <c r="H359" s="86">
        <f t="shared" si="145"/>
        <v>-2.3809523809523836E-2</v>
      </c>
      <c r="I359" s="85">
        <f t="shared" si="146"/>
        <v>-0.47872340425531917</v>
      </c>
      <c r="J359" s="85">
        <f t="shared" si="147"/>
        <v>-4.1083384053560545E-2</v>
      </c>
      <c r="K359" s="86">
        <f t="shared" si="148"/>
        <v>-0.44170951363038347</v>
      </c>
      <c r="L359" s="87">
        <f t="shared" si="149"/>
        <v>5.7474086318680222E-2</v>
      </c>
      <c r="M359" s="86">
        <f t="shared" si="150"/>
        <v>-0.27884277871339835</v>
      </c>
      <c r="N359" s="87">
        <f t="shared" si="151"/>
        <v>0.28121042460103923</v>
      </c>
      <c r="O359" s="86">
        <f t="shared" si="152"/>
        <v>-0.46170297364710489</v>
      </c>
      <c r="P359" s="87">
        <f t="shared" si="153"/>
        <v>6.1112598481719245E-2</v>
      </c>
      <c r="Q359" s="86">
        <f t="shared" si="154"/>
        <v>-0.44170951363038352</v>
      </c>
      <c r="R359" s="85">
        <f t="shared" si="155"/>
        <v>-0.33995936130972321</v>
      </c>
    </row>
    <row r="360" spans="2:18">
      <c r="B360" s="83"/>
      <c r="C360" s="84">
        <v>93</v>
      </c>
      <c r="D360" s="84">
        <v>48</v>
      </c>
      <c r="E360" s="84">
        <v>1.49766666666667</v>
      </c>
      <c r="F360" s="78"/>
      <c r="G360" s="85">
        <f t="shared" si="144"/>
        <v>0.65237417818048882</v>
      </c>
      <c r="H360" s="86">
        <f t="shared" si="145"/>
        <v>-2.3809523809523836E-2</v>
      </c>
      <c r="I360" s="85">
        <f t="shared" si="146"/>
        <v>-0.45744680851063829</v>
      </c>
      <c r="J360" s="85">
        <f t="shared" si="147"/>
        <v>0.2532968147697322</v>
      </c>
      <c r="K360" s="86">
        <f t="shared" si="148"/>
        <v>-0.42171605361366193</v>
      </c>
      <c r="L360" s="87">
        <f t="shared" si="149"/>
        <v>0.30877630470772666</v>
      </c>
      <c r="M360" s="86">
        <f t="shared" si="150"/>
        <v>-0.25884931869667677</v>
      </c>
      <c r="N360" s="87">
        <f t="shared" si="151"/>
        <v>0.53251264299008561</v>
      </c>
      <c r="O360" s="86">
        <f t="shared" si="152"/>
        <v>-0.46170297364710483</v>
      </c>
      <c r="P360" s="87">
        <f t="shared" si="153"/>
        <v>0.31605332903380468</v>
      </c>
      <c r="Q360" s="86">
        <f t="shared" si="154"/>
        <v>-0.42171605361366205</v>
      </c>
      <c r="R360" s="85">
        <f t="shared" si="155"/>
        <v>-0.34359787347276222</v>
      </c>
    </row>
    <row r="361" spans="2:18">
      <c r="B361" s="83"/>
      <c r="C361" s="84">
        <v>96</v>
      </c>
      <c r="D361" s="84">
        <v>16</v>
      </c>
      <c r="E361" s="84">
        <v>1.331</v>
      </c>
      <c r="F361" s="78"/>
      <c r="G361" s="85">
        <f t="shared" si="144"/>
        <v>0.56452416765254643</v>
      </c>
      <c r="H361" s="86">
        <f t="shared" si="145"/>
        <v>-7.9365079365079638E-3</v>
      </c>
      <c r="I361" s="85">
        <f t="shared" si="146"/>
        <v>-0.5</v>
      </c>
      <c r="J361" s="85">
        <f t="shared" si="147"/>
        <v>0.15185636031649419</v>
      </c>
      <c r="K361" s="86">
        <f t="shared" si="148"/>
        <v>-0.46713186481100438</v>
      </c>
      <c r="L361" s="87">
        <f t="shared" si="149"/>
        <v>0.22074544056311698</v>
      </c>
      <c r="M361" s="86">
        <f t="shared" si="150"/>
        <v>-0.29883623873011977</v>
      </c>
      <c r="N361" s="87">
        <f t="shared" si="151"/>
        <v>0.45193965678822123</v>
      </c>
      <c r="O361" s="86">
        <f t="shared" si="152"/>
        <v>-0.46713186481100438</v>
      </c>
      <c r="P361" s="87">
        <f t="shared" si="153"/>
        <v>0.22074544056311698</v>
      </c>
      <c r="Q361" s="86">
        <f t="shared" si="154"/>
        <v>-0.46713186481100444</v>
      </c>
      <c r="R361" s="85">
        <f t="shared" si="155"/>
        <v>-0.34377872708942947</v>
      </c>
    </row>
    <row r="362" spans="2:18">
      <c r="B362" s="83"/>
      <c r="C362" s="84">
        <v>96</v>
      </c>
      <c r="D362" s="84">
        <v>32</v>
      </c>
      <c r="E362" s="84">
        <v>1.04</v>
      </c>
      <c r="F362" s="78"/>
      <c r="G362" s="85">
        <f t="shared" si="144"/>
        <v>0.41113804927076214</v>
      </c>
      <c r="H362" s="86">
        <f t="shared" si="145"/>
        <v>-7.9365079365079638E-3</v>
      </c>
      <c r="I362" s="85">
        <f t="shared" si="146"/>
        <v>-0.47872340425531917</v>
      </c>
      <c r="J362" s="85">
        <f t="shared" si="147"/>
        <v>-2.5258673158855716E-2</v>
      </c>
      <c r="K362" s="86">
        <f t="shared" si="148"/>
        <v>-0.44713840479428296</v>
      </c>
      <c r="L362" s="87">
        <f t="shared" si="149"/>
        <v>6.3720810018293675E-2</v>
      </c>
      <c r="M362" s="86">
        <f t="shared" si="150"/>
        <v>-0.27884277871339835</v>
      </c>
      <c r="N362" s="87">
        <f t="shared" si="151"/>
        <v>0.29491502624339794</v>
      </c>
      <c r="O362" s="86">
        <f t="shared" si="152"/>
        <v>-0.46713186481100438</v>
      </c>
      <c r="P362" s="87">
        <f t="shared" si="153"/>
        <v>6.7359322181332698E-2</v>
      </c>
      <c r="Q362" s="86">
        <f t="shared" si="154"/>
        <v>-0.44713840479428302</v>
      </c>
      <c r="R362" s="85">
        <f t="shared" si="155"/>
        <v>-0.34741723925246848</v>
      </c>
    </row>
    <row r="363" spans="2:18">
      <c r="B363" s="83"/>
      <c r="C363" s="84">
        <v>96</v>
      </c>
      <c r="D363" s="84">
        <v>48</v>
      </c>
      <c r="E363" s="84">
        <v>1.55</v>
      </c>
      <c r="F363" s="78"/>
      <c r="G363" s="85">
        <f t="shared" si="144"/>
        <v>0.6799590814862605</v>
      </c>
      <c r="H363" s="86">
        <f t="shared" si="145"/>
        <v>-7.9365079365079638E-3</v>
      </c>
      <c r="I363" s="85">
        <f t="shared" si="146"/>
        <v>-0.45744680851063829</v>
      </c>
      <c r="J363" s="85">
        <f t="shared" si="147"/>
        <v>0.28514911746804628</v>
      </c>
      <c r="K363" s="86">
        <f t="shared" si="148"/>
        <v>-0.42714494477756143</v>
      </c>
      <c r="L363" s="87">
        <f t="shared" si="149"/>
        <v>0.32890333007075295</v>
      </c>
      <c r="M363" s="86">
        <f t="shared" si="150"/>
        <v>-0.25884931869667677</v>
      </c>
      <c r="N363" s="87">
        <f t="shared" si="151"/>
        <v>0.56009754629585717</v>
      </c>
      <c r="O363" s="86">
        <f t="shared" si="152"/>
        <v>-0.46713186481100433</v>
      </c>
      <c r="P363" s="87">
        <f t="shared" si="153"/>
        <v>0.33618035439683103</v>
      </c>
      <c r="Q363" s="86">
        <f t="shared" si="154"/>
        <v>-0.42714494477756154</v>
      </c>
      <c r="R363" s="85">
        <f t="shared" si="155"/>
        <v>-0.35105575141550754</v>
      </c>
    </row>
    <row r="364" spans="2:18">
      <c r="B364" s="83"/>
      <c r="C364" s="84">
        <v>99</v>
      </c>
      <c r="D364" s="84">
        <v>16</v>
      </c>
      <c r="E364" s="84">
        <v>1.3516666666666699</v>
      </c>
      <c r="F364" s="78"/>
      <c r="G364" s="85">
        <f t="shared" si="144"/>
        <v>0.57541756895801288</v>
      </c>
      <c r="H364" s="86">
        <f t="shared" si="145"/>
        <v>7.9365079365079083E-3</v>
      </c>
      <c r="I364" s="85">
        <f t="shared" si="146"/>
        <v>-0.5</v>
      </c>
      <c r="J364" s="85">
        <f t="shared" si="147"/>
        <v>0.16443497666869744</v>
      </c>
      <c r="K364" s="86">
        <f t="shared" si="148"/>
        <v>-0.47256075597490388</v>
      </c>
      <c r="L364" s="87">
        <f t="shared" si="149"/>
        <v>0.22418096392583806</v>
      </c>
      <c r="M364" s="86">
        <f t="shared" si="150"/>
        <v>-0.29883623873011977</v>
      </c>
      <c r="N364" s="87">
        <f t="shared" si="151"/>
        <v>0.46283305809368763</v>
      </c>
      <c r="O364" s="86">
        <f t="shared" si="152"/>
        <v>-0.47256075597490388</v>
      </c>
      <c r="P364" s="87">
        <f t="shared" si="153"/>
        <v>0.22418096392583806</v>
      </c>
      <c r="Q364" s="86">
        <f t="shared" si="154"/>
        <v>-0.47256075597490393</v>
      </c>
      <c r="R364" s="85">
        <f t="shared" si="155"/>
        <v>-0.3512366050321748</v>
      </c>
    </row>
    <row r="365" spans="2:18">
      <c r="B365" s="83"/>
      <c r="C365" s="84">
        <v>99</v>
      </c>
      <c r="D365" s="84">
        <v>32</v>
      </c>
      <c r="E365" s="84">
        <v>1.0609999999999999</v>
      </c>
      <c r="F365" s="78"/>
      <c r="G365" s="85">
        <f t="shared" si="144"/>
        <v>0.42220715059728264</v>
      </c>
      <c r="H365" s="86">
        <f t="shared" si="145"/>
        <v>7.9365079365079083E-3</v>
      </c>
      <c r="I365" s="85">
        <f t="shared" si="146"/>
        <v>-0.47872340425531917</v>
      </c>
      <c r="J365" s="85">
        <f t="shared" si="147"/>
        <v>-1.247717589774805E-2</v>
      </c>
      <c r="K365" s="86">
        <f t="shared" si="148"/>
        <v>-0.45256729595818246</v>
      </c>
      <c r="L365" s="87">
        <f t="shared" si="149"/>
        <v>6.7332033402068836E-2</v>
      </c>
      <c r="M365" s="86">
        <f t="shared" si="150"/>
        <v>-0.27884277871339835</v>
      </c>
      <c r="N365" s="87">
        <f t="shared" si="151"/>
        <v>0.30598412756991844</v>
      </c>
      <c r="O365" s="86">
        <f t="shared" si="152"/>
        <v>-0.47256075597490388</v>
      </c>
      <c r="P365" s="87">
        <f t="shared" si="153"/>
        <v>7.0970545565107859E-2</v>
      </c>
      <c r="Q365" s="86">
        <f t="shared" si="154"/>
        <v>-0.45256729595818251</v>
      </c>
      <c r="R365" s="85">
        <f t="shared" si="155"/>
        <v>-0.35487511719521381</v>
      </c>
    </row>
    <row r="366" spans="2:18">
      <c r="B366" s="83"/>
      <c r="C366" s="84">
        <v>102</v>
      </c>
      <c r="D366" s="84">
        <v>16</v>
      </c>
      <c r="E366" s="84">
        <v>1.3623333333333301</v>
      </c>
      <c r="F366" s="78"/>
      <c r="G366" s="85">
        <f t="shared" si="144"/>
        <v>0.5810399696317976</v>
      </c>
      <c r="H366" s="86">
        <f t="shared" si="145"/>
        <v>2.3809523809523836E-2</v>
      </c>
      <c r="I366" s="85">
        <f t="shared" si="146"/>
        <v>-0.5</v>
      </c>
      <c r="J366" s="85">
        <f t="shared" si="147"/>
        <v>0.17092716575370059</v>
      </c>
      <c r="K366" s="86">
        <f t="shared" si="148"/>
        <v>-0.47798964713880343</v>
      </c>
      <c r="L366" s="87">
        <f t="shared" si="149"/>
        <v>0.22234548665687751</v>
      </c>
      <c r="M366" s="86">
        <f t="shared" si="150"/>
        <v>-0.29883623873011977</v>
      </c>
      <c r="N366" s="87">
        <f t="shared" si="151"/>
        <v>0.46845545876747241</v>
      </c>
      <c r="O366" s="86">
        <f t="shared" si="152"/>
        <v>-0.47798964713880343</v>
      </c>
      <c r="P366" s="87">
        <f t="shared" si="153"/>
        <v>0.22234548665687751</v>
      </c>
      <c r="Q366" s="86">
        <f t="shared" si="154"/>
        <v>-0.47798964713880349</v>
      </c>
      <c r="R366" s="85">
        <f t="shared" si="155"/>
        <v>-0.35869448297492013</v>
      </c>
    </row>
    <row r="367" spans="2:18">
      <c r="B367" s="83"/>
      <c r="C367" s="84">
        <v>102</v>
      </c>
      <c r="D367" s="84">
        <v>32</v>
      </c>
      <c r="E367" s="84">
        <v>1.0920000000000001</v>
      </c>
      <c r="F367" s="78"/>
      <c r="G367" s="85">
        <f t="shared" si="144"/>
        <v>0.43854725255547966</v>
      </c>
      <c r="H367" s="86">
        <f t="shared" si="145"/>
        <v>2.3809523809523836E-2</v>
      </c>
      <c r="I367" s="85">
        <f t="shared" si="146"/>
        <v>-0.47872340425531917</v>
      </c>
      <c r="J367" s="85">
        <f t="shared" si="147"/>
        <v>6.3907486305538885E-3</v>
      </c>
      <c r="K367" s="86">
        <f t="shared" si="148"/>
        <v>-0.45799618712208201</v>
      </c>
      <c r="L367" s="87">
        <f t="shared" si="149"/>
        <v>7.6214257417520512E-2</v>
      </c>
      <c r="M367" s="86">
        <f t="shared" si="150"/>
        <v>-0.27884277871339835</v>
      </c>
      <c r="N367" s="87">
        <f t="shared" si="151"/>
        <v>0.32232422952811546</v>
      </c>
      <c r="O367" s="86">
        <f t="shared" si="152"/>
        <v>-0.47798964713880343</v>
      </c>
      <c r="P367" s="87">
        <f t="shared" si="153"/>
        <v>7.9852769580559535E-2</v>
      </c>
      <c r="Q367" s="86">
        <f t="shared" si="154"/>
        <v>-0.45799618712208207</v>
      </c>
      <c r="R367" s="85">
        <f t="shared" si="155"/>
        <v>-0.36233299513795914</v>
      </c>
    </row>
    <row r="368" spans="2:18">
      <c r="B368" s="83"/>
      <c r="C368" s="84">
        <v>105</v>
      </c>
      <c r="D368" s="84">
        <v>16</v>
      </c>
      <c r="E368" s="84">
        <v>1.373</v>
      </c>
      <c r="F368" s="78"/>
      <c r="G368" s="85">
        <f t="shared" si="144"/>
        <v>0.58666237030558743</v>
      </c>
      <c r="H368" s="86">
        <f t="shared" si="145"/>
        <v>3.9682539682539653E-2</v>
      </c>
      <c r="I368" s="85">
        <f t="shared" si="146"/>
        <v>-0.5</v>
      </c>
      <c r="J368" s="85">
        <f t="shared" si="147"/>
        <v>0.17741935483870963</v>
      </c>
      <c r="K368" s="86">
        <f t="shared" si="148"/>
        <v>-0.48341853830270293</v>
      </c>
      <c r="L368" s="87">
        <f t="shared" si="149"/>
        <v>0.22051000938792209</v>
      </c>
      <c r="M368" s="86">
        <f t="shared" si="150"/>
        <v>-0.29883623873011977</v>
      </c>
      <c r="N368" s="87">
        <f t="shared" si="151"/>
        <v>0.47407785944126224</v>
      </c>
      <c r="O368" s="86">
        <f t="shared" si="152"/>
        <v>-0.48341853830270293</v>
      </c>
      <c r="P368" s="87">
        <f t="shared" si="153"/>
        <v>0.22051000938792209</v>
      </c>
      <c r="Q368" s="86">
        <f t="shared" si="154"/>
        <v>-0.48341853830270298</v>
      </c>
      <c r="R368" s="85">
        <f t="shared" si="155"/>
        <v>-0.36615236091766534</v>
      </c>
    </row>
    <row r="369" spans="2:18">
      <c r="B369" s="83"/>
      <c r="C369" s="84">
        <v>105</v>
      </c>
      <c r="D369" s="84">
        <v>32</v>
      </c>
      <c r="E369" s="84">
        <v>1.1176666666666699</v>
      </c>
      <c r="F369" s="78"/>
      <c r="G369" s="85">
        <f t="shared" si="144"/>
        <v>0.45207615417678421</v>
      </c>
      <c r="H369" s="86">
        <f t="shared" si="145"/>
        <v>3.9682539682539653E-2</v>
      </c>
      <c r="I369" s="85">
        <f t="shared" si="146"/>
        <v>-0.47872340425531917</v>
      </c>
      <c r="J369" s="85">
        <f t="shared" si="147"/>
        <v>2.2012578616354195E-2</v>
      </c>
      <c r="K369" s="86">
        <f t="shared" si="148"/>
        <v>-0.46342507828598151</v>
      </c>
      <c r="L369" s="87">
        <f t="shared" si="149"/>
        <v>8.2285281096079799E-2</v>
      </c>
      <c r="M369" s="86">
        <f t="shared" si="150"/>
        <v>-0.27884277871339835</v>
      </c>
      <c r="N369" s="87">
        <f t="shared" si="151"/>
        <v>0.33585313114942</v>
      </c>
      <c r="O369" s="86">
        <f t="shared" si="152"/>
        <v>-0.48341853830270293</v>
      </c>
      <c r="P369" s="87">
        <f t="shared" si="153"/>
        <v>8.5923793259118822E-2</v>
      </c>
      <c r="Q369" s="86">
        <f t="shared" si="154"/>
        <v>-0.46342507828598156</v>
      </c>
      <c r="R369" s="85">
        <f t="shared" si="155"/>
        <v>-0.36979087308070441</v>
      </c>
    </row>
    <row r="370" spans="2:18">
      <c r="B370" s="83"/>
      <c r="C370" s="84">
        <v>108</v>
      </c>
      <c r="D370" s="84">
        <v>16</v>
      </c>
      <c r="E370" s="84">
        <v>1.3883333333333301</v>
      </c>
      <c r="F370" s="78"/>
      <c r="G370" s="85">
        <f t="shared" si="144"/>
        <v>0.59474457127415636</v>
      </c>
      <c r="H370" s="86">
        <f t="shared" si="145"/>
        <v>5.555555555555558E-2</v>
      </c>
      <c r="I370" s="85">
        <f t="shared" si="146"/>
        <v>-0.5</v>
      </c>
      <c r="J370" s="85">
        <f t="shared" si="147"/>
        <v>0.18675187664840542</v>
      </c>
      <c r="K370" s="86">
        <f t="shared" si="148"/>
        <v>-0.48884742946660242</v>
      </c>
      <c r="L370" s="87">
        <f t="shared" si="149"/>
        <v>0.22113433241374567</v>
      </c>
      <c r="M370" s="86">
        <f t="shared" si="150"/>
        <v>-0.29883623873011977</v>
      </c>
      <c r="N370" s="87">
        <f t="shared" si="151"/>
        <v>0.48216006040983117</v>
      </c>
      <c r="O370" s="86">
        <f t="shared" si="152"/>
        <v>-0.48884742946660242</v>
      </c>
      <c r="P370" s="87">
        <f t="shared" si="153"/>
        <v>0.22113433241374567</v>
      </c>
      <c r="Q370" s="86">
        <f t="shared" si="154"/>
        <v>-0.48884742946660248</v>
      </c>
      <c r="R370" s="85">
        <f t="shared" si="155"/>
        <v>-0.37361023886041067</v>
      </c>
    </row>
    <row r="371" spans="2:18">
      <c r="B371" s="83"/>
      <c r="C371" s="84">
        <v>108</v>
      </c>
      <c r="D371" s="84">
        <v>32</v>
      </c>
      <c r="E371" s="84">
        <v>1.139</v>
      </c>
      <c r="F371" s="78"/>
      <c r="G371" s="85">
        <f t="shared" si="144"/>
        <v>0.46332095552435887</v>
      </c>
      <c r="H371" s="86">
        <f t="shared" si="145"/>
        <v>5.555555555555558E-2</v>
      </c>
      <c r="I371" s="85">
        <f t="shared" si="146"/>
        <v>-0.47872340425531917</v>
      </c>
      <c r="J371" s="85">
        <f t="shared" si="147"/>
        <v>3.4996956786366384E-2</v>
      </c>
      <c r="K371" s="86">
        <f t="shared" si="148"/>
        <v>-0.468853969449881</v>
      </c>
      <c r="L371" s="87">
        <f t="shared" si="149"/>
        <v>8.6072204500909133E-2</v>
      </c>
      <c r="M371" s="86">
        <f t="shared" si="150"/>
        <v>-0.27884277871339835</v>
      </c>
      <c r="N371" s="87">
        <f t="shared" si="151"/>
        <v>0.34709793249699467</v>
      </c>
      <c r="O371" s="86">
        <f t="shared" si="152"/>
        <v>-0.48884742946660242</v>
      </c>
      <c r="P371" s="87">
        <f t="shared" si="153"/>
        <v>8.9710716663948156E-2</v>
      </c>
      <c r="Q371" s="86">
        <f t="shared" si="154"/>
        <v>-0.46885396944988106</v>
      </c>
      <c r="R371" s="85">
        <f t="shared" si="155"/>
        <v>-0.37724875102344974</v>
      </c>
    </row>
    <row r="372" spans="2:18">
      <c r="B372" s="83"/>
      <c r="C372" s="84">
        <v>111</v>
      </c>
      <c r="D372" s="84">
        <v>16</v>
      </c>
      <c r="E372" s="84">
        <v>1.4039999999999999</v>
      </c>
      <c r="F372" s="78"/>
      <c r="G372" s="85">
        <f t="shared" si="144"/>
        <v>0.60300247226378445</v>
      </c>
      <c r="H372" s="86">
        <f t="shared" si="145"/>
        <v>7.1428571428571397E-2</v>
      </c>
      <c r="I372" s="85">
        <f t="shared" si="146"/>
        <v>-0.5</v>
      </c>
      <c r="J372" s="85">
        <f t="shared" si="147"/>
        <v>0.19628727936701151</v>
      </c>
      <c r="K372" s="86">
        <f t="shared" si="148"/>
        <v>-0.49427632063050192</v>
      </c>
      <c r="L372" s="87">
        <f t="shared" si="149"/>
        <v>0.22193435546062845</v>
      </c>
      <c r="M372" s="86">
        <f t="shared" si="150"/>
        <v>-0.29883623873011977</v>
      </c>
      <c r="N372" s="87">
        <f t="shared" si="151"/>
        <v>0.49041796139945926</v>
      </c>
      <c r="O372" s="86">
        <f t="shared" si="152"/>
        <v>-0.49427632063050192</v>
      </c>
      <c r="P372" s="87">
        <f t="shared" si="153"/>
        <v>0.22193435546062845</v>
      </c>
      <c r="Q372" s="86">
        <f t="shared" si="154"/>
        <v>-0.49427632063050198</v>
      </c>
      <c r="R372" s="85">
        <f t="shared" si="155"/>
        <v>-0.381068116803156</v>
      </c>
    </row>
    <row r="373" spans="2:18">
      <c r="B373" s="83"/>
      <c r="C373" s="84">
        <v>111</v>
      </c>
      <c r="D373" s="84">
        <v>32</v>
      </c>
      <c r="E373" s="84">
        <v>1.17</v>
      </c>
      <c r="F373" s="78"/>
      <c r="G373" s="85">
        <f t="shared" si="144"/>
        <v>0.47966105748255583</v>
      </c>
      <c r="H373" s="86">
        <f t="shared" si="145"/>
        <v>7.1428571428571397E-2</v>
      </c>
      <c r="I373" s="85">
        <f t="shared" si="146"/>
        <v>-0.47872340425531917</v>
      </c>
      <c r="J373" s="85">
        <f t="shared" si="147"/>
        <v>5.3864881314668267E-2</v>
      </c>
      <c r="K373" s="86">
        <f t="shared" si="148"/>
        <v>-0.4742828606137805</v>
      </c>
      <c r="L373" s="87">
        <f t="shared" si="149"/>
        <v>9.4954428516360823E-2</v>
      </c>
      <c r="M373" s="86">
        <f t="shared" si="150"/>
        <v>-0.27884277871339835</v>
      </c>
      <c r="N373" s="87">
        <f t="shared" si="151"/>
        <v>0.36343803445519163</v>
      </c>
      <c r="O373" s="86">
        <f t="shared" si="152"/>
        <v>-0.49427632063050192</v>
      </c>
      <c r="P373" s="87">
        <f t="shared" si="153"/>
        <v>9.8592940679399832E-2</v>
      </c>
      <c r="Q373" s="86">
        <f t="shared" si="154"/>
        <v>-0.47428286061378055</v>
      </c>
      <c r="R373" s="85">
        <f t="shared" si="155"/>
        <v>-0.38470662896619501</v>
      </c>
    </row>
    <row r="374" spans="2:18">
      <c r="B374" s="83"/>
      <c r="C374" s="84">
        <v>114</v>
      </c>
      <c r="D374" s="84">
        <v>16</v>
      </c>
      <c r="E374" s="84">
        <v>1.409</v>
      </c>
      <c r="F374" s="78"/>
      <c r="G374" s="85">
        <f t="shared" si="144"/>
        <v>0.60563797257962271</v>
      </c>
      <c r="H374" s="86">
        <f t="shared" si="145"/>
        <v>8.7301587301587324E-2</v>
      </c>
      <c r="I374" s="85">
        <f t="shared" si="146"/>
        <v>-0.5</v>
      </c>
      <c r="J374" s="85">
        <f t="shared" si="147"/>
        <v>0.19933049300060868</v>
      </c>
      <c r="K374" s="86">
        <f t="shared" si="148"/>
        <v>-0.49970521179440142</v>
      </c>
      <c r="L374" s="87">
        <f t="shared" si="149"/>
        <v>0.21711197783372141</v>
      </c>
      <c r="M374" s="86">
        <f t="shared" si="150"/>
        <v>-0.29883623873011977</v>
      </c>
      <c r="N374" s="87">
        <f t="shared" si="151"/>
        <v>0.49305346171529751</v>
      </c>
      <c r="O374" s="86">
        <f t="shared" si="152"/>
        <v>-0.49970521179440142</v>
      </c>
      <c r="P374" s="87">
        <f t="shared" si="153"/>
        <v>0.21711197783372141</v>
      </c>
      <c r="Q374" s="86">
        <f t="shared" si="154"/>
        <v>-0.49970521179440147</v>
      </c>
      <c r="R374" s="85">
        <f t="shared" si="155"/>
        <v>-0.38852599474590127</v>
      </c>
    </row>
    <row r="375" spans="2:18">
      <c r="B375" s="83"/>
      <c r="C375" s="84">
        <v>114</v>
      </c>
      <c r="D375" s="84">
        <v>32</v>
      </c>
      <c r="E375" s="84">
        <v>1.2010000000000001</v>
      </c>
      <c r="F375" s="78"/>
      <c r="G375" s="85">
        <f t="shared" si="144"/>
        <v>0.49600115944075285</v>
      </c>
      <c r="H375" s="86">
        <f t="shared" si="145"/>
        <v>8.7301587301587324E-2</v>
      </c>
      <c r="I375" s="85">
        <f t="shared" si="146"/>
        <v>-0.47872340425531917</v>
      </c>
      <c r="J375" s="85">
        <f t="shared" si="147"/>
        <v>7.2732805842970261E-2</v>
      </c>
      <c r="K375" s="86">
        <f t="shared" si="148"/>
        <v>-0.47971175177768</v>
      </c>
      <c r="L375" s="87">
        <f t="shared" si="149"/>
        <v>0.10383665253181254</v>
      </c>
      <c r="M375" s="86">
        <f t="shared" si="150"/>
        <v>-0.27884277871339835</v>
      </c>
      <c r="N375" s="87">
        <f t="shared" si="151"/>
        <v>0.37977813641338865</v>
      </c>
      <c r="O375" s="86">
        <f t="shared" si="152"/>
        <v>-0.49970521179440142</v>
      </c>
      <c r="P375" s="87">
        <f t="shared" si="153"/>
        <v>0.10747516469485158</v>
      </c>
      <c r="Q375" s="86">
        <f t="shared" si="154"/>
        <v>-0.47971175177768005</v>
      </c>
      <c r="R375" s="85">
        <f t="shared" si="155"/>
        <v>-0.39216450690894034</v>
      </c>
    </row>
    <row r="376" spans="2:18">
      <c r="B376" s="83"/>
      <c r="C376" s="84">
        <v>117</v>
      </c>
      <c r="D376" s="84">
        <v>16</v>
      </c>
      <c r="E376" s="84">
        <v>1.43566666666667</v>
      </c>
      <c r="F376" s="78"/>
      <c r="G376" s="85">
        <f t="shared" si="144"/>
        <v>0.61969397426409489</v>
      </c>
      <c r="H376" s="86">
        <f t="shared" si="145"/>
        <v>0.10317460317460314</v>
      </c>
      <c r="I376" s="85">
        <f t="shared" si="146"/>
        <v>-0.5</v>
      </c>
      <c r="J376" s="85">
        <f t="shared" si="147"/>
        <v>0.21556096571312844</v>
      </c>
      <c r="K376" s="86">
        <f t="shared" si="148"/>
        <v>-0.50513410295830097</v>
      </c>
      <c r="L376" s="87">
        <f t="shared" si="149"/>
        <v>0.22371010157544838</v>
      </c>
      <c r="M376" s="86">
        <f t="shared" si="150"/>
        <v>-0.29883623873011977</v>
      </c>
      <c r="N376" s="87">
        <f t="shared" si="151"/>
        <v>0.5071094633997697</v>
      </c>
      <c r="O376" s="86">
        <f t="shared" si="152"/>
        <v>-0.50513410295830097</v>
      </c>
      <c r="P376" s="87">
        <f t="shared" si="153"/>
        <v>0.22371010157544838</v>
      </c>
      <c r="Q376" s="86">
        <f t="shared" si="154"/>
        <v>-0.50513410295830108</v>
      </c>
      <c r="R376" s="85">
        <f t="shared" si="155"/>
        <v>-0.39598387268864654</v>
      </c>
    </row>
    <row r="377" spans="2:18">
      <c r="B377" s="83"/>
      <c r="C377" s="84">
        <v>117</v>
      </c>
      <c r="D377" s="84">
        <v>32</v>
      </c>
      <c r="E377" s="84">
        <v>1.2270000000000001</v>
      </c>
      <c r="F377" s="78"/>
      <c r="G377" s="85">
        <f t="shared" ref="G377:G411" si="156">D$19*(L377-R377)</f>
        <v>0.5097057610831115</v>
      </c>
      <c r="H377" s="86">
        <f t="shared" ref="H377:H411" si="157">(C377-H$16)/H$17-0.5</f>
        <v>0.10317460317460314</v>
      </c>
      <c r="I377" s="85">
        <f t="shared" ref="I377:I411" si="158">(D377-I$16)/I$17-0.5</f>
        <v>-0.47872340425531917</v>
      </c>
      <c r="J377" s="85">
        <f t="shared" ref="J377:J411" si="159">(E377-J$16)/J$17-0.5</f>
        <v>8.8557516737674979E-2</v>
      </c>
      <c r="K377" s="86">
        <f t="shared" ref="K377:K408" si="160">(H377*$H$13+I377*$I$13+J377*$J$13+$D$27)*$C$27</f>
        <v>-0.48514064294157949</v>
      </c>
      <c r="L377" s="87">
        <f t="shared" ref="L377:L411" si="161">(H377*$H$14+I377*$I$14+J377*$J$14+$E$27)*$C$27</f>
        <v>0.11008337623142592</v>
      </c>
      <c r="M377" s="86">
        <f t="shared" ref="M377:M411" si="162">(H$27*$H$13+I377*$I$13+J377*$J$13+$D$27)*$C$27</f>
        <v>-0.27884277871339835</v>
      </c>
      <c r="N377" s="87">
        <f t="shared" ref="N377:N411" si="163">(H$27*$H$14+I377*$I$14+J377*$J$14+$E$27)*$C$27</f>
        <v>0.39348273805574729</v>
      </c>
      <c r="O377" s="86">
        <f t="shared" ref="O377:O411" si="164">(H377*$H$13+I$27*$I$13+J377*$J$13+$D$27)*$C$27</f>
        <v>-0.50513410295830097</v>
      </c>
      <c r="P377" s="87">
        <f t="shared" ref="P377:P411" si="165">(H377*$H$14+I$27*$I$14+J377*$J$14+$E$27)*$C$27</f>
        <v>0.11372188839446495</v>
      </c>
      <c r="Q377" s="86">
        <f t="shared" ref="Q377:Q411" si="166">(H377*$H$13+I377*$I$13+J$27*$J$13+$D$27)*$C$27</f>
        <v>-0.48514064294157955</v>
      </c>
      <c r="R377" s="85">
        <f t="shared" ref="R377:R411" si="167">(H377*$H$14+I377*$I$14+J$27*$J$14+$E$27)*$C$27</f>
        <v>-0.39962238485168561</v>
      </c>
    </row>
    <row r="378" spans="2:18">
      <c r="B378" s="83"/>
      <c r="C378" s="84">
        <v>120</v>
      </c>
      <c r="D378" s="84">
        <v>16</v>
      </c>
      <c r="E378" s="84">
        <v>1.4510000000000001</v>
      </c>
      <c r="F378" s="78"/>
      <c r="G378" s="85">
        <f t="shared" si="156"/>
        <v>0.62777617523266371</v>
      </c>
      <c r="H378" s="86">
        <f t="shared" si="157"/>
        <v>0.11904761904761907</v>
      </c>
      <c r="I378" s="85">
        <f t="shared" si="158"/>
        <v>-0.5</v>
      </c>
      <c r="J378" s="85">
        <f t="shared" si="159"/>
        <v>0.22489348752282412</v>
      </c>
      <c r="K378" s="86">
        <f t="shared" si="160"/>
        <v>-0.51056299412220041</v>
      </c>
      <c r="L378" s="87">
        <f t="shared" si="161"/>
        <v>0.22433442460127184</v>
      </c>
      <c r="M378" s="86">
        <f t="shared" si="162"/>
        <v>-0.29883623873011977</v>
      </c>
      <c r="N378" s="87">
        <f t="shared" si="163"/>
        <v>0.51519166436833852</v>
      </c>
      <c r="O378" s="86">
        <f t="shared" si="164"/>
        <v>-0.51056299412220041</v>
      </c>
      <c r="P378" s="87">
        <f t="shared" si="165"/>
        <v>0.22433442460127184</v>
      </c>
      <c r="Q378" s="86">
        <f t="shared" si="166"/>
        <v>-0.51056299412220052</v>
      </c>
      <c r="R378" s="85">
        <f t="shared" si="167"/>
        <v>-0.40344175063139187</v>
      </c>
    </row>
    <row r="379" spans="2:18">
      <c r="B379" s="83"/>
      <c r="C379" s="84">
        <v>120</v>
      </c>
      <c r="D379" s="84">
        <v>32</v>
      </c>
      <c r="E379" s="84">
        <v>1.2533333333333301</v>
      </c>
      <c r="F379" s="78"/>
      <c r="G379" s="85">
        <f t="shared" si="156"/>
        <v>0.52358606274652442</v>
      </c>
      <c r="H379" s="86">
        <f t="shared" si="157"/>
        <v>0.11904761904761907</v>
      </c>
      <c r="I379" s="85">
        <f t="shared" si="158"/>
        <v>-0.47872340425531917</v>
      </c>
      <c r="J379" s="85">
        <f t="shared" si="159"/>
        <v>0.10458510854128422</v>
      </c>
      <c r="K379" s="86">
        <f t="shared" si="160"/>
        <v>-0.49056953410547904</v>
      </c>
      <c r="L379" s="87">
        <f t="shared" si="161"/>
        <v>0.11650579995209345</v>
      </c>
      <c r="M379" s="86">
        <f t="shared" si="162"/>
        <v>-0.27884277871339835</v>
      </c>
      <c r="N379" s="87">
        <f t="shared" si="163"/>
        <v>0.40736303971916016</v>
      </c>
      <c r="O379" s="86">
        <f t="shared" si="164"/>
        <v>-0.51056299412220041</v>
      </c>
      <c r="P379" s="87">
        <f t="shared" si="165"/>
        <v>0.12014431211513249</v>
      </c>
      <c r="Q379" s="86">
        <f t="shared" si="166"/>
        <v>-0.4905695341054791</v>
      </c>
      <c r="R379" s="85">
        <f t="shared" si="167"/>
        <v>-0.40708026279443094</v>
      </c>
    </row>
    <row r="380" spans="2:18">
      <c r="B380" s="83"/>
      <c r="C380" s="84">
        <v>123</v>
      </c>
      <c r="D380" s="84">
        <v>16</v>
      </c>
      <c r="E380" s="84">
        <v>1.466</v>
      </c>
      <c r="F380" s="78"/>
      <c r="G380" s="85">
        <f t="shared" si="156"/>
        <v>0.63568267618017837</v>
      </c>
      <c r="H380" s="86">
        <f t="shared" si="157"/>
        <v>0.13492063492063489</v>
      </c>
      <c r="I380" s="85">
        <f t="shared" si="158"/>
        <v>-0.5</v>
      </c>
      <c r="J380" s="85">
        <f t="shared" si="159"/>
        <v>0.23402312842361528</v>
      </c>
      <c r="K380" s="86">
        <f t="shared" si="160"/>
        <v>-0.51599188528609996</v>
      </c>
      <c r="L380" s="87">
        <f t="shared" si="161"/>
        <v>0.22478304760604115</v>
      </c>
      <c r="M380" s="86">
        <f t="shared" si="162"/>
        <v>-0.29883623873011972</v>
      </c>
      <c r="N380" s="87">
        <f t="shared" si="163"/>
        <v>0.52309816531585307</v>
      </c>
      <c r="O380" s="86">
        <f t="shared" si="164"/>
        <v>-0.51599188528609996</v>
      </c>
      <c r="P380" s="87">
        <f t="shared" si="165"/>
        <v>0.22478304760604115</v>
      </c>
      <c r="Q380" s="86">
        <f t="shared" si="166"/>
        <v>-0.51599188528610007</v>
      </c>
      <c r="R380" s="85">
        <f t="shared" si="167"/>
        <v>-0.4108996285741372</v>
      </c>
    </row>
    <row r="381" spans="2:18">
      <c r="B381" s="83"/>
      <c r="C381" s="84">
        <v>123</v>
      </c>
      <c r="D381" s="84">
        <v>32</v>
      </c>
      <c r="E381" s="84">
        <v>1.2789999999999999</v>
      </c>
      <c r="F381" s="78"/>
      <c r="G381" s="85">
        <f t="shared" si="156"/>
        <v>0.53711496436782891</v>
      </c>
      <c r="H381" s="86">
        <f t="shared" si="157"/>
        <v>0.13492063492063489</v>
      </c>
      <c r="I381" s="85">
        <f t="shared" si="158"/>
        <v>-0.47872340425531917</v>
      </c>
      <c r="J381" s="85">
        <f t="shared" si="159"/>
        <v>0.12020693852708453</v>
      </c>
      <c r="K381" s="86">
        <f t="shared" si="160"/>
        <v>-0.49599842526937854</v>
      </c>
      <c r="L381" s="87">
        <f t="shared" si="161"/>
        <v>0.12257682363065274</v>
      </c>
      <c r="M381" s="86">
        <f t="shared" si="162"/>
        <v>-0.27884277871339835</v>
      </c>
      <c r="N381" s="87">
        <f t="shared" si="163"/>
        <v>0.4208919413404647</v>
      </c>
      <c r="O381" s="86">
        <f t="shared" si="164"/>
        <v>-0.51599188528609996</v>
      </c>
      <c r="P381" s="87">
        <f t="shared" si="165"/>
        <v>0.12621533579369176</v>
      </c>
      <c r="Q381" s="86">
        <f t="shared" si="166"/>
        <v>-0.4959984252693786</v>
      </c>
      <c r="R381" s="85">
        <f t="shared" si="167"/>
        <v>-0.41453814073717621</v>
      </c>
    </row>
    <row r="382" spans="2:18">
      <c r="B382" s="83"/>
      <c r="C382" s="84">
        <v>126</v>
      </c>
      <c r="D382" s="84">
        <v>16</v>
      </c>
      <c r="E382" s="84">
        <v>1.4773333333333301</v>
      </c>
      <c r="F382" s="78"/>
      <c r="G382" s="85">
        <f t="shared" si="156"/>
        <v>0.64165647689607663</v>
      </c>
      <c r="H382" s="86">
        <f t="shared" si="157"/>
        <v>0.15079365079365081</v>
      </c>
      <c r="I382" s="85">
        <f t="shared" si="158"/>
        <v>-0.5</v>
      </c>
      <c r="J382" s="85">
        <f t="shared" si="159"/>
        <v>0.24092107932643336</v>
      </c>
      <c r="K382" s="86">
        <f t="shared" si="160"/>
        <v>-0.52142077644999951</v>
      </c>
      <c r="L382" s="87">
        <f t="shared" si="161"/>
        <v>0.22329897037919411</v>
      </c>
      <c r="M382" s="86">
        <f t="shared" si="162"/>
        <v>-0.29883623873011972</v>
      </c>
      <c r="N382" s="87">
        <f t="shared" si="163"/>
        <v>0.52907196603175144</v>
      </c>
      <c r="O382" s="86">
        <f t="shared" si="164"/>
        <v>-0.52142077644999951</v>
      </c>
      <c r="P382" s="87">
        <f t="shared" si="165"/>
        <v>0.22329897037919411</v>
      </c>
      <c r="Q382" s="86">
        <f t="shared" si="166"/>
        <v>-0.52142077644999962</v>
      </c>
      <c r="R382" s="85">
        <f t="shared" si="167"/>
        <v>-0.41835750651688247</v>
      </c>
    </row>
    <row r="383" spans="2:18">
      <c r="B383" s="83"/>
      <c r="C383" s="84">
        <v>126</v>
      </c>
      <c r="D383" s="84">
        <v>32</v>
      </c>
      <c r="E383" s="84">
        <v>1.31033333333333</v>
      </c>
      <c r="F383" s="78"/>
      <c r="G383" s="85">
        <f t="shared" si="156"/>
        <v>0.55363076634708008</v>
      </c>
      <c r="H383" s="86">
        <f t="shared" si="157"/>
        <v>0.15079365079365081</v>
      </c>
      <c r="I383" s="85">
        <f t="shared" si="158"/>
        <v>-0.47872340425531917</v>
      </c>
      <c r="J383" s="85">
        <f t="shared" si="159"/>
        <v>0.13927774396429093</v>
      </c>
      <c r="K383" s="86">
        <f t="shared" si="160"/>
        <v>-0.50142731643327809</v>
      </c>
      <c r="L383" s="87">
        <f t="shared" si="161"/>
        <v>0.13163474766715857</v>
      </c>
      <c r="M383" s="86">
        <f t="shared" si="162"/>
        <v>-0.27884277871339835</v>
      </c>
      <c r="N383" s="87">
        <f t="shared" si="163"/>
        <v>0.43740774331971588</v>
      </c>
      <c r="O383" s="86">
        <f t="shared" si="164"/>
        <v>-0.52142077644999951</v>
      </c>
      <c r="P383" s="87">
        <f t="shared" si="165"/>
        <v>0.13527325983019761</v>
      </c>
      <c r="Q383" s="86">
        <f t="shared" si="166"/>
        <v>-0.5014273164332782</v>
      </c>
      <c r="R383" s="85">
        <f t="shared" si="167"/>
        <v>-0.42199601867992154</v>
      </c>
    </row>
    <row r="384" spans="2:18">
      <c r="B384" s="83"/>
      <c r="C384" s="84">
        <v>129</v>
      </c>
      <c r="D384" s="84">
        <v>16</v>
      </c>
      <c r="E384" s="84">
        <v>1.4873333333333301</v>
      </c>
      <c r="F384" s="78"/>
      <c r="G384" s="85">
        <f t="shared" si="156"/>
        <v>0.64692747752775315</v>
      </c>
      <c r="H384" s="86">
        <f t="shared" si="157"/>
        <v>0.16666666666666663</v>
      </c>
      <c r="I384" s="85">
        <f t="shared" si="158"/>
        <v>-0.5</v>
      </c>
      <c r="J384" s="85">
        <f t="shared" si="159"/>
        <v>0.24700750659362758</v>
      </c>
      <c r="K384" s="86">
        <f t="shared" si="160"/>
        <v>-0.52684966761389895</v>
      </c>
      <c r="L384" s="87">
        <f t="shared" si="161"/>
        <v>0.22111209306812535</v>
      </c>
      <c r="M384" s="86">
        <f t="shared" si="162"/>
        <v>-0.29883623873011972</v>
      </c>
      <c r="N384" s="87">
        <f t="shared" si="163"/>
        <v>0.53434296666342784</v>
      </c>
      <c r="O384" s="86">
        <f t="shared" si="164"/>
        <v>-0.52684966761389895</v>
      </c>
      <c r="P384" s="87">
        <f t="shared" si="165"/>
        <v>0.22111209306812535</v>
      </c>
      <c r="Q384" s="86">
        <f t="shared" si="166"/>
        <v>-0.52684966761389906</v>
      </c>
      <c r="R384" s="85">
        <f t="shared" si="167"/>
        <v>-0.42581538445962774</v>
      </c>
    </row>
    <row r="385" spans="2:18">
      <c r="B385" s="83"/>
      <c r="C385" s="84">
        <v>129</v>
      </c>
      <c r="D385" s="84">
        <v>32</v>
      </c>
      <c r="E385" s="84">
        <v>1.33633333333333</v>
      </c>
      <c r="F385" s="78"/>
      <c r="G385" s="85">
        <f t="shared" si="156"/>
        <v>0.56733536798943884</v>
      </c>
      <c r="H385" s="86">
        <f t="shared" si="157"/>
        <v>0.16666666666666663</v>
      </c>
      <c r="I385" s="85">
        <f t="shared" si="158"/>
        <v>-0.47872340425531917</v>
      </c>
      <c r="J385" s="85">
        <f t="shared" si="159"/>
        <v>0.15510245485899576</v>
      </c>
      <c r="K385" s="86">
        <f t="shared" si="160"/>
        <v>-0.50685620759717753</v>
      </c>
      <c r="L385" s="87">
        <f t="shared" si="161"/>
        <v>0.13788147136677206</v>
      </c>
      <c r="M385" s="86">
        <f t="shared" si="162"/>
        <v>-0.27884277871339835</v>
      </c>
      <c r="N385" s="87">
        <f t="shared" si="163"/>
        <v>0.45111234496207464</v>
      </c>
      <c r="O385" s="86">
        <f t="shared" si="164"/>
        <v>-0.52684966761389895</v>
      </c>
      <c r="P385" s="87">
        <f t="shared" si="165"/>
        <v>0.1415199835298111</v>
      </c>
      <c r="Q385" s="86">
        <f t="shared" si="166"/>
        <v>-0.50685620759717764</v>
      </c>
      <c r="R385" s="85">
        <f t="shared" si="167"/>
        <v>-0.42945389662266675</v>
      </c>
    </row>
    <row r="386" spans="2:18">
      <c r="B386" s="83"/>
      <c r="C386" s="84">
        <v>132</v>
      </c>
      <c r="D386" s="84">
        <v>16</v>
      </c>
      <c r="E386" s="84">
        <v>1.5133333333333301</v>
      </c>
      <c r="F386" s="78"/>
      <c r="G386" s="85">
        <f t="shared" si="156"/>
        <v>0.66063207917011191</v>
      </c>
      <c r="H386" s="86">
        <f t="shared" si="157"/>
        <v>0.18253968253968256</v>
      </c>
      <c r="I386" s="85">
        <f t="shared" si="158"/>
        <v>-0.5</v>
      </c>
      <c r="J386" s="85">
        <f t="shared" si="159"/>
        <v>0.26283221748833241</v>
      </c>
      <c r="K386" s="86">
        <f t="shared" si="160"/>
        <v>-0.53227855877779851</v>
      </c>
      <c r="L386" s="87">
        <f t="shared" si="161"/>
        <v>0.22735881676773878</v>
      </c>
      <c r="M386" s="86">
        <f t="shared" si="162"/>
        <v>-0.29883623873011972</v>
      </c>
      <c r="N386" s="87">
        <f t="shared" si="163"/>
        <v>0.5480475683057866</v>
      </c>
      <c r="O386" s="86">
        <f t="shared" si="164"/>
        <v>-0.53227855877779851</v>
      </c>
      <c r="P386" s="87">
        <f t="shared" si="165"/>
        <v>0.22735881676773878</v>
      </c>
      <c r="Q386" s="86">
        <f t="shared" si="166"/>
        <v>-0.53227855877779862</v>
      </c>
      <c r="R386" s="85">
        <f t="shared" si="167"/>
        <v>-0.43327326240237307</v>
      </c>
    </row>
    <row r="387" spans="2:18">
      <c r="B387" s="83"/>
      <c r="C387" s="84">
        <v>132</v>
      </c>
      <c r="D387" s="84">
        <v>32</v>
      </c>
      <c r="E387" s="84">
        <v>1.3623333333333301</v>
      </c>
      <c r="F387" s="78"/>
      <c r="G387" s="85">
        <f t="shared" si="156"/>
        <v>0.5810399696317976</v>
      </c>
      <c r="H387" s="86">
        <f t="shared" si="157"/>
        <v>0.18253968253968256</v>
      </c>
      <c r="I387" s="85">
        <f t="shared" si="158"/>
        <v>-0.47872340425531917</v>
      </c>
      <c r="J387" s="85">
        <f t="shared" si="159"/>
        <v>0.17092716575370059</v>
      </c>
      <c r="K387" s="86">
        <f t="shared" si="160"/>
        <v>-0.51228509876107708</v>
      </c>
      <c r="L387" s="87">
        <f t="shared" si="161"/>
        <v>0.14412819506638549</v>
      </c>
      <c r="M387" s="86">
        <f t="shared" si="162"/>
        <v>-0.27884277871339835</v>
      </c>
      <c r="N387" s="87">
        <f t="shared" si="163"/>
        <v>0.4648169466044334</v>
      </c>
      <c r="O387" s="86">
        <f t="shared" si="164"/>
        <v>-0.53227855877779851</v>
      </c>
      <c r="P387" s="87">
        <f t="shared" si="165"/>
        <v>0.14776670722942453</v>
      </c>
      <c r="Q387" s="86">
        <f t="shared" si="166"/>
        <v>-0.5122850987610772</v>
      </c>
      <c r="R387" s="85">
        <f t="shared" si="167"/>
        <v>-0.43691177456541208</v>
      </c>
    </row>
    <row r="388" spans="2:18">
      <c r="B388" s="83"/>
      <c r="C388" s="84">
        <v>135</v>
      </c>
      <c r="D388" s="84">
        <v>16</v>
      </c>
      <c r="E388" s="84">
        <v>1.5289999999999999</v>
      </c>
      <c r="F388" s="78"/>
      <c r="G388" s="85">
        <f t="shared" si="156"/>
        <v>0.66888998015973988</v>
      </c>
      <c r="H388" s="86">
        <f t="shared" si="157"/>
        <v>0.19841269841269837</v>
      </c>
      <c r="I388" s="85">
        <f t="shared" si="158"/>
        <v>-0.5</v>
      </c>
      <c r="J388" s="85">
        <f t="shared" si="159"/>
        <v>0.2723676202069385</v>
      </c>
      <c r="K388" s="86">
        <f t="shared" si="160"/>
        <v>-0.53770744994169795</v>
      </c>
      <c r="L388" s="87">
        <f t="shared" si="161"/>
        <v>0.22815883981462154</v>
      </c>
      <c r="M388" s="86">
        <f t="shared" si="162"/>
        <v>-0.29883623873011972</v>
      </c>
      <c r="N388" s="87">
        <f t="shared" si="163"/>
        <v>0.55630546929541469</v>
      </c>
      <c r="O388" s="86">
        <f t="shared" si="164"/>
        <v>-0.53770744994169795</v>
      </c>
      <c r="P388" s="87">
        <f t="shared" si="165"/>
        <v>0.22815883981462154</v>
      </c>
      <c r="Q388" s="86">
        <f t="shared" si="166"/>
        <v>-0.53770744994169806</v>
      </c>
      <c r="R388" s="85">
        <f t="shared" si="167"/>
        <v>-0.44073114034511834</v>
      </c>
    </row>
    <row r="389" spans="2:18">
      <c r="B389" s="83"/>
      <c r="C389" s="84">
        <v>135</v>
      </c>
      <c r="D389" s="84">
        <v>32</v>
      </c>
      <c r="E389" s="84">
        <v>1.3879999999999999</v>
      </c>
      <c r="F389" s="78"/>
      <c r="G389" s="85">
        <f t="shared" si="156"/>
        <v>0.59456887125310209</v>
      </c>
      <c r="H389" s="86">
        <f t="shared" si="157"/>
        <v>0.19841269841269837</v>
      </c>
      <c r="I389" s="85">
        <f t="shared" si="158"/>
        <v>-0.47872340425531917</v>
      </c>
      <c r="J389" s="85">
        <f t="shared" si="159"/>
        <v>0.18654899573950079</v>
      </c>
      <c r="K389" s="86">
        <f t="shared" si="160"/>
        <v>-0.51771398992497653</v>
      </c>
      <c r="L389" s="87">
        <f t="shared" si="161"/>
        <v>0.15019921874494468</v>
      </c>
      <c r="M389" s="86">
        <f t="shared" si="162"/>
        <v>-0.27884277871339835</v>
      </c>
      <c r="N389" s="87">
        <f t="shared" si="163"/>
        <v>0.47834584822573789</v>
      </c>
      <c r="O389" s="86">
        <f t="shared" si="164"/>
        <v>-0.53770744994169795</v>
      </c>
      <c r="P389" s="87">
        <f t="shared" si="165"/>
        <v>0.15383773090798369</v>
      </c>
      <c r="Q389" s="86">
        <f t="shared" si="166"/>
        <v>-0.51771398992497664</v>
      </c>
      <c r="R389" s="85">
        <f t="shared" si="167"/>
        <v>-0.44436965250815741</v>
      </c>
    </row>
    <row r="390" spans="2:18">
      <c r="B390" s="83"/>
      <c r="C390" s="84">
        <v>138</v>
      </c>
      <c r="D390" s="84">
        <v>16</v>
      </c>
      <c r="E390" s="84">
        <v>1.5549999999999999</v>
      </c>
      <c r="F390" s="78"/>
      <c r="G390" s="85">
        <f t="shared" si="156"/>
        <v>0.68259458180209864</v>
      </c>
      <c r="H390" s="86">
        <f t="shared" si="157"/>
        <v>0.2142857142857143</v>
      </c>
      <c r="I390" s="85">
        <f t="shared" si="158"/>
        <v>-0.5</v>
      </c>
      <c r="J390" s="85">
        <f t="shared" si="159"/>
        <v>0.28819233110164333</v>
      </c>
      <c r="K390" s="86">
        <f t="shared" si="160"/>
        <v>-0.5431363411055975</v>
      </c>
      <c r="L390" s="87">
        <f t="shared" si="161"/>
        <v>0.23440556351423497</v>
      </c>
      <c r="M390" s="86">
        <f t="shared" si="162"/>
        <v>-0.29883623873011972</v>
      </c>
      <c r="N390" s="87">
        <f t="shared" si="163"/>
        <v>0.57001007093777345</v>
      </c>
      <c r="O390" s="86">
        <f t="shared" si="164"/>
        <v>-0.5431363411055975</v>
      </c>
      <c r="P390" s="87">
        <f t="shared" si="165"/>
        <v>0.23440556351423497</v>
      </c>
      <c r="Q390" s="86">
        <f t="shared" si="166"/>
        <v>-0.54313634110559761</v>
      </c>
      <c r="R390" s="85">
        <f t="shared" si="167"/>
        <v>-0.44818901828786367</v>
      </c>
    </row>
    <row r="391" spans="2:18">
      <c r="B391" s="83"/>
      <c r="C391" s="84">
        <v>138</v>
      </c>
      <c r="D391" s="84">
        <v>32</v>
      </c>
      <c r="E391" s="84">
        <v>1.425</v>
      </c>
      <c r="F391" s="78"/>
      <c r="G391" s="85">
        <f t="shared" si="156"/>
        <v>0.61407157359030506</v>
      </c>
      <c r="H391" s="86">
        <f t="shared" si="157"/>
        <v>0.2142857142857143</v>
      </c>
      <c r="I391" s="85">
        <f t="shared" si="158"/>
        <v>-0.47872340425531917</v>
      </c>
      <c r="J391" s="85">
        <f t="shared" si="159"/>
        <v>0.20906877662811929</v>
      </c>
      <c r="K391" s="86">
        <f t="shared" si="160"/>
        <v>-0.52314288108887608</v>
      </c>
      <c r="L391" s="87">
        <f t="shared" si="161"/>
        <v>0.16224404313940227</v>
      </c>
      <c r="M391" s="86">
        <f t="shared" si="162"/>
        <v>-0.27884277871339835</v>
      </c>
      <c r="N391" s="87">
        <f t="shared" si="163"/>
        <v>0.49784855056294075</v>
      </c>
      <c r="O391" s="86">
        <f t="shared" si="164"/>
        <v>-0.5431363411055975</v>
      </c>
      <c r="P391" s="87">
        <f t="shared" si="165"/>
        <v>0.16588255530244128</v>
      </c>
      <c r="Q391" s="86">
        <f t="shared" si="166"/>
        <v>-0.52314288108887619</v>
      </c>
      <c r="R391" s="85">
        <f t="shared" si="167"/>
        <v>-0.45182753045090274</v>
      </c>
    </row>
    <row r="392" spans="2:18">
      <c r="B392" s="83"/>
      <c r="C392" s="84">
        <v>141</v>
      </c>
      <c r="D392" s="84">
        <v>16</v>
      </c>
      <c r="E392" s="84">
        <v>1.57</v>
      </c>
      <c r="F392" s="78"/>
      <c r="G392" s="85">
        <f t="shared" si="156"/>
        <v>0.69050108274961342</v>
      </c>
      <c r="H392" s="86">
        <f t="shared" si="157"/>
        <v>0.23015873015873012</v>
      </c>
      <c r="I392" s="85">
        <f t="shared" si="158"/>
        <v>-0.5</v>
      </c>
      <c r="J392" s="85">
        <f t="shared" si="159"/>
        <v>0.2973219720024346</v>
      </c>
      <c r="K392" s="86">
        <f t="shared" si="160"/>
        <v>-0.54856523226949694</v>
      </c>
      <c r="L392" s="87">
        <f t="shared" si="161"/>
        <v>0.23485418651900442</v>
      </c>
      <c r="M392" s="86">
        <f t="shared" si="162"/>
        <v>-0.29883623873011972</v>
      </c>
      <c r="N392" s="87">
        <f t="shared" si="163"/>
        <v>0.57791657188528811</v>
      </c>
      <c r="O392" s="86">
        <f t="shared" si="164"/>
        <v>-0.54856523226949694</v>
      </c>
      <c r="P392" s="87">
        <f t="shared" si="165"/>
        <v>0.23485418651900442</v>
      </c>
      <c r="Q392" s="86">
        <f t="shared" si="166"/>
        <v>-0.54856523226949705</v>
      </c>
      <c r="R392" s="85">
        <f t="shared" si="167"/>
        <v>-0.45564689623060894</v>
      </c>
    </row>
    <row r="393" spans="2:18">
      <c r="B393" s="83"/>
      <c r="C393" s="84">
        <v>141</v>
      </c>
      <c r="D393" s="84">
        <v>32</v>
      </c>
      <c r="E393" s="84">
        <v>1.46133333333333</v>
      </c>
      <c r="F393" s="78"/>
      <c r="G393" s="85">
        <f t="shared" si="156"/>
        <v>0.63322287588539428</v>
      </c>
      <c r="H393" s="86">
        <f t="shared" si="157"/>
        <v>0.23015873015873012</v>
      </c>
      <c r="I393" s="85">
        <f t="shared" si="158"/>
        <v>-0.47872340425531917</v>
      </c>
      <c r="J393" s="85">
        <f t="shared" si="159"/>
        <v>0.23118279569892275</v>
      </c>
      <c r="K393" s="86">
        <f t="shared" si="160"/>
        <v>-0.52857177225277552</v>
      </c>
      <c r="L393" s="87">
        <f t="shared" si="161"/>
        <v>0.17393746749174635</v>
      </c>
      <c r="M393" s="86">
        <f t="shared" si="162"/>
        <v>-0.2788427787133983</v>
      </c>
      <c r="N393" s="87">
        <f t="shared" si="163"/>
        <v>0.51699985285803018</v>
      </c>
      <c r="O393" s="86">
        <f t="shared" si="164"/>
        <v>-0.54856523226949694</v>
      </c>
      <c r="P393" s="87">
        <f t="shared" si="165"/>
        <v>0.17757597965478539</v>
      </c>
      <c r="Q393" s="86">
        <f t="shared" si="166"/>
        <v>-0.52857177225277563</v>
      </c>
      <c r="R393" s="85">
        <f t="shared" si="167"/>
        <v>-0.45928540839364795</v>
      </c>
    </row>
    <row r="394" spans="2:18">
      <c r="B394" s="83"/>
      <c r="C394" s="84">
        <v>144</v>
      </c>
      <c r="D394" s="84">
        <v>16</v>
      </c>
      <c r="E394" s="84">
        <v>1.5856666666666701</v>
      </c>
      <c r="F394" s="78"/>
      <c r="G394" s="85">
        <f t="shared" si="156"/>
        <v>0.6987589837392415</v>
      </c>
      <c r="H394" s="86">
        <f t="shared" si="157"/>
        <v>0.24603174603174605</v>
      </c>
      <c r="I394" s="85">
        <f t="shared" si="158"/>
        <v>-0.5</v>
      </c>
      <c r="J394" s="85">
        <f t="shared" si="159"/>
        <v>0.3068573747210408</v>
      </c>
      <c r="K394" s="86">
        <f t="shared" si="160"/>
        <v>-0.55399412343339649</v>
      </c>
      <c r="L394" s="87">
        <f t="shared" si="161"/>
        <v>0.23565420956588723</v>
      </c>
      <c r="M394" s="86">
        <f t="shared" si="162"/>
        <v>-0.29883623873011972</v>
      </c>
      <c r="N394" s="87">
        <f t="shared" si="163"/>
        <v>0.58617447287491631</v>
      </c>
      <c r="O394" s="86">
        <f t="shared" si="164"/>
        <v>-0.55399412343339649</v>
      </c>
      <c r="P394" s="87">
        <f t="shared" si="165"/>
        <v>0.23565420956588723</v>
      </c>
      <c r="Q394" s="86">
        <f t="shared" si="166"/>
        <v>-0.5539941234333966</v>
      </c>
      <c r="R394" s="85">
        <f t="shared" si="167"/>
        <v>-0.46310477417335427</v>
      </c>
    </row>
    <row r="395" spans="2:18">
      <c r="B395" s="83"/>
      <c r="C395" s="84">
        <v>144</v>
      </c>
      <c r="D395" s="84">
        <v>32</v>
      </c>
      <c r="E395" s="84">
        <v>1.498</v>
      </c>
      <c r="F395" s="78"/>
      <c r="G395" s="85">
        <f t="shared" si="156"/>
        <v>0.65254987820154287</v>
      </c>
      <c r="H395" s="86">
        <f t="shared" si="157"/>
        <v>0.24603174603174605</v>
      </c>
      <c r="I395" s="85">
        <f t="shared" si="158"/>
        <v>-0.47872340425531917</v>
      </c>
      <c r="J395" s="85">
        <f t="shared" si="159"/>
        <v>0.25349969567863662</v>
      </c>
      <c r="K395" s="86">
        <f t="shared" si="160"/>
        <v>-0.53400066341667507</v>
      </c>
      <c r="L395" s="87">
        <f t="shared" si="161"/>
        <v>0.18580659186514964</v>
      </c>
      <c r="M395" s="86">
        <f t="shared" si="162"/>
        <v>-0.2788427787133983</v>
      </c>
      <c r="N395" s="87">
        <f t="shared" si="163"/>
        <v>0.53632685517417877</v>
      </c>
      <c r="O395" s="86">
        <f t="shared" si="164"/>
        <v>-0.55399412343339649</v>
      </c>
      <c r="P395" s="87">
        <f t="shared" si="165"/>
        <v>0.18944510402818865</v>
      </c>
      <c r="Q395" s="86">
        <f t="shared" si="166"/>
        <v>-0.53400066341667518</v>
      </c>
      <c r="R395" s="85">
        <f t="shared" si="167"/>
        <v>-0.46674328633639328</v>
      </c>
    </row>
    <row r="396" spans="2:18">
      <c r="B396" s="83"/>
      <c r="C396" s="84">
        <v>147</v>
      </c>
      <c r="D396" s="84">
        <v>16</v>
      </c>
      <c r="E396" s="84">
        <v>1.607</v>
      </c>
      <c r="F396" s="78"/>
      <c r="G396" s="85">
        <f t="shared" si="156"/>
        <v>0.71000378508681616</v>
      </c>
      <c r="H396" s="86">
        <f t="shared" si="157"/>
        <v>0.26190476190476186</v>
      </c>
      <c r="I396" s="85">
        <f t="shared" si="158"/>
        <v>-0.5</v>
      </c>
      <c r="J396" s="85">
        <f t="shared" si="159"/>
        <v>0.31984175289105288</v>
      </c>
      <c r="K396" s="86">
        <f t="shared" si="160"/>
        <v>-0.55942301459729593</v>
      </c>
      <c r="L396" s="87">
        <f t="shared" si="161"/>
        <v>0.23944113297071656</v>
      </c>
      <c r="M396" s="86">
        <f t="shared" si="162"/>
        <v>-0.29883623873011972</v>
      </c>
      <c r="N396" s="87">
        <f t="shared" si="163"/>
        <v>0.59741927422249086</v>
      </c>
      <c r="O396" s="86">
        <f t="shared" si="164"/>
        <v>-0.55942301459729593</v>
      </c>
      <c r="P396" s="87">
        <f t="shared" si="165"/>
        <v>0.23944113297071656</v>
      </c>
      <c r="Q396" s="86">
        <f t="shared" si="166"/>
        <v>-0.55942301459729604</v>
      </c>
      <c r="R396" s="85">
        <f t="shared" si="167"/>
        <v>-0.47056265211609954</v>
      </c>
    </row>
    <row r="397" spans="2:18">
      <c r="B397" s="83"/>
      <c r="C397" s="84">
        <v>150</v>
      </c>
      <c r="D397" s="84">
        <v>16</v>
      </c>
      <c r="E397" s="84">
        <v>1.6220000000000001</v>
      </c>
      <c r="F397" s="78"/>
      <c r="G397" s="85">
        <f t="shared" si="156"/>
        <v>0.71791028603433094</v>
      </c>
      <c r="H397" s="86">
        <f t="shared" si="157"/>
        <v>0.27777777777777779</v>
      </c>
      <c r="I397" s="85">
        <f t="shared" si="158"/>
        <v>-0.5</v>
      </c>
      <c r="J397" s="85">
        <f t="shared" si="159"/>
        <v>0.32897139379184426</v>
      </c>
      <c r="K397" s="86">
        <f t="shared" si="160"/>
        <v>-0.56485190576119548</v>
      </c>
      <c r="L397" s="87">
        <f t="shared" si="161"/>
        <v>0.23988975597548601</v>
      </c>
      <c r="M397" s="86">
        <f t="shared" si="162"/>
        <v>-0.29883623873011972</v>
      </c>
      <c r="N397" s="87">
        <f t="shared" si="163"/>
        <v>0.60532577517000563</v>
      </c>
      <c r="O397" s="86">
        <f t="shared" si="164"/>
        <v>-0.56485190576119548</v>
      </c>
      <c r="P397" s="87">
        <f t="shared" si="165"/>
        <v>0.23988975597548601</v>
      </c>
      <c r="Q397" s="86">
        <f t="shared" si="166"/>
        <v>-0.56485190576119559</v>
      </c>
      <c r="R397" s="85">
        <f t="shared" si="167"/>
        <v>-0.47802053005884487</v>
      </c>
    </row>
    <row r="398" spans="2:18">
      <c r="B398" s="83"/>
      <c r="C398" s="84">
        <v>153</v>
      </c>
      <c r="D398" s="84">
        <v>16</v>
      </c>
      <c r="E398" s="84">
        <v>1.6379999999999999</v>
      </c>
      <c r="F398" s="78"/>
      <c r="G398" s="85">
        <f t="shared" si="156"/>
        <v>0.72634388704501296</v>
      </c>
      <c r="H398" s="86">
        <f t="shared" si="157"/>
        <v>0.29365079365079361</v>
      </c>
      <c r="I398" s="85">
        <f t="shared" si="158"/>
        <v>-0.5</v>
      </c>
      <c r="J398" s="85">
        <f t="shared" si="159"/>
        <v>0.33870967741935476</v>
      </c>
      <c r="K398" s="86">
        <f t="shared" si="160"/>
        <v>-0.57028079692509503</v>
      </c>
      <c r="L398" s="87">
        <f t="shared" si="161"/>
        <v>0.24086547904342287</v>
      </c>
      <c r="M398" s="86">
        <f t="shared" si="162"/>
        <v>-0.29883623873011972</v>
      </c>
      <c r="N398" s="87">
        <f t="shared" si="163"/>
        <v>0.61375937618068788</v>
      </c>
      <c r="O398" s="86">
        <f t="shared" si="164"/>
        <v>-0.57028079692509503</v>
      </c>
      <c r="P398" s="87">
        <f t="shared" si="165"/>
        <v>0.24086547904342287</v>
      </c>
      <c r="Q398" s="86">
        <f t="shared" si="166"/>
        <v>-0.57028079692509515</v>
      </c>
      <c r="R398" s="85">
        <f t="shared" si="167"/>
        <v>-0.48547840800159014</v>
      </c>
    </row>
    <row r="399" spans="2:18">
      <c r="B399" s="83"/>
      <c r="C399" s="84">
        <v>156</v>
      </c>
      <c r="D399" s="84">
        <v>16</v>
      </c>
      <c r="E399" s="84">
        <v>1.6539999999999999</v>
      </c>
      <c r="F399" s="78"/>
      <c r="G399" s="85">
        <f t="shared" si="156"/>
        <v>0.73477748805569532</v>
      </c>
      <c r="H399" s="86">
        <f t="shared" si="157"/>
        <v>0.30952380952380953</v>
      </c>
      <c r="I399" s="85">
        <f t="shared" si="158"/>
        <v>-0.5</v>
      </c>
      <c r="J399" s="85">
        <f t="shared" si="159"/>
        <v>0.34844796104686537</v>
      </c>
      <c r="K399" s="86">
        <f t="shared" si="160"/>
        <v>-0.57570968808899448</v>
      </c>
      <c r="L399" s="87">
        <f t="shared" si="161"/>
        <v>0.24184120211135984</v>
      </c>
      <c r="M399" s="86">
        <f t="shared" si="162"/>
        <v>-0.29883623873011972</v>
      </c>
      <c r="N399" s="87">
        <f t="shared" si="163"/>
        <v>0.62219297719137012</v>
      </c>
      <c r="O399" s="86">
        <f t="shared" si="164"/>
        <v>-0.57570968808899448</v>
      </c>
      <c r="P399" s="87">
        <f t="shared" si="165"/>
        <v>0.24184120211135984</v>
      </c>
      <c r="Q399" s="86">
        <f t="shared" si="166"/>
        <v>-0.57570968808899459</v>
      </c>
      <c r="R399" s="85">
        <f t="shared" si="167"/>
        <v>-0.49293628594433547</v>
      </c>
    </row>
    <row r="400" spans="2:18">
      <c r="B400" s="83"/>
      <c r="C400" s="84">
        <v>159</v>
      </c>
      <c r="D400" s="84">
        <v>16</v>
      </c>
      <c r="E400" s="84">
        <v>1.67933333333333</v>
      </c>
      <c r="F400" s="78"/>
      <c r="G400" s="85">
        <f t="shared" si="156"/>
        <v>0.74813068965594065</v>
      </c>
      <c r="H400" s="86">
        <f t="shared" si="157"/>
        <v>0.32539682539682535</v>
      </c>
      <c r="I400" s="85">
        <f t="shared" si="158"/>
        <v>-0.5</v>
      </c>
      <c r="J400" s="85">
        <f t="shared" si="159"/>
        <v>0.36386691012375527</v>
      </c>
      <c r="K400" s="86">
        <f t="shared" si="160"/>
        <v>-0.58113857925289403</v>
      </c>
      <c r="L400" s="87">
        <f t="shared" si="161"/>
        <v>0.24773652576885985</v>
      </c>
      <c r="M400" s="86">
        <f t="shared" si="162"/>
        <v>-0.29883623873011972</v>
      </c>
      <c r="N400" s="87">
        <f t="shared" si="163"/>
        <v>0.63554617879161546</v>
      </c>
      <c r="O400" s="86">
        <f t="shared" si="164"/>
        <v>-0.58113857925289403</v>
      </c>
      <c r="P400" s="87">
        <f t="shared" si="165"/>
        <v>0.24773652576885985</v>
      </c>
      <c r="Q400" s="86">
        <f t="shared" si="166"/>
        <v>-0.58113857925289414</v>
      </c>
      <c r="R400" s="85">
        <f t="shared" si="167"/>
        <v>-0.5003941638870808</v>
      </c>
    </row>
    <row r="401" spans="2:18">
      <c r="B401" s="83"/>
      <c r="C401" s="84">
        <v>162</v>
      </c>
      <c r="D401" s="84">
        <v>16</v>
      </c>
      <c r="E401" s="84">
        <v>1.7003333333333299</v>
      </c>
      <c r="F401" s="78"/>
      <c r="G401" s="85">
        <f t="shared" si="156"/>
        <v>0.75919979098246104</v>
      </c>
      <c r="H401" s="86">
        <f t="shared" si="157"/>
        <v>0.34126984126984128</v>
      </c>
      <c r="I401" s="85">
        <f t="shared" si="158"/>
        <v>-0.5</v>
      </c>
      <c r="J401" s="85">
        <f t="shared" si="159"/>
        <v>0.37664840738486305</v>
      </c>
      <c r="K401" s="86">
        <f t="shared" si="160"/>
        <v>-0.58656747041679358</v>
      </c>
      <c r="L401" s="87">
        <f t="shared" si="161"/>
        <v>0.25134774915263508</v>
      </c>
      <c r="M401" s="86">
        <f t="shared" si="162"/>
        <v>-0.29883623873011972</v>
      </c>
      <c r="N401" s="87">
        <f t="shared" si="163"/>
        <v>0.64661528011813596</v>
      </c>
      <c r="O401" s="86">
        <f t="shared" si="164"/>
        <v>-0.58656747041679358</v>
      </c>
      <c r="P401" s="87">
        <f t="shared" si="165"/>
        <v>0.25134774915263508</v>
      </c>
      <c r="Q401" s="86">
        <f t="shared" si="166"/>
        <v>-0.58656747041679369</v>
      </c>
      <c r="R401" s="85">
        <f t="shared" si="167"/>
        <v>-0.50785204182982602</v>
      </c>
    </row>
    <row r="402" spans="2:18">
      <c r="B402" s="83"/>
      <c r="C402" s="84">
        <v>165</v>
      </c>
      <c r="D402" s="84">
        <v>16</v>
      </c>
      <c r="E402" s="84">
        <v>1.7106666666666701</v>
      </c>
      <c r="F402" s="78"/>
      <c r="G402" s="85">
        <f t="shared" si="156"/>
        <v>0.76464649163519693</v>
      </c>
      <c r="H402" s="86">
        <f t="shared" si="157"/>
        <v>0.3571428571428571</v>
      </c>
      <c r="I402" s="85">
        <f t="shared" si="158"/>
        <v>-0.5</v>
      </c>
      <c r="J402" s="85">
        <f t="shared" si="159"/>
        <v>0.38293771556096778</v>
      </c>
      <c r="K402" s="86">
        <f t="shared" si="160"/>
        <v>-0.59199636158069302</v>
      </c>
      <c r="L402" s="87">
        <f t="shared" si="161"/>
        <v>0.24933657186262564</v>
      </c>
      <c r="M402" s="86">
        <f t="shared" si="162"/>
        <v>-0.29883623873011972</v>
      </c>
      <c r="N402" s="87">
        <f t="shared" si="163"/>
        <v>0.65206198077087185</v>
      </c>
      <c r="O402" s="86">
        <f t="shared" si="164"/>
        <v>-0.59199636158069302</v>
      </c>
      <c r="P402" s="87">
        <f t="shared" si="165"/>
        <v>0.24933657186262564</v>
      </c>
      <c r="Q402" s="86">
        <f t="shared" si="166"/>
        <v>-0.59199636158069313</v>
      </c>
      <c r="R402" s="85">
        <f t="shared" si="167"/>
        <v>-0.51530991977257135</v>
      </c>
    </row>
    <row r="403" spans="2:18">
      <c r="B403" s="83"/>
      <c r="C403" s="84">
        <v>168</v>
      </c>
      <c r="D403" s="84">
        <v>16</v>
      </c>
      <c r="E403" s="84">
        <v>1.74233333333333</v>
      </c>
      <c r="F403" s="78"/>
      <c r="G403" s="85">
        <f t="shared" si="156"/>
        <v>0.78133799363550216</v>
      </c>
      <c r="H403" s="86">
        <f t="shared" si="157"/>
        <v>0.37301587301587302</v>
      </c>
      <c r="I403" s="85">
        <f t="shared" si="158"/>
        <v>-0.5</v>
      </c>
      <c r="J403" s="85">
        <f t="shared" si="159"/>
        <v>0.40221140190707849</v>
      </c>
      <c r="K403" s="86">
        <f t="shared" si="160"/>
        <v>-0.59742525274459257</v>
      </c>
      <c r="L403" s="87">
        <f t="shared" si="161"/>
        <v>0.25857019592018549</v>
      </c>
      <c r="M403" s="86">
        <f t="shared" si="162"/>
        <v>-0.29883623873011972</v>
      </c>
      <c r="N403" s="87">
        <f t="shared" si="163"/>
        <v>0.66875348277117697</v>
      </c>
      <c r="O403" s="86">
        <f t="shared" si="164"/>
        <v>-0.59742525274459257</v>
      </c>
      <c r="P403" s="87">
        <f t="shared" si="165"/>
        <v>0.25857019592018549</v>
      </c>
      <c r="Q403" s="86">
        <f t="shared" si="166"/>
        <v>-0.59742525274459268</v>
      </c>
      <c r="R403" s="85">
        <f t="shared" si="167"/>
        <v>-0.52276779771531667</v>
      </c>
    </row>
    <row r="404" spans="2:18">
      <c r="B404" s="83"/>
      <c r="C404" s="84">
        <v>171</v>
      </c>
      <c r="D404" s="84">
        <v>16</v>
      </c>
      <c r="E404" s="84">
        <v>1.7573333333333301</v>
      </c>
      <c r="F404" s="78"/>
      <c r="G404" s="85">
        <f t="shared" si="156"/>
        <v>0.78924449458301682</v>
      </c>
      <c r="H404" s="86">
        <f t="shared" si="157"/>
        <v>0.38888888888888884</v>
      </c>
      <c r="I404" s="85">
        <f t="shared" si="158"/>
        <v>-0.5</v>
      </c>
      <c r="J404" s="85">
        <f t="shared" si="159"/>
        <v>0.41134104280786976</v>
      </c>
      <c r="K404" s="86">
        <f t="shared" si="160"/>
        <v>-0.60285414390849201</v>
      </c>
      <c r="L404" s="87">
        <f t="shared" si="161"/>
        <v>0.25901881892495493</v>
      </c>
      <c r="M404" s="86">
        <f t="shared" si="162"/>
        <v>-0.29883623873011972</v>
      </c>
      <c r="N404" s="87">
        <f t="shared" si="163"/>
        <v>0.67665998371869174</v>
      </c>
      <c r="O404" s="86">
        <f t="shared" si="164"/>
        <v>-0.60285414390849201</v>
      </c>
      <c r="P404" s="87">
        <f t="shared" si="165"/>
        <v>0.25901881892495493</v>
      </c>
      <c r="Q404" s="86">
        <f t="shared" si="166"/>
        <v>-0.60285414390849212</v>
      </c>
      <c r="R404" s="85">
        <f t="shared" si="167"/>
        <v>-0.53022567565806189</v>
      </c>
    </row>
    <row r="405" spans="2:18">
      <c r="B405" s="83"/>
      <c r="C405" s="84">
        <v>174</v>
      </c>
      <c r="D405" s="84">
        <v>16</v>
      </c>
      <c r="E405" s="84">
        <v>1.7786666666666699</v>
      </c>
      <c r="F405" s="78"/>
      <c r="G405" s="85">
        <f t="shared" si="156"/>
        <v>0.8004892959305967</v>
      </c>
      <c r="H405" s="86">
        <f t="shared" si="157"/>
        <v>0.40476190476190477</v>
      </c>
      <c r="I405" s="85">
        <f t="shared" si="158"/>
        <v>-0.5</v>
      </c>
      <c r="J405" s="85">
        <f t="shared" si="159"/>
        <v>0.42432542097788795</v>
      </c>
      <c r="K405" s="86">
        <f t="shared" si="160"/>
        <v>-0.60828303507239156</v>
      </c>
      <c r="L405" s="87">
        <f t="shared" si="161"/>
        <v>0.26280574232978943</v>
      </c>
      <c r="M405" s="86">
        <f t="shared" si="162"/>
        <v>-0.29883623873011972</v>
      </c>
      <c r="N405" s="87">
        <f t="shared" si="163"/>
        <v>0.68790478506627151</v>
      </c>
      <c r="O405" s="86">
        <f t="shared" si="164"/>
        <v>-0.60828303507239156</v>
      </c>
      <c r="P405" s="87">
        <f t="shared" si="165"/>
        <v>0.26280574232978943</v>
      </c>
      <c r="Q405" s="86">
        <f t="shared" si="166"/>
        <v>-0.60828303507239168</v>
      </c>
      <c r="R405" s="85">
        <f t="shared" si="167"/>
        <v>-0.53768355360080733</v>
      </c>
    </row>
    <row r="406" spans="2:18">
      <c r="B406" s="83"/>
      <c r="C406" s="84">
        <v>177</v>
      </c>
      <c r="D406" s="84">
        <v>16</v>
      </c>
      <c r="E406" s="84">
        <v>1.7993333333333299</v>
      </c>
      <c r="F406" s="78"/>
      <c r="G406" s="85">
        <f t="shared" si="156"/>
        <v>0.81138269723605783</v>
      </c>
      <c r="H406" s="86">
        <f t="shared" si="157"/>
        <v>0.42063492063492058</v>
      </c>
      <c r="I406" s="85">
        <f t="shared" si="158"/>
        <v>-0.5</v>
      </c>
      <c r="J406" s="85">
        <f t="shared" si="159"/>
        <v>0.43690403733008509</v>
      </c>
      <c r="K406" s="86">
        <f t="shared" si="160"/>
        <v>-0.61371192623629101</v>
      </c>
      <c r="L406" s="87">
        <f t="shared" si="161"/>
        <v>0.26624126569250522</v>
      </c>
      <c r="M406" s="86">
        <f t="shared" si="162"/>
        <v>-0.29883623873011972</v>
      </c>
      <c r="N406" s="87">
        <f t="shared" si="163"/>
        <v>0.69879818637173252</v>
      </c>
      <c r="O406" s="86">
        <f t="shared" si="164"/>
        <v>-0.61371192623629101</v>
      </c>
      <c r="P406" s="87">
        <f t="shared" si="165"/>
        <v>0.26624126569250522</v>
      </c>
      <c r="Q406" s="86">
        <f t="shared" si="166"/>
        <v>-0.61371192623629112</v>
      </c>
      <c r="R406" s="85">
        <f t="shared" si="167"/>
        <v>-0.54514143154355255</v>
      </c>
    </row>
    <row r="407" spans="2:18">
      <c r="B407" s="83"/>
      <c r="C407" s="84">
        <v>180</v>
      </c>
      <c r="D407" s="84">
        <v>16</v>
      </c>
      <c r="E407" s="84">
        <v>1.825</v>
      </c>
      <c r="F407" s="78"/>
      <c r="G407" s="85">
        <f t="shared" si="156"/>
        <v>0.82491159885736243</v>
      </c>
      <c r="H407" s="86">
        <f t="shared" si="157"/>
        <v>0.43650793650793651</v>
      </c>
      <c r="I407" s="85">
        <f t="shared" si="158"/>
        <v>-0.5</v>
      </c>
      <c r="J407" s="85">
        <f t="shared" si="159"/>
        <v>0.45252586731588551</v>
      </c>
      <c r="K407" s="86">
        <f t="shared" si="160"/>
        <v>-0.61914081740019056</v>
      </c>
      <c r="L407" s="87">
        <f t="shared" si="161"/>
        <v>0.27231228937106455</v>
      </c>
      <c r="M407" s="86">
        <f t="shared" si="162"/>
        <v>-0.29883623873011972</v>
      </c>
      <c r="N407" s="87">
        <f t="shared" si="163"/>
        <v>0.71232708799303723</v>
      </c>
      <c r="O407" s="86">
        <f t="shared" si="164"/>
        <v>-0.61914081740019056</v>
      </c>
      <c r="P407" s="87">
        <f t="shared" si="165"/>
        <v>0.27231228937106455</v>
      </c>
      <c r="Q407" s="86">
        <f t="shared" si="166"/>
        <v>-0.61914081740019067</v>
      </c>
      <c r="R407" s="85">
        <f t="shared" si="167"/>
        <v>-0.55259930948629787</v>
      </c>
    </row>
    <row r="408" spans="2:18">
      <c r="B408" s="83"/>
      <c r="C408" s="84">
        <v>183</v>
      </c>
      <c r="D408" s="84">
        <v>16</v>
      </c>
      <c r="E408" s="84">
        <v>1.8356666666666701</v>
      </c>
      <c r="F408" s="78"/>
      <c r="G408" s="85">
        <f t="shared" si="156"/>
        <v>0.83053399953115259</v>
      </c>
      <c r="H408" s="86">
        <f t="shared" si="157"/>
        <v>0.45238095238095233</v>
      </c>
      <c r="I408" s="85">
        <f t="shared" si="158"/>
        <v>-0.5</v>
      </c>
      <c r="J408" s="85">
        <f t="shared" si="159"/>
        <v>0.45901805640089477</v>
      </c>
      <c r="K408" s="86">
        <f t="shared" si="160"/>
        <v>-0.62456970856408989</v>
      </c>
      <c r="L408" s="87">
        <f t="shared" si="161"/>
        <v>0.27047681210210939</v>
      </c>
      <c r="M408" s="86">
        <f t="shared" si="162"/>
        <v>-0.29883623873011972</v>
      </c>
      <c r="N408" s="87">
        <f t="shared" si="163"/>
        <v>0.7179494886668274</v>
      </c>
      <c r="O408" s="86">
        <f t="shared" si="164"/>
        <v>-0.62456970856408989</v>
      </c>
      <c r="P408" s="87">
        <f t="shared" si="165"/>
        <v>0.27047681210210939</v>
      </c>
      <c r="Q408" s="86">
        <f t="shared" si="166"/>
        <v>-0.62456970856409011</v>
      </c>
      <c r="R408" s="85">
        <f t="shared" si="167"/>
        <v>-0.5600571874290432</v>
      </c>
    </row>
    <row r="409" spans="2:18">
      <c r="B409" s="83"/>
      <c r="C409" s="84">
        <v>186</v>
      </c>
      <c r="D409" s="84">
        <v>16</v>
      </c>
      <c r="E409" s="84">
        <v>1.86133333333333</v>
      </c>
      <c r="F409" s="78"/>
      <c r="G409" s="85">
        <f t="shared" si="156"/>
        <v>0.84406290115245175</v>
      </c>
      <c r="H409" s="86">
        <f t="shared" si="157"/>
        <v>0.46825396825396826</v>
      </c>
      <c r="I409" s="85">
        <f t="shared" si="158"/>
        <v>-0.5</v>
      </c>
      <c r="J409" s="85">
        <f t="shared" si="159"/>
        <v>0.47463988638668897</v>
      </c>
      <c r="K409" s="86">
        <f t="shared" ref="K409:K411" si="168">(H409*$H$13+I409*$I$13+J409*$J$13+$D$27)*$C$27</f>
        <v>-0.62999859972798944</v>
      </c>
      <c r="L409" s="87">
        <f t="shared" si="161"/>
        <v>0.27654783578066333</v>
      </c>
      <c r="M409" s="86">
        <f t="shared" si="162"/>
        <v>-0.29883623873011972</v>
      </c>
      <c r="N409" s="87">
        <f t="shared" si="163"/>
        <v>0.73147839028812656</v>
      </c>
      <c r="O409" s="86">
        <f t="shared" si="164"/>
        <v>-0.62999859972798944</v>
      </c>
      <c r="P409" s="87">
        <f t="shared" si="165"/>
        <v>0.27654783578066333</v>
      </c>
      <c r="Q409" s="86">
        <f t="shared" si="166"/>
        <v>-0.62999859972798966</v>
      </c>
      <c r="R409" s="85">
        <f t="shared" si="167"/>
        <v>-0.56751506537178842</v>
      </c>
    </row>
    <row r="410" spans="2:18">
      <c r="B410" s="83"/>
      <c r="C410" s="84">
        <v>189</v>
      </c>
      <c r="D410" s="84">
        <v>16</v>
      </c>
      <c r="E410" s="84">
        <v>1.88266666666667</v>
      </c>
      <c r="F410" s="78"/>
      <c r="G410" s="85">
        <f t="shared" si="156"/>
        <v>0.85530770250003174</v>
      </c>
      <c r="H410" s="86">
        <f t="shared" si="157"/>
        <v>0.48412698412698407</v>
      </c>
      <c r="I410" s="85">
        <f t="shared" si="158"/>
        <v>-0.5</v>
      </c>
      <c r="J410" s="85">
        <f t="shared" si="159"/>
        <v>0.48762426455670727</v>
      </c>
      <c r="K410" s="86">
        <f t="shared" si="168"/>
        <v>-0.63542749089188899</v>
      </c>
      <c r="L410" s="87">
        <f t="shared" si="161"/>
        <v>0.28033475918549799</v>
      </c>
      <c r="M410" s="86">
        <f t="shared" si="162"/>
        <v>-0.29883623873011972</v>
      </c>
      <c r="N410" s="87">
        <f t="shared" si="163"/>
        <v>0.74272319163570655</v>
      </c>
      <c r="O410" s="86">
        <f t="shared" si="164"/>
        <v>-0.63542749089188899</v>
      </c>
      <c r="P410" s="87">
        <f t="shared" si="165"/>
        <v>0.28033475918549799</v>
      </c>
      <c r="Q410" s="86">
        <f t="shared" si="166"/>
        <v>-0.63542749089188921</v>
      </c>
      <c r="R410" s="85">
        <f t="shared" si="167"/>
        <v>-0.57497294331453375</v>
      </c>
    </row>
    <row r="411" spans="2:18">
      <c r="B411" s="83"/>
      <c r="C411" s="84">
        <v>192</v>
      </c>
      <c r="D411" s="84">
        <v>16</v>
      </c>
      <c r="E411" s="84">
        <v>1.903</v>
      </c>
      <c r="F411" s="78"/>
      <c r="G411" s="85">
        <f t="shared" si="156"/>
        <v>0.86602540378443871</v>
      </c>
      <c r="H411" s="86">
        <f t="shared" si="157"/>
        <v>0.5</v>
      </c>
      <c r="I411" s="85">
        <f t="shared" si="158"/>
        <v>-0.5</v>
      </c>
      <c r="J411" s="85">
        <f t="shared" si="159"/>
        <v>0.5</v>
      </c>
      <c r="K411" s="86">
        <f t="shared" si="168"/>
        <v>-0.64085638205578843</v>
      </c>
      <c r="L411" s="87">
        <f t="shared" si="161"/>
        <v>0.28359458252715963</v>
      </c>
      <c r="M411" s="86">
        <f t="shared" si="162"/>
        <v>-0.29883623873011972</v>
      </c>
      <c r="N411" s="87">
        <f t="shared" si="163"/>
        <v>0.75344089292011351</v>
      </c>
      <c r="O411" s="86">
        <f t="shared" si="164"/>
        <v>-0.64085638205578843</v>
      </c>
      <c r="P411" s="87">
        <f t="shared" si="165"/>
        <v>0.28359458252715963</v>
      </c>
      <c r="Q411" s="86">
        <f t="shared" si="166"/>
        <v>-0.64085638205578865</v>
      </c>
      <c r="R411" s="85">
        <f t="shared" si="167"/>
        <v>-0.58243082125727907</v>
      </c>
    </row>
    <row r="412" spans="2:18">
      <c r="F412"/>
      <c r="G412"/>
    </row>
    <row r="413" spans="2:18">
      <c r="F413"/>
      <c r="G413"/>
    </row>
    <row r="414" spans="2:18">
      <c r="F414"/>
      <c r="G414"/>
    </row>
    <row r="415" spans="2:18">
      <c r="F415"/>
      <c r="G415"/>
    </row>
    <row r="416" spans="2:18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</sheetData>
  <phoneticPr fontId="4"/>
  <dataValidations count="1">
    <dataValidation allowBlank="1" showInputMessage="1" showErrorMessage="1" sqref="F33:R411 B33:B411"/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28575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28575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28575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28575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28575</xdr:colOff>
                    <xdr:row>19</xdr:row>
                    <xdr:rowOff>9525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28575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28575</xdr:colOff>
                    <xdr:row>21</xdr:row>
                    <xdr:rowOff>9525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714375</xdr:colOff>
                    <xdr:row>21</xdr:row>
                    <xdr:rowOff>180975</xdr:rowOff>
                  </from>
                  <to>
                    <xdr:col>3</xdr:col>
                    <xdr:colOff>257175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714375</xdr:colOff>
                    <xdr:row>17</xdr:row>
                    <xdr:rowOff>190500</xdr:rowOff>
                  </from>
                  <to>
                    <xdr:col>2</xdr:col>
                    <xdr:colOff>904875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plot</vt:lpstr>
      <vt:lpstr>firstLabel</vt:lpstr>
      <vt:lpstr>firstZ</vt:lpstr>
      <vt:lpstr>NrPoints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Jochen Schwander</cp:lastModifiedBy>
  <dcterms:created xsi:type="dcterms:W3CDTF">2012-09-19T17:34:13Z</dcterms:created>
  <dcterms:modified xsi:type="dcterms:W3CDTF">2014-06-23T14:07:53Z</dcterms:modified>
</cp:coreProperties>
</file>