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date1904="1"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C:\Hochschule\ALR\vs2012project\rsa_cracker\rsa_cracker\alr\statistic\euclidean_gcd\"/>
    </mc:Choice>
  </mc:AlternateContent>
  <bookViews>
    <workbookView xWindow="75" yWindow="0" windowWidth="36840" windowHeight="19575" tabRatio="500"/>
  </bookViews>
  <sheets>
    <sheet name="plot" sheetId="1" r:id="rId1"/>
  </sheets>
  <definedNames>
    <definedName name="_xlnm._FilterDatabase" localSheetId="0" hidden="1">plot!$B$32:$R$333</definedName>
    <definedName name="firstLabel">plot!$B$33</definedName>
    <definedName name="firstZ">plot!$E$33</definedName>
    <definedName name="NrPoints">plot!$H$8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6" i="1" l="1"/>
  <c r="H17" i="1"/>
  <c r="H190" i="1"/>
  <c r="I16" i="1"/>
  <c r="I17" i="1"/>
  <c r="I190" i="1"/>
  <c r="J16" i="1"/>
  <c r="J17" i="1"/>
  <c r="J190" i="1"/>
  <c r="H18" i="1"/>
  <c r="H11" i="1"/>
  <c r="H12" i="1"/>
  <c r="I11" i="1"/>
  <c r="J12" i="1"/>
  <c r="J11" i="1"/>
  <c r="H14" i="1"/>
  <c r="I18" i="1"/>
  <c r="I14" i="1"/>
  <c r="J18" i="1"/>
  <c r="I12" i="1"/>
  <c r="J14" i="1"/>
  <c r="C27" i="1"/>
  <c r="E27" i="1"/>
  <c r="L190" i="1"/>
  <c r="J27" i="1"/>
  <c r="R190" i="1"/>
  <c r="G190" i="1"/>
  <c r="H191" i="1"/>
  <c r="I191" i="1"/>
  <c r="J191" i="1"/>
  <c r="L191" i="1"/>
  <c r="R191" i="1"/>
  <c r="G191" i="1"/>
  <c r="H192" i="1"/>
  <c r="I192" i="1"/>
  <c r="J192" i="1"/>
  <c r="L192" i="1"/>
  <c r="R192" i="1"/>
  <c r="G192" i="1"/>
  <c r="H193" i="1"/>
  <c r="I193" i="1"/>
  <c r="J193" i="1"/>
  <c r="L193" i="1"/>
  <c r="R193" i="1"/>
  <c r="G193" i="1"/>
  <c r="H194" i="1"/>
  <c r="I194" i="1"/>
  <c r="J194" i="1"/>
  <c r="L194" i="1"/>
  <c r="R194" i="1"/>
  <c r="G194" i="1"/>
  <c r="H195" i="1"/>
  <c r="I195" i="1"/>
  <c r="J195" i="1"/>
  <c r="L195" i="1"/>
  <c r="R195" i="1"/>
  <c r="G195" i="1"/>
  <c r="H196" i="1"/>
  <c r="I196" i="1"/>
  <c r="J196" i="1"/>
  <c r="L196" i="1"/>
  <c r="R196" i="1"/>
  <c r="G196" i="1"/>
  <c r="H197" i="1"/>
  <c r="I197" i="1"/>
  <c r="J197" i="1"/>
  <c r="L197" i="1"/>
  <c r="R197" i="1"/>
  <c r="G197" i="1"/>
  <c r="H198" i="1"/>
  <c r="I198" i="1"/>
  <c r="J198" i="1"/>
  <c r="L198" i="1"/>
  <c r="R198" i="1"/>
  <c r="G198" i="1"/>
  <c r="H199" i="1"/>
  <c r="I199" i="1"/>
  <c r="J199" i="1"/>
  <c r="L199" i="1"/>
  <c r="R199" i="1"/>
  <c r="G199" i="1"/>
  <c r="H200" i="1"/>
  <c r="I200" i="1"/>
  <c r="J200" i="1"/>
  <c r="L200" i="1"/>
  <c r="R200" i="1"/>
  <c r="G200" i="1"/>
  <c r="H201" i="1"/>
  <c r="I201" i="1"/>
  <c r="J201" i="1"/>
  <c r="L201" i="1"/>
  <c r="R201" i="1"/>
  <c r="G201" i="1"/>
  <c r="H202" i="1"/>
  <c r="I202" i="1"/>
  <c r="J202" i="1"/>
  <c r="L202" i="1"/>
  <c r="R202" i="1"/>
  <c r="G202" i="1"/>
  <c r="H203" i="1"/>
  <c r="I203" i="1"/>
  <c r="J203" i="1"/>
  <c r="L203" i="1"/>
  <c r="R203" i="1"/>
  <c r="G203" i="1"/>
  <c r="H204" i="1"/>
  <c r="I204" i="1"/>
  <c r="J204" i="1"/>
  <c r="L204" i="1"/>
  <c r="R204" i="1"/>
  <c r="G204" i="1"/>
  <c r="H205" i="1"/>
  <c r="I205" i="1"/>
  <c r="J205" i="1"/>
  <c r="L205" i="1"/>
  <c r="R205" i="1"/>
  <c r="G205" i="1"/>
  <c r="H206" i="1"/>
  <c r="I206" i="1"/>
  <c r="J206" i="1"/>
  <c r="L206" i="1"/>
  <c r="R206" i="1"/>
  <c r="G206" i="1"/>
  <c r="H207" i="1"/>
  <c r="I207" i="1"/>
  <c r="J207" i="1"/>
  <c r="L207" i="1"/>
  <c r="R207" i="1"/>
  <c r="G207" i="1"/>
  <c r="H208" i="1"/>
  <c r="I208" i="1"/>
  <c r="J208" i="1"/>
  <c r="L208" i="1"/>
  <c r="R208" i="1"/>
  <c r="G208" i="1"/>
  <c r="H209" i="1"/>
  <c r="I209" i="1"/>
  <c r="J209" i="1"/>
  <c r="L209" i="1"/>
  <c r="R209" i="1"/>
  <c r="G209" i="1"/>
  <c r="H210" i="1"/>
  <c r="I210" i="1"/>
  <c r="J210" i="1"/>
  <c r="L210" i="1"/>
  <c r="R210" i="1"/>
  <c r="G210" i="1"/>
  <c r="H211" i="1"/>
  <c r="I211" i="1"/>
  <c r="J211" i="1"/>
  <c r="L211" i="1"/>
  <c r="R211" i="1"/>
  <c r="G211" i="1"/>
  <c r="H212" i="1"/>
  <c r="I212" i="1"/>
  <c r="J212" i="1"/>
  <c r="L212" i="1"/>
  <c r="R212" i="1"/>
  <c r="G212" i="1"/>
  <c r="H213" i="1"/>
  <c r="I213" i="1"/>
  <c r="J213" i="1"/>
  <c r="L213" i="1"/>
  <c r="R213" i="1"/>
  <c r="G213" i="1"/>
  <c r="H214" i="1"/>
  <c r="I214" i="1"/>
  <c r="J214" i="1"/>
  <c r="L214" i="1"/>
  <c r="R214" i="1"/>
  <c r="G214" i="1"/>
  <c r="H215" i="1"/>
  <c r="I215" i="1"/>
  <c r="J215" i="1"/>
  <c r="L215" i="1"/>
  <c r="R215" i="1"/>
  <c r="G215" i="1"/>
  <c r="H216" i="1"/>
  <c r="I216" i="1"/>
  <c r="J216" i="1"/>
  <c r="L216" i="1"/>
  <c r="R216" i="1"/>
  <c r="G216" i="1"/>
  <c r="H217" i="1"/>
  <c r="I217" i="1"/>
  <c r="J217" i="1"/>
  <c r="L217" i="1"/>
  <c r="R217" i="1"/>
  <c r="G217" i="1"/>
  <c r="H218" i="1"/>
  <c r="I218" i="1"/>
  <c r="J218" i="1"/>
  <c r="L218" i="1"/>
  <c r="R218" i="1"/>
  <c r="G218" i="1"/>
  <c r="H219" i="1"/>
  <c r="I219" i="1"/>
  <c r="J219" i="1"/>
  <c r="L219" i="1"/>
  <c r="R219" i="1"/>
  <c r="G219" i="1"/>
  <c r="H220" i="1"/>
  <c r="I220" i="1"/>
  <c r="J220" i="1"/>
  <c r="L220" i="1"/>
  <c r="R220" i="1"/>
  <c r="G220" i="1"/>
  <c r="H221" i="1"/>
  <c r="I221" i="1"/>
  <c r="J221" i="1"/>
  <c r="L221" i="1"/>
  <c r="R221" i="1"/>
  <c r="G221" i="1"/>
  <c r="H222" i="1"/>
  <c r="I222" i="1"/>
  <c r="J222" i="1"/>
  <c r="L222" i="1"/>
  <c r="R222" i="1"/>
  <c r="G222" i="1"/>
  <c r="H223" i="1"/>
  <c r="I223" i="1"/>
  <c r="J223" i="1"/>
  <c r="L223" i="1"/>
  <c r="R223" i="1"/>
  <c r="G223" i="1"/>
  <c r="H224" i="1"/>
  <c r="I224" i="1"/>
  <c r="J224" i="1"/>
  <c r="L224" i="1"/>
  <c r="R224" i="1"/>
  <c r="G224" i="1"/>
  <c r="H225" i="1"/>
  <c r="I225" i="1"/>
  <c r="J225" i="1"/>
  <c r="L225" i="1"/>
  <c r="R225" i="1"/>
  <c r="G225" i="1"/>
  <c r="H226" i="1"/>
  <c r="I226" i="1"/>
  <c r="J226" i="1"/>
  <c r="L226" i="1"/>
  <c r="R226" i="1"/>
  <c r="G226" i="1"/>
  <c r="H227" i="1"/>
  <c r="I227" i="1"/>
  <c r="J227" i="1"/>
  <c r="L227" i="1"/>
  <c r="R227" i="1"/>
  <c r="G227" i="1"/>
  <c r="H228" i="1"/>
  <c r="I228" i="1"/>
  <c r="J228" i="1"/>
  <c r="L228" i="1"/>
  <c r="R228" i="1"/>
  <c r="G228" i="1"/>
  <c r="H229" i="1"/>
  <c r="I229" i="1"/>
  <c r="J229" i="1"/>
  <c r="L229" i="1"/>
  <c r="R229" i="1"/>
  <c r="G229" i="1"/>
  <c r="H230" i="1"/>
  <c r="I230" i="1"/>
  <c r="J230" i="1"/>
  <c r="L230" i="1"/>
  <c r="R230" i="1"/>
  <c r="G230" i="1"/>
  <c r="H231" i="1"/>
  <c r="I231" i="1"/>
  <c r="J231" i="1"/>
  <c r="L231" i="1"/>
  <c r="R231" i="1"/>
  <c r="G231" i="1"/>
  <c r="H232" i="1"/>
  <c r="I232" i="1"/>
  <c r="J232" i="1"/>
  <c r="L232" i="1"/>
  <c r="R232" i="1"/>
  <c r="G232" i="1"/>
  <c r="H233" i="1"/>
  <c r="I233" i="1"/>
  <c r="J233" i="1"/>
  <c r="L233" i="1"/>
  <c r="R233" i="1"/>
  <c r="G233" i="1"/>
  <c r="H234" i="1"/>
  <c r="I234" i="1"/>
  <c r="J234" i="1"/>
  <c r="L234" i="1"/>
  <c r="R234" i="1"/>
  <c r="G234" i="1"/>
  <c r="H235" i="1"/>
  <c r="I235" i="1"/>
  <c r="J235" i="1"/>
  <c r="L235" i="1"/>
  <c r="R235" i="1"/>
  <c r="G235" i="1"/>
  <c r="H236" i="1"/>
  <c r="I236" i="1"/>
  <c r="J236" i="1"/>
  <c r="L236" i="1"/>
  <c r="R236" i="1"/>
  <c r="G236" i="1"/>
  <c r="H237" i="1"/>
  <c r="I237" i="1"/>
  <c r="J237" i="1"/>
  <c r="L237" i="1"/>
  <c r="R237" i="1"/>
  <c r="G237" i="1"/>
  <c r="H238" i="1"/>
  <c r="I238" i="1"/>
  <c r="J238" i="1"/>
  <c r="L238" i="1"/>
  <c r="R238" i="1"/>
  <c r="G238" i="1"/>
  <c r="H239" i="1"/>
  <c r="I239" i="1"/>
  <c r="J239" i="1"/>
  <c r="L239" i="1"/>
  <c r="R239" i="1"/>
  <c r="G239" i="1"/>
  <c r="H240" i="1"/>
  <c r="I240" i="1"/>
  <c r="J240" i="1"/>
  <c r="L240" i="1"/>
  <c r="R240" i="1"/>
  <c r="G240" i="1"/>
  <c r="H241" i="1"/>
  <c r="I241" i="1"/>
  <c r="J241" i="1"/>
  <c r="L241" i="1"/>
  <c r="R241" i="1"/>
  <c r="G241" i="1"/>
  <c r="H242" i="1"/>
  <c r="I242" i="1"/>
  <c r="J242" i="1"/>
  <c r="L242" i="1"/>
  <c r="R242" i="1"/>
  <c r="G242" i="1"/>
  <c r="H243" i="1"/>
  <c r="I243" i="1"/>
  <c r="J243" i="1"/>
  <c r="L243" i="1"/>
  <c r="R243" i="1"/>
  <c r="G243" i="1"/>
  <c r="H244" i="1"/>
  <c r="I244" i="1"/>
  <c r="J244" i="1"/>
  <c r="L244" i="1"/>
  <c r="R244" i="1"/>
  <c r="G244" i="1"/>
  <c r="H245" i="1"/>
  <c r="I245" i="1"/>
  <c r="J245" i="1"/>
  <c r="L245" i="1"/>
  <c r="R245" i="1"/>
  <c r="G245" i="1"/>
  <c r="H246" i="1"/>
  <c r="I246" i="1"/>
  <c r="J246" i="1"/>
  <c r="L246" i="1"/>
  <c r="R246" i="1"/>
  <c r="G246" i="1"/>
  <c r="H247" i="1"/>
  <c r="I247" i="1"/>
  <c r="J247" i="1"/>
  <c r="L247" i="1"/>
  <c r="R247" i="1"/>
  <c r="G247" i="1"/>
  <c r="H248" i="1"/>
  <c r="I248" i="1"/>
  <c r="J248" i="1"/>
  <c r="L248" i="1"/>
  <c r="R248" i="1"/>
  <c r="G248" i="1"/>
  <c r="H249" i="1"/>
  <c r="I249" i="1"/>
  <c r="J249" i="1"/>
  <c r="L249" i="1"/>
  <c r="R249" i="1"/>
  <c r="G249" i="1"/>
  <c r="H250" i="1"/>
  <c r="I250" i="1"/>
  <c r="J250" i="1"/>
  <c r="L250" i="1"/>
  <c r="R250" i="1"/>
  <c r="G250" i="1"/>
  <c r="H251" i="1"/>
  <c r="I251" i="1"/>
  <c r="J251" i="1"/>
  <c r="L251" i="1"/>
  <c r="R251" i="1"/>
  <c r="G251" i="1"/>
  <c r="H252" i="1"/>
  <c r="I252" i="1"/>
  <c r="J252" i="1"/>
  <c r="L252" i="1"/>
  <c r="R252" i="1"/>
  <c r="G252" i="1"/>
  <c r="H253" i="1"/>
  <c r="I253" i="1"/>
  <c r="J253" i="1"/>
  <c r="L253" i="1"/>
  <c r="R253" i="1"/>
  <c r="G253" i="1"/>
  <c r="H254" i="1"/>
  <c r="I254" i="1"/>
  <c r="J254" i="1"/>
  <c r="L254" i="1"/>
  <c r="R254" i="1"/>
  <c r="G254" i="1"/>
  <c r="H255" i="1"/>
  <c r="I255" i="1"/>
  <c r="J255" i="1"/>
  <c r="L255" i="1"/>
  <c r="R255" i="1"/>
  <c r="G255" i="1"/>
  <c r="H256" i="1"/>
  <c r="I256" i="1"/>
  <c r="J256" i="1"/>
  <c r="L256" i="1"/>
  <c r="R256" i="1"/>
  <c r="G256" i="1"/>
  <c r="H257" i="1"/>
  <c r="I257" i="1"/>
  <c r="J257" i="1"/>
  <c r="L257" i="1"/>
  <c r="R257" i="1"/>
  <c r="G257" i="1"/>
  <c r="H258" i="1"/>
  <c r="I258" i="1"/>
  <c r="J258" i="1"/>
  <c r="L258" i="1"/>
  <c r="R258" i="1"/>
  <c r="G258" i="1"/>
  <c r="H259" i="1"/>
  <c r="I259" i="1"/>
  <c r="J259" i="1"/>
  <c r="L259" i="1"/>
  <c r="R259" i="1"/>
  <c r="G259" i="1"/>
  <c r="H260" i="1"/>
  <c r="I260" i="1"/>
  <c r="J260" i="1"/>
  <c r="L260" i="1"/>
  <c r="R260" i="1"/>
  <c r="G260" i="1"/>
  <c r="H261" i="1"/>
  <c r="I261" i="1"/>
  <c r="J261" i="1"/>
  <c r="L261" i="1"/>
  <c r="R261" i="1"/>
  <c r="G261" i="1"/>
  <c r="H262" i="1"/>
  <c r="I262" i="1"/>
  <c r="J262" i="1"/>
  <c r="L262" i="1"/>
  <c r="R262" i="1"/>
  <c r="G262" i="1"/>
  <c r="H263" i="1"/>
  <c r="I263" i="1"/>
  <c r="J263" i="1"/>
  <c r="L263" i="1"/>
  <c r="R263" i="1"/>
  <c r="G263" i="1"/>
  <c r="H264" i="1"/>
  <c r="I264" i="1"/>
  <c r="J264" i="1"/>
  <c r="L264" i="1"/>
  <c r="R264" i="1"/>
  <c r="G264" i="1"/>
  <c r="H265" i="1"/>
  <c r="I265" i="1"/>
  <c r="J265" i="1"/>
  <c r="L265" i="1"/>
  <c r="R265" i="1"/>
  <c r="G265" i="1"/>
  <c r="H266" i="1"/>
  <c r="I266" i="1"/>
  <c r="J266" i="1"/>
  <c r="L266" i="1"/>
  <c r="R266" i="1"/>
  <c r="G266" i="1"/>
  <c r="H267" i="1"/>
  <c r="I267" i="1"/>
  <c r="J267" i="1"/>
  <c r="L267" i="1"/>
  <c r="R267" i="1"/>
  <c r="G267" i="1"/>
  <c r="H268" i="1"/>
  <c r="I268" i="1"/>
  <c r="J268" i="1"/>
  <c r="L268" i="1"/>
  <c r="R268" i="1"/>
  <c r="G268" i="1"/>
  <c r="H269" i="1"/>
  <c r="I269" i="1"/>
  <c r="J269" i="1"/>
  <c r="L269" i="1"/>
  <c r="R269" i="1"/>
  <c r="G269" i="1"/>
  <c r="H270" i="1"/>
  <c r="I270" i="1"/>
  <c r="J270" i="1"/>
  <c r="L270" i="1"/>
  <c r="R270" i="1"/>
  <c r="G270" i="1"/>
  <c r="H271" i="1"/>
  <c r="I271" i="1"/>
  <c r="J271" i="1"/>
  <c r="L271" i="1"/>
  <c r="R271" i="1"/>
  <c r="G271" i="1"/>
  <c r="H272" i="1"/>
  <c r="I272" i="1"/>
  <c r="J272" i="1"/>
  <c r="L272" i="1"/>
  <c r="R272" i="1"/>
  <c r="G272" i="1"/>
  <c r="H273" i="1"/>
  <c r="I273" i="1"/>
  <c r="J273" i="1"/>
  <c r="L273" i="1"/>
  <c r="R273" i="1"/>
  <c r="G273" i="1"/>
  <c r="H274" i="1"/>
  <c r="I274" i="1"/>
  <c r="J274" i="1"/>
  <c r="L274" i="1"/>
  <c r="R274" i="1"/>
  <c r="G274" i="1"/>
  <c r="H275" i="1"/>
  <c r="I275" i="1"/>
  <c r="J275" i="1"/>
  <c r="L275" i="1"/>
  <c r="R275" i="1"/>
  <c r="G275" i="1"/>
  <c r="H276" i="1"/>
  <c r="I276" i="1"/>
  <c r="J276" i="1"/>
  <c r="L276" i="1"/>
  <c r="R276" i="1"/>
  <c r="G276" i="1"/>
  <c r="H277" i="1"/>
  <c r="I277" i="1"/>
  <c r="J277" i="1"/>
  <c r="L277" i="1"/>
  <c r="R277" i="1"/>
  <c r="G277" i="1"/>
  <c r="H278" i="1"/>
  <c r="I278" i="1"/>
  <c r="J278" i="1"/>
  <c r="L278" i="1"/>
  <c r="R278" i="1"/>
  <c r="G278" i="1"/>
  <c r="H279" i="1"/>
  <c r="I279" i="1"/>
  <c r="J279" i="1"/>
  <c r="L279" i="1"/>
  <c r="R279" i="1"/>
  <c r="G279" i="1"/>
  <c r="H280" i="1"/>
  <c r="I280" i="1"/>
  <c r="J280" i="1"/>
  <c r="L280" i="1"/>
  <c r="R280" i="1"/>
  <c r="G280" i="1"/>
  <c r="H13" i="1"/>
  <c r="I13" i="1"/>
  <c r="J13" i="1"/>
  <c r="D27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H27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I27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H40" i="1"/>
  <c r="I40" i="1"/>
  <c r="J40" i="1"/>
  <c r="L40" i="1"/>
  <c r="R40" i="1"/>
  <c r="G40" i="1"/>
  <c r="H41" i="1"/>
  <c r="I41" i="1"/>
  <c r="J41" i="1"/>
  <c r="L41" i="1"/>
  <c r="R41" i="1"/>
  <c r="G41" i="1"/>
  <c r="H42" i="1"/>
  <c r="I42" i="1"/>
  <c r="J42" i="1"/>
  <c r="L42" i="1"/>
  <c r="R42" i="1"/>
  <c r="G42" i="1"/>
  <c r="H43" i="1"/>
  <c r="I43" i="1"/>
  <c r="J43" i="1"/>
  <c r="L43" i="1"/>
  <c r="R43" i="1"/>
  <c r="G43" i="1"/>
  <c r="H44" i="1"/>
  <c r="I44" i="1"/>
  <c r="J44" i="1"/>
  <c r="L44" i="1"/>
  <c r="R44" i="1"/>
  <c r="G44" i="1"/>
  <c r="H45" i="1"/>
  <c r="I45" i="1"/>
  <c r="J45" i="1"/>
  <c r="L45" i="1"/>
  <c r="R45" i="1"/>
  <c r="G45" i="1"/>
  <c r="H46" i="1"/>
  <c r="I46" i="1"/>
  <c r="J46" i="1"/>
  <c r="L46" i="1"/>
  <c r="R46" i="1"/>
  <c r="G46" i="1"/>
  <c r="H47" i="1"/>
  <c r="I47" i="1"/>
  <c r="J47" i="1"/>
  <c r="L47" i="1"/>
  <c r="R47" i="1"/>
  <c r="G47" i="1"/>
  <c r="H48" i="1"/>
  <c r="I48" i="1"/>
  <c r="J48" i="1"/>
  <c r="L48" i="1"/>
  <c r="R48" i="1"/>
  <c r="G48" i="1"/>
  <c r="H49" i="1"/>
  <c r="I49" i="1"/>
  <c r="J49" i="1"/>
  <c r="L49" i="1"/>
  <c r="R49" i="1"/>
  <c r="G49" i="1"/>
  <c r="H50" i="1"/>
  <c r="I50" i="1"/>
  <c r="J50" i="1"/>
  <c r="L50" i="1"/>
  <c r="R50" i="1"/>
  <c r="G50" i="1"/>
  <c r="H51" i="1"/>
  <c r="I51" i="1"/>
  <c r="J51" i="1"/>
  <c r="L51" i="1"/>
  <c r="R51" i="1"/>
  <c r="G51" i="1"/>
  <c r="H52" i="1"/>
  <c r="I52" i="1"/>
  <c r="J52" i="1"/>
  <c r="L52" i="1"/>
  <c r="R52" i="1"/>
  <c r="G52" i="1"/>
  <c r="H53" i="1"/>
  <c r="I53" i="1"/>
  <c r="J53" i="1"/>
  <c r="L53" i="1"/>
  <c r="R53" i="1"/>
  <c r="G53" i="1"/>
  <c r="H54" i="1"/>
  <c r="I54" i="1"/>
  <c r="J54" i="1"/>
  <c r="L54" i="1"/>
  <c r="R54" i="1"/>
  <c r="G54" i="1"/>
  <c r="H55" i="1"/>
  <c r="I55" i="1"/>
  <c r="J55" i="1"/>
  <c r="L55" i="1"/>
  <c r="R55" i="1"/>
  <c r="G55" i="1"/>
  <c r="H56" i="1"/>
  <c r="I56" i="1"/>
  <c r="J56" i="1"/>
  <c r="L56" i="1"/>
  <c r="R56" i="1"/>
  <c r="G56" i="1"/>
  <c r="H57" i="1"/>
  <c r="I57" i="1"/>
  <c r="J57" i="1"/>
  <c r="L57" i="1"/>
  <c r="R57" i="1"/>
  <c r="G57" i="1"/>
  <c r="H58" i="1"/>
  <c r="I58" i="1"/>
  <c r="J58" i="1"/>
  <c r="L58" i="1"/>
  <c r="R58" i="1"/>
  <c r="G58" i="1"/>
  <c r="H59" i="1"/>
  <c r="I59" i="1"/>
  <c r="J59" i="1"/>
  <c r="L59" i="1"/>
  <c r="R59" i="1"/>
  <c r="G59" i="1"/>
  <c r="H60" i="1"/>
  <c r="I60" i="1"/>
  <c r="J60" i="1"/>
  <c r="L60" i="1"/>
  <c r="R60" i="1"/>
  <c r="G60" i="1"/>
  <c r="H61" i="1"/>
  <c r="I61" i="1"/>
  <c r="J61" i="1"/>
  <c r="L61" i="1"/>
  <c r="R61" i="1"/>
  <c r="G61" i="1"/>
  <c r="H62" i="1"/>
  <c r="I62" i="1"/>
  <c r="J62" i="1"/>
  <c r="L62" i="1"/>
  <c r="R62" i="1"/>
  <c r="G62" i="1"/>
  <c r="H63" i="1"/>
  <c r="I63" i="1"/>
  <c r="J63" i="1"/>
  <c r="L63" i="1"/>
  <c r="R63" i="1"/>
  <c r="G63" i="1"/>
  <c r="H64" i="1"/>
  <c r="I64" i="1"/>
  <c r="J64" i="1"/>
  <c r="L64" i="1"/>
  <c r="R64" i="1"/>
  <c r="G64" i="1"/>
  <c r="H65" i="1"/>
  <c r="I65" i="1"/>
  <c r="J65" i="1"/>
  <c r="L65" i="1"/>
  <c r="R65" i="1"/>
  <c r="G65" i="1"/>
  <c r="H66" i="1"/>
  <c r="I66" i="1"/>
  <c r="J66" i="1"/>
  <c r="L66" i="1"/>
  <c r="R66" i="1"/>
  <c r="G66" i="1"/>
  <c r="H67" i="1"/>
  <c r="I67" i="1"/>
  <c r="J67" i="1"/>
  <c r="L67" i="1"/>
  <c r="R67" i="1"/>
  <c r="G67" i="1"/>
  <c r="H68" i="1"/>
  <c r="I68" i="1"/>
  <c r="J68" i="1"/>
  <c r="L68" i="1"/>
  <c r="R68" i="1"/>
  <c r="G68" i="1"/>
  <c r="H69" i="1"/>
  <c r="I69" i="1"/>
  <c r="J69" i="1"/>
  <c r="L69" i="1"/>
  <c r="R69" i="1"/>
  <c r="G69" i="1"/>
  <c r="H70" i="1"/>
  <c r="I70" i="1"/>
  <c r="J70" i="1"/>
  <c r="L70" i="1"/>
  <c r="R70" i="1"/>
  <c r="G70" i="1"/>
  <c r="H71" i="1"/>
  <c r="I71" i="1"/>
  <c r="J71" i="1"/>
  <c r="L71" i="1"/>
  <c r="R71" i="1"/>
  <c r="G71" i="1"/>
  <c r="H72" i="1"/>
  <c r="I72" i="1"/>
  <c r="J72" i="1"/>
  <c r="L72" i="1"/>
  <c r="R72" i="1"/>
  <c r="G72" i="1"/>
  <c r="H73" i="1"/>
  <c r="I73" i="1"/>
  <c r="J73" i="1"/>
  <c r="L73" i="1"/>
  <c r="R73" i="1"/>
  <c r="G73" i="1"/>
  <c r="H74" i="1"/>
  <c r="I74" i="1"/>
  <c r="J74" i="1"/>
  <c r="L74" i="1"/>
  <c r="R74" i="1"/>
  <c r="G74" i="1"/>
  <c r="H75" i="1"/>
  <c r="I75" i="1"/>
  <c r="J75" i="1"/>
  <c r="L75" i="1"/>
  <c r="R75" i="1"/>
  <c r="G75" i="1"/>
  <c r="H76" i="1"/>
  <c r="I76" i="1"/>
  <c r="J76" i="1"/>
  <c r="L76" i="1"/>
  <c r="R76" i="1"/>
  <c r="G76" i="1"/>
  <c r="H77" i="1"/>
  <c r="I77" i="1"/>
  <c r="J77" i="1"/>
  <c r="L77" i="1"/>
  <c r="R77" i="1"/>
  <c r="G77" i="1"/>
  <c r="H78" i="1"/>
  <c r="I78" i="1"/>
  <c r="J78" i="1"/>
  <c r="L78" i="1"/>
  <c r="R78" i="1"/>
  <c r="G78" i="1"/>
  <c r="H79" i="1"/>
  <c r="I79" i="1"/>
  <c r="J79" i="1"/>
  <c r="L79" i="1"/>
  <c r="R79" i="1"/>
  <c r="G79" i="1"/>
  <c r="H80" i="1"/>
  <c r="I80" i="1"/>
  <c r="J80" i="1"/>
  <c r="L80" i="1"/>
  <c r="R80" i="1"/>
  <c r="G80" i="1"/>
  <c r="H81" i="1"/>
  <c r="I81" i="1"/>
  <c r="J81" i="1"/>
  <c r="L81" i="1"/>
  <c r="R81" i="1"/>
  <c r="G81" i="1"/>
  <c r="H82" i="1"/>
  <c r="I82" i="1"/>
  <c r="J82" i="1"/>
  <c r="L82" i="1"/>
  <c r="R82" i="1"/>
  <c r="G82" i="1"/>
  <c r="H83" i="1"/>
  <c r="I83" i="1"/>
  <c r="J83" i="1"/>
  <c r="L83" i="1"/>
  <c r="R83" i="1"/>
  <c r="G83" i="1"/>
  <c r="H84" i="1"/>
  <c r="I84" i="1"/>
  <c r="J84" i="1"/>
  <c r="L84" i="1"/>
  <c r="R84" i="1"/>
  <c r="G84" i="1"/>
  <c r="H85" i="1"/>
  <c r="I85" i="1"/>
  <c r="J85" i="1"/>
  <c r="L85" i="1"/>
  <c r="R85" i="1"/>
  <c r="G85" i="1"/>
  <c r="H86" i="1"/>
  <c r="I86" i="1"/>
  <c r="J86" i="1"/>
  <c r="L86" i="1"/>
  <c r="R86" i="1"/>
  <c r="G86" i="1"/>
  <c r="H87" i="1"/>
  <c r="I87" i="1"/>
  <c r="J87" i="1"/>
  <c r="L87" i="1"/>
  <c r="R87" i="1"/>
  <c r="G87" i="1"/>
  <c r="H88" i="1"/>
  <c r="I88" i="1"/>
  <c r="J88" i="1"/>
  <c r="L88" i="1"/>
  <c r="R88" i="1"/>
  <c r="G88" i="1"/>
  <c r="H89" i="1"/>
  <c r="I89" i="1"/>
  <c r="J89" i="1"/>
  <c r="L89" i="1"/>
  <c r="R89" i="1"/>
  <c r="G89" i="1"/>
  <c r="H90" i="1"/>
  <c r="I90" i="1"/>
  <c r="J90" i="1"/>
  <c r="L90" i="1"/>
  <c r="R90" i="1"/>
  <c r="G90" i="1"/>
  <c r="H91" i="1"/>
  <c r="I91" i="1"/>
  <c r="J91" i="1"/>
  <c r="L91" i="1"/>
  <c r="R91" i="1"/>
  <c r="G91" i="1"/>
  <c r="H92" i="1"/>
  <c r="I92" i="1"/>
  <c r="J92" i="1"/>
  <c r="L92" i="1"/>
  <c r="R92" i="1"/>
  <c r="G92" i="1"/>
  <c r="H93" i="1"/>
  <c r="I93" i="1"/>
  <c r="J93" i="1"/>
  <c r="L93" i="1"/>
  <c r="R93" i="1"/>
  <c r="G93" i="1"/>
  <c r="H94" i="1"/>
  <c r="I94" i="1"/>
  <c r="J94" i="1"/>
  <c r="L94" i="1"/>
  <c r="R94" i="1"/>
  <c r="G94" i="1"/>
  <c r="H95" i="1"/>
  <c r="I95" i="1"/>
  <c r="J95" i="1"/>
  <c r="L95" i="1"/>
  <c r="R95" i="1"/>
  <c r="G95" i="1"/>
  <c r="H96" i="1"/>
  <c r="I96" i="1"/>
  <c r="J96" i="1"/>
  <c r="L96" i="1"/>
  <c r="R96" i="1"/>
  <c r="G96" i="1"/>
  <c r="H97" i="1"/>
  <c r="I97" i="1"/>
  <c r="J97" i="1"/>
  <c r="L97" i="1"/>
  <c r="R97" i="1"/>
  <c r="G97" i="1"/>
  <c r="H98" i="1"/>
  <c r="I98" i="1"/>
  <c r="J98" i="1"/>
  <c r="L98" i="1"/>
  <c r="R98" i="1"/>
  <c r="G98" i="1"/>
  <c r="H99" i="1"/>
  <c r="I99" i="1"/>
  <c r="J99" i="1"/>
  <c r="L99" i="1"/>
  <c r="R99" i="1"/>
  <c r="G99" i="1"/>
  <c r="H100" i="1"/>
  <c r="I100" i="1"/>
  <c r="J100" i="1"/>
  <c r="L100" i="1"/>
  <c r="R100" i="1"/>
  <c r="G100" i="1"/>
  <c r="H101" i="1"/>
  <c r="I101" i="1"/>
  <c r="J101" i="1"/>
  <c r="L101" i="1"/>
  <c r="R101" i="1"/>
  <c r="G101" i="1"/>
  <c r="H102" i="1"/>
  <c r="I102" i="1"/>
  <c r="J102" i="1"/>
  <c r="L102" i="1"/>
  <c r="R102" i="1"/>
  <c r="G102" i="1"/>
  <c r="H103" i="1"/>
  <c r="I103" i="1"/>
  <c r="J103" i="1"/>
  <c r="L103" i="1"/>
  <c r="R103" i="1"/>
  <c r="G103" i="1"/>
  <c r="H104" i="1"/>
  <c r="I104" i="1"/>
  <c r="J104" i="1"/>
  <c r="L104" i="1"/>
  <c r="R104" i="1"/>
  <c r="G104" i="1"/>
  <c r="H105" i="1"/>
  <c r="I105" i="1"/>
  <c r="J105" i="1"/>
  <c r="L105" i="1"/>
  <c r="R105" i="1"/>
  <c r="G105" i="1"/>
  <c r="H106" i="1"/>
  <c r="I106" i="1"/>
  <c r="J106" i="1"/>
  <c r="L106" i="1"/>
  <c r="R106" i="1"/>
  <c r="G106" i="1"/>
  <c r="H107" i="1"/>
  <c r="I107" i="1"/>
  <c r="J107" i="1"/>
  <c r="L107" i="1"/>
  <c r="R107" i="1"/>
  <c r="G107" i="1"/>
  <c r="H108" i="1"/>
  <c r="I108" i="1"/>
  <c r="J108" i="1"/>
  <c r="L108" i="1"/>
  <c r="R108" i="1"/>
  <c r="G108" i="1"/>
  <c r="H109" i="1"/>
  <c r="I109" i="1"/>
  <c r="J109" i="1"/>
  <c r="L109" i="1"/>
  <c r="R109" i="1"/>
  <c r="G109" i="1"/>
  <c r="H110" i="1"/>
  <c r="I110" i="1"/>
  <c r="J110" i="1"/>
  <c r="L110" i="1"/>
  <c r="R110" i="1"/>
  <c r="G110" i="1"/>
  <c r="H111" i="1"/>
  <c r="I111" i="1"/>
  <c r="J111" i="1"/>
  <c r="L111" i="1"/>
  <c r="R111" i="1"/>
  <c r="G111" i="1"/>
  <c r="H112" i="1"/>
  <c r="I112" i="1"/>
  <c r="J112" i="1"/>
  <c r="L112" i="1"/>
  <c r="R112" i="1"/>
  <c r="G112" i="1"/>
  <c r="H113" i="1"/>
  <c r="I113" i="1"/>
  <c r="J113" i="1"/>
  <c r="L113" i="1"/>
  <c r="R113" i="1"/>
  <c r="G113" i="1"/>
  <c r="H114" i="1"/>
  <c r="I114" i="1"/>
  <c r="J114" i="1"/>
  <c r="L114" i="1"/>
  <c r="R114" i="1"/>
  <c r="G114" i="1"/>
  <c r="H115" i="1"/>
  <c r="I115" i="1"/>
  <c r="J115" i="1"/>
  <c r="L115" i="1"/>
  <c r="R115" i="1"/>
  <c r="G115" i="1"/>
  <c r="H116" i="1"/>
  <c r="I116" i="1"/>
  <c r="J116" i="1"/>
  <c r="L116" i="1"/>
  <c r="R116" i="1"/>
  <c r="G116" i="1"/>
  <c r="H117" i="1"/>
  <c r="I117" i="1"/>
  <c r="J117" i="1"/>
  <c r="L117" i="1"/>
  <c r="R117" i="1"/>
  <c r="G117" i="1"/>
  <c r="H118" i="1"/>
  <c r="I118" i="1"/>
  <c r="J118" i="1"/>
  <c r="L118" i="1"/>
  <c r="R118" i="1"/>
  <c r="G118" i="1"/>
  <c r="H119" i="1"/>
  <c r="I119" i="1"/>
  <c r="J119" i="1"/>
  <c r="L119" i="1"/>
  <c r="R119" i="1"/>
  <c r="G119" i="1"/>
  <c r="H120" i="1"/>
  <c r="I120" i="1"/>
  <c r="J120" i="1"/>
  <c r="L120" i="1"/>
  <c r="R120" i="1"/>
  <c r="G120" i="1"/>
  <c r="H121" i="1"/>
  <c r="I121" i="1"/>
  <c r="J121" i="1"/>
  <c r="L121" i="1"/>
  <c r="R121" i="1"/>
  <c r="G121" i="1"/>
  <c r="H122" i="1"/>
  <c r="I122" i="1"/>
  <c r="J122" i="1"/>
  <c r="L122" i="1"/>
  <c r="R122" i="1"/>
  <c r="G122" i="1"/>
  <c r="H123" i="1"/>
  <c r="I123" i="1"/>
  <c r="J123" i="1"/>
  <c r="L123" i="1"/>
  <c r="R123" i="1"/>
  <c r="G123" i="1"/>
  <c r="H124" i="1"/>
  <c r="I124" i="1"/>
  <c r="J124" i="1"/>
  <c r="L124" i="1"/>
  <c r="R124" i="1"/>
  <c r="G124" i="1"/>
  <c r="H125" i="1"/>
  <c r="I125" i="1"/>
  <c r="J125" i="1"/>
  <c r="L125" i="1"/>
  <c r="R125" i="1"/>
  <c r="G125" i="1"/>
  <c r="H126" i="1"/>
  <c r="I126" i="1"/>
  <c r="J126" i="1"/>
  <c r="L126" i="1"/>
  <c r="R126" i="1"/>
  <c r="G126" i="1"/>
  <c r="H127" i="1"/>
  <c r="I127" i="1"/>
  <c r="J127" i="1"/>
  <c r="L127" i="1"/>
  <c r="R127" i="1"/>
  <c r="G127" i="1"/>
  <c r="H128" i="1"/>
  <c r="I128" i="1"/>
  <c r="J128" i="1"/>
  <c r="L128" i="1"/>
  <c r="R128" i="1"/>
  <c r="G128" i="1"/>
  <c r="H129" i="1"/>
  <c r="I129" i="1"/>
  <c r="J129" i="1"/>
  <c r="L129" i="1"/>
  <c r="R129" i="1"/>
  <c r="G129" i="1"/>
  <c r="H130" i="1"/>
  <c r="I130" i="1"/>
  <c r="J130" i="1"/>
  <c r="L130" i="1"/>
  <c r="R130" i="1"/>
  <c r="G130" i="1"/>
  <c r="H131" i="1"/>
  <c r="I131" i="1"/>
  <c r="J131" i="1"/>
  <c r="L131" i="1"/>
  <c r="R131" i="1"/>
  <c r="G131" i="1"/>
  <c r="H132" i="1"/>
  <c r="I132" i="1"/>
  <c r="J132" i="1"/>
  <c r="L132" i="1"/>
  <c r="R132" i="1"/>
  <c r="G132" i="1"/>
  <c r="H133" i="1"/>
  <c r="I133" i="1"/>
  <c r="J133" i="1"/>
  <c r="L133" i="1"/>
  <c r="R133" i="1"/>
  <c r="G133" i="1"/>
  <c r="H134" i="1"/>
  <c r="I134" i="1"/>
  <c r="J134" i="1"/>
  <c r="L134" i="1"/>
  <c r="R134" i="1"/>
  <c r="G134" i="1"/>
  <c r="H135" i="1"/>
  <c r="I135" i="1"/>
  <c r="J135" i="1"/>
  <c r="L135" i="1"/>
  <c r="R135" i="1"/>
  <c r="G135" i="1"/>
  <c r="H136" i="1"/>
  <c r="I136" i="1"/>
  <c r="J136" i="1"/>
  <c r="L136" i="1"/>
  <c r="R136" i="1"/>
  <c r="G136" i="1"/>
  <c r="H137" i="1"/>
  <c r="I137" i="1"/>
  <c r="J137" i="1"/>
  <c r="L137" i="1"/>
  <c r="R137" i="1"/>
  <c r="G137" i="1"/>
  <c r="H138" i="1"/>
  <c r="I138" i="1"/>
  <c r="J138" i="1"/>
  <c r="L138" i="1"/>
  <c r="R138" i="1"/>
  <c r="G138" i="1"/>
  <c r="H139" i="1"/>
  <c r="I139" i="1"/>
  <c r="J139" i="1"/>
  <c r="L139" i="1"/>
  <c r="R139" i="1"/>
  <c r="G139" i="1"/>
  <c r="H140" i="1"/>
  <c r="I140" i="1"/>
  <c r="J140" i="1"/>
  <c r="L140" i="1"/>
  <c r="R140" i="1"/>
  <c r="G140" i="1"/>
  <c r="H141" i="1"/>
  <c r="I141" i="1"/>
  <c r="J141" i="1"/>
  <c r="L141" i="1"/>
  <c r="R141" i="1"/>
  <c r="G141" i="1"/>
  <c r="H142" i="1"/>
  <c r="I142" i="1"/>
  <c r="J142" i="1"/>
  <c r="L142" i="1"/>
  <c r="R142" i="1"/>
  <c r="G142" i="1"/>
  <c r="H143" i="1"/>
  <c r="I143" i="1"/>
  <c r="J143" i="1"/>
  <c r="L143" i="1"/>
  <c r="R143" i="1"/>
  <c r="G143" i="1"/>
  <c r="H144" i="1"/>
  <c r="I144" i="1"/>
  <c r="J144" i="1"/>
  <c r="L144" i="1"/>
  <c r="R144" i="1"/>
  <c r="G144" i="1"/>
  <c r="H145" i="1"/>
  <c r="I145" i="1"/>
  <c r="J145" i="1"/>
  <c r="L145" i="1"/>
  <c r="R145" i="1"/>
  <c r="G145" i="1"/>
  <c r="H146" i="1"/>
  <c r="I146" i="1"/>
  <c r="J146" i="1"/>
  <c r="L146" i="1"/>
  <c r="R146" i="1"/>
  <c r="G146" i="1"/>
  <c r="H147" i="1"/>
  <c r="I147" i="1"/>
  <c r="J147" i="1"/>
  <c r="L147" i="1"/>
  <c r="R147" i="1"/>
  <c r="G147" i="1"/>
  <c r="H148" i="1"/>
  <c r="I148" i="1"/>
  <c r="J148" i="1"/>
  <c r="L148" i="1"/>
  <c r="R148" i="1"/>
  <c r="G148" i="1"/>
  <c r="H149" i="1"/>
  <c r="I149" i="1"/>
  <c r="J149" i="1"/>
  <c r="L149" i="1"/>
  <c r="R149" i="1"/>
  <c r="G149" i="1"/>
  <c r="H150" i="1"/>
  <c r="I150" i="1"/>
  <c r="J150" i="1"/>
  <c r="L150" i="1"/>
  <c r="R150" i="1"/>
  <c r="G150" i="1"/>
  <c r="H151" i="1"/>
  <c r="I151" i="1"/>
  <c r="J151" i="1"/>
  <c r="L151" i="1"/>
  <c r="R151" i="1"/>
  <c r="G151" i="1"/>
  <c r="H152" i="1"/>
  <c r="I152" i="1"/>
  <c r="J152" i="1"/>
  <c r="L152" i="1"/>
  <c r="R152" i="1"/>
  <c r="G152" i="1"/>
  <c r="H153" i="1"/>
  <c r="I153" i="1"/>
  <c r="J153" i="1"/>
  <c r="L153" i="1"/>
  <c r="R153" i="1"/>
  <c r="G153" i="1"/>
  <c r="H154" i="1"/>
  <c r="I154" i="1"/>
  <c r="J154" i="1"/>
  <c r="L154" i="1"/>
  <c r="R154" i="1"/>
  <c r="G154" i="1"/>
  <c r="H155" i="1"/>
  <c r="I155" i="1"/>
  <c r="J155" i="1"/>
  <c r="L155" i="1"/>
  <c r="R155" i="1"/>
  <c r="G155" i="1"/>
  <c r="H156" i="1"/>
  <c r="I156" i="1"/>
  <c r="J156" i="1"/>
  <c r="L156" i="1"/>
  <c r="R156" i="1"/>
  <c r="G156" i="1"/>
  <c r="H157" i="1"/>
  <c r="I157" i="1"/>
  <c r="J157" i="1"/>
  <c r="L157" i="1"/>
  <c r="R157" i="1"/>
  <c r="G157" i="1"/>
  <c r="H158" i="1"/>
  <c r="I158" i="1"/>
  <c r="J158" i="1"/>
  <c r="L158" i="1"/>
  <c r="R158" i="1"/>
  <c r="G158" i="1"/>
  <c r="H159" i="1"/>
  <c r="I159" i="1"/>
  <c r="J159" i="1"/>
  <c r="L159" i="1"/>
  <c r="R159" i="1"/>
  <c r="G159" i="1"/>
  <c r="H160" i="1"/>
  <c r="I160" i="1"/>
  <c r="J160" i="1"/>
  <c r="L160" i="1"/>
  <c r="R160" i="1"/>
  <c r="G160" i="1"/>
  <c r="H161" i="1"/>
  <c r="I161" i="1"/>
  <c r="J161" i="1"/>
  <c r="L161" i="1"/>
  <c r="R161" i="1"/>
  <c r="G161" i="1"/>
  <c r="H162" i="1"/>
  <c r="I162" i="1"/>
  <c r="J162" i="1"/>
  <c r="L162" i="1"/>
  <c r="R162" i="1"/>
  <c r="G162" i="1"/>
  <c r="H163" i="1"/>
  <c r="I163" i="1"/>
  <c r="J163" i="1"/>
  <c r="L163" i="1"/>
  <c r="R163" i="1"/>
  <c r="G163" i="1"/>
  <c r="H164" i="1"/>
  <c r="I164" i="1"/>
  <c r="J164" i="1"/>
  <c r="L164" i="1"/>
  <c r="R164" i="1"/>
  <c r="G164" i="1"/>
  <c r="H165" i="1"/>
  <c r="I165" i="1"/>
  <c r="J165" i="1"/>
  <c r="L165" i="1"/>
  <c r="R165" i="1"/>
  <c r="G165" i="1"/>
  <c r="H166" i="1"/>
  <c r="I166" i="1"/>
  <c r="J166" i="1"/>
  <c r="L166" i="1"/>
  <c r="R166" i="1"/>
  <c r="G166" i="1"/>
  <c r="H167" i="1"/>
  <c r="I167" i="1"/>
  <c r="J167" i="1"/>
  <c r="L167" i="1"/>
  <c r="R167" i="1"/>
  <c r="G167" i="1"/>
  <c r="H168" i="1"/>
  <c r="I168" i="1"/>
  <c r="J168" i="1"/>
  <c r="L168" i="1"/>
  <c r="R168" i="1"/>
  <c r="G168" i="1"/>
  <c r="H169" i="1"/>
  <c r="I169" i="1"/>
  <c r="J169" i="1"/>
  <c r="L169" i="1"/>
  <c r="R169" i="1"/>
  <c r="G169" i="1"/>
  <c r="H170" i="1"/>
  <c r="I170" i="1"/>
  <c r="J170" i="1"/>
  <c r="L170" i="1"/>
  <c r="R170" i="1"/>
  <c r="G170" i="1"/>
  <c r="H171" i="1"/>
  <c r="I171" i="1"/>
  <c r="J171" i="1"/>
  <c r="L171" i="1"/>
  <c r="R171" i="1"/>
  <c r="G171" i="1"/>
  <c r="H172" i="1"/>
  <c r="I172" i="1"/>
  <c r="J172" i="1"/>
  <c r="L172" i="1"/>
  <c r="R172" i="1"/>
  <c r="G172" i="1"/>
  <c r="H173" i="1"/>
  <c r="I173" i="1"/>
  <c r="J173" i="1"/>
  <c r="L173" i="1"/>
  <c r="R173" i="1"/>
  <c r="G173" i="1"/>
  <c r="H174" i="1"/>
  <c r="I174" i="1"/>
  <c r="J174" i="1"/>
  <c r="L174" i="1"/>
  <c r="R174" i="1"/>
  <c r="G174" i="1"/>
  <c r="H175" i="1"/>
  <c r="I175" i="1"/>
  <c r="J175" i="1"/>
  <c r="L175" i="1"/>
  <c r="R175" i="1"/>
  <c r="G175" i="1"/>
  <c r="H176" i="1"/>
  <c r="I176" i="1"/>
  <c r="J176" i="1"/>
  <c r="L176" i="1"/>
  <c r="R176" i="1"/>
  <c r="G176" i="1"/>
  <c r="H177" i="1"/>
  <c r="I177" i="1"/>
  <c r="J177" i="1"/>
  <c r="L177" i="1"/>
  <c r="R177" i="1"/>
  <c r="G177" i="1"/>
  <c r="H178" i="1"/>
  <c r="I178" i="1"/>
  <c r="J178" i="1"/>
  <c r="L178" i="1"/>
  <c r="R178" i="1"/>
  <c r="G178" i="1"/>
  <c r="H179" i="1"/>
  <c r="I179" i="1"/>
  <c r="J179" i="1"/>
  <c r="L179" i="1"/>
  <c r="R179" i="1"/>
  <c r="G179" i="1"/>
  <c r="H180" i="1"/>
  <c r="I180" i="1"/>
  <c r="J180" i="1"/>
  <c r="L180" i="1"/>
  <c r="R180" i="1"/>
  <c r="G180" i="1"/>
  <c r="H181" i="1"/>
  <c r="I181" i="1"/>
  <c r="J181" i="1"/>
  <c r="L181" i="1"/>
  <c r="R181" i="1"/>
  <c r="G181" i="1"/>
  <c r="H182" i="1"/>
  <c r="I182" i="1"/>
  <c r="J182" i="1"/>
  <c r="L182" i="1"/>
  <c r="R182" i="1"/>
  <c r="G182" i="1"/>
  <c r="H183" i="1"/>
  <c r="I183" i="1"/>
  <c r="J183" i="1"/>
  <c r="L183" i="1"/>
  <c r="R183" i="1"/>
  <c r="G183" i="1"/>
  <c r="H184" i="1"/>
  <c r="I184" i="1"/>
  <c r="J184" i="1"/>
  <c r="L184" i="1"/>
  <c r="R184" i="1"/>
  <c r="G184" i="1"/>
  <c r="H185" i="1"/>
  <c r="I185" i="1"/>
  <c r="J185" i="1"/>
  <c r="L185" i="1"/>
  <c r="R185" i="1"/>
  <c r="G185" i="1"/>
  <c r="H186" i="1"/>
  <c r="I186" i="1"/>
  <c r="J186" i="1"/>
  <c r="L186" i="1"/>
  <c r="R186" i="1"/>
  <c r="G186" i="1"/>
  <c r="H187" i="1"/>
  <c r="I187" i="1"/>
  <c r="J187" i="1"/>
  <c r="L187" i="1"/>
  <c r="R187" i="1"/>
  <c r="G187" i="1"/>
  <c r="H188" i="1"/>
  <c r="I188" i="1"/>
  <c r="J188" i="1"/>
  <c r="L188" i="1"/>
  <c r="R188" i="1"/>
  <c r="G188" i="1"/>
  <c r="H189" i="1"/>
  <c r="I189" i="1"/>
  <c r="J189" i="1"/>
  <c r="L189" i="1"/>
  <c r="R189" i="1"/>
  <c r="G18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H33" i="1"/>
  <c r="I33" i="1"/>
  <c r="J33" i="1"/>
  <c r="L33" i="1"/>
  <c r="R33" i="1"/>
  <c r="G33" i="1"/>
  <c r="H34" i="1"/>
  <c r="I34" i="1"/>
  <c r="J34" i="1"/>
  <c r="L34" i="1"/>
  <c r="R34" i="1"/>
  <c r="G34" i="1"/>
  <c r="H35" i="1"/>
  <c r="I35" i="1"/>
  <c r="J35" i="1"/>
  <c r="L35" i="1"/>
  <c r="R35" i="1"/>
  <c r="G35" i="1"/>
  <c r="H36" i="1"/>
  <c r="I36" i="1"/>
  <c r="J36" i="1"/>
  <c r="L36" i="1"/>
  <c r="R36" i="1"/>
  <c r="G36" i="1"/>
  <c r="H37" i="1"/>
  <c r="I37" i="1"/>
  <c r="J37" i="1"/>
  <c r="L37" i="1"/>
  <c r="R37" i="1"/>
  <c r="G37" i="1"/>
  <c r="H38" i="1"/>
  <c r="I38" i="1"/>
  <c r="J38" i="1"/>
  <c r="L38" i="1"/>
  <c r="R38" i="1"/>
  <c r="G38" i="1"/>
  <c r="H39" i="1"/>
  <c r="I39" i="1"/>
  <c r="J39" i="1"/>
  <c r="L39" i="1"/>
  <c r="R39" i="1"/>
  <c r="G39" i="1"/>
  <c r="K33" i="1"/>
  <c r="K34" i="1"/>
  <c r="K35" i="1"/>
  <c r="K36" i="1"/>
  <c r="K37" i="1"/>
  <c r="K38" i="1"/>
  <c r="K39" i="1"/>
  <c r="M33" i="1"/>
  <c r="M34" i="1"/>
  <c r="M35" i="1"/>
  <c r="M36" i="1"/>
  <c r="M37" i="1"/>
  <c r="M38" i="1"/>
  <c r="M39" i="1"/>
  <c r="N33" i="1"/>
  <c r="N34" i="1"/>
  <c r="N35" i="1"/>
  <c r="N36" i="1"/>
  <c r="N37" i="1"/>
  <c r="N38" i="1"/>
  <c r="N39" i="1"/>
  <c r="O33" i="1"/>
  <c r="O34" i="1"/>
  <c r="O35" i="1"/>
  <c r="O36" i="1"/>
  <c r="O37" i="1"/>
  <c r="O38" i="1"/>
  <c r="O39" i="1"/>
  <c r="P33" i="1"/>
  <c r="P34" i="1"/>
  <c r="P35" i="1"/>
  <c r="P36" i="1"/>
  <c r="P37" i="1"/>
  <c r="P38" i="1"/>
  <c r="P39" i="1"/>
  <c r="Q33" i="1"/>
  <c r="Q34" i="1"/>
  <c r="Q35" i="1"/>
  <c r="Q36" i="1"/>
  <c r="Q37" i="1"/>
  <c r="Q38" i="1"/>
  <c r="Q39" i="1"/>
  <c r="H8" i="1" a="1"/>
  <c r="H8" i="1"/>
  <c r="J20" i="1"/>
  <c r="J21" i="1"/>
  <c r="J22" i="1"/>
  <c r="J24" i="1"/>
  <c r="J23" i="1"/>
  <c r="AF29" i="1"/>
  <c r="J25" i="1"/>
  <c r="AG29" i="1"/>
  <c r="AJ29" i="1"/>
  <c r="AI29" i="1"/>
  <c r="AF28" i="1"/>
  <c r="AG28" i="1"/>
  <c r="AJ28" i="1"/>
  <c r="AI28" i="1"/>
  <c r="AF27" i="1"/>
  <c r="AG27" i="1"/>
  <c r="AJ27" i="1"/>
  <c r="AI27" i="1"/>
  <c r="AF26" i="1"/>
  <c r="AG26" i="1"/>
  <c r="AJ26" i="1"/>
  <c r="AI26" i="1"/>
  <c r="AF25" i="1"/>
  <c r="AG25" i="1"/>
  <c r="AJ25" i="1"/>
  <c r="AI25" i="1"/>
  <c r="AF24" i="1"/>
  <c r="AG24" i="1"/>
  <c r="AJ24" i="1"/>
  <c r="AI24" i="1"/>
  <c r="AF23" i="1"/>
  <c r="AG23" i="1"/>
  <c r="AJ23" i="1"/>
  <c r="AI23" i="1"/>
  <c r="AF22" i="1"/>
  <c r="AG22" i="1"/>
  <c r="AJ22" i="1"/>
  <c r="AI22" i="1"/>
  <c r="AF21" i="1"/>
  <c r="AG21" i="1"/>
  <c r="AJ21" i="1"/>
  <c r="AI21" i="1"/>
  <c r="AF20" i="1"/>
  <c r="AG20" i="1"/>
  <c r="AJ20" i="1"/>
  <c r="AI20" i="1"/>
  <c r="AF19" i="1"/>
  <c r="AG19" i="1"/>
  <c r="AJ19" i="1"/>
  <c r="AI19" i="1"/>
  <c r="AF18" i="1"/>
  <c r="AG18" i="1"/>
  <c r="AJ18" i="1"/>
  <c r="AI18" i="1"/>
  <c r="AF17" i="1"/>
  <c r="AG17" i="1"/>
  <c r="AJ17" i="1"/>
  <c r="AI17" i="1"/>
  <c r="AF16" i="1"/>
  <c r="AG16" i="1"/>
  <c r="AJ16" i="1"/>
  <c r="AI16" i="1"/>
  <c r="AF15" i="1"/>
  <c r="AG15" i="1"/>
  <c r="AJ15" i="1"/>
  <c r="AI15" i="1"/>
  <c r="AF14" i="1"/>
  <c r="AG14" i="1"/>
  <c r="AJ14" i="1"/>
  <c r="AI14" i="1"/>
  <c r="AF13" i="1"/>
  <c r="AG13" i="1"/>
  <c r="AJ13" i="1"/>
  <c r="AI13" i="1"/>
  <c r="AF12" i="1"/>
  <c r="AG12" i="1"/>
  <c r="AJ12" i="1"/>
  <c r="AI12" i="1"/>
  <c r="AF11" i="1"/>
  <c r="AG11" i="1"/>
  <c r="AJ11" i="1"/>
  <c r="AI11" i="1"/>
  <c r="AF10" i="1"/>
  <c r="AG10" i="1"/>
  <c r="AJ10" i="1"/>
  <c r="AI10" i="1"/>
  <c r="AF9" i="1"/>
  <c r="AG9" i="1"/>
  <c r="AJ9" i="1"/>
  <c r="AI9" i="1"/>
  <c r="H20" i="1"/>
  <c r="H21" i="1"/>
  <c r="H22" i="1"/>
  <c r="H24" i="1"/>
  <c r="H23" i="1"/>
  <c r="V9" i="1"/>
  <c r="H25" i="1"/>
  <c r="W9" i="1"/>
  <c r="Y9" i="1"/>
  <c r="Z9" i="1"/>
  <c r="I20" i="1"/>
  <c r="I21" i="1"/>
  <c r="I22" i="1"/>
  <c r="I24" i="1"/>
  <c r="I23" i="1"/>
  <c r="AA29" i="1"/>
  <c r="I25" i="1"/>
  <c r="AB29" i="1"/>
  <c r="AE29" i="1"/>
  <c r="AD29" i="1"/>
  <c r="AA28" i="1"/>
  <c r="AB28" i="1"/>
  <c r="AE28" i="1"/>
  <c r="AD28" i="1"/>
  <c r="AA27" i="1"/>
  <c r="AB27" i="1"/>
  <c r="AE27" i="1"/>
  <c r="AD27" i="1"/>
  <c r="AA26" i="1"/>
  <c r="AB26" i="1"/>
  <c r="AE26" i="1"/>
  <c r="AD26" i="1"/>
  <c r="AA25" i="1"/>
  <c r="AB25" i="1"/>
  <c r="AE25" i="1"/>
  <c r="AD25" i="1"/>
  <c r="AA24" i="1"/>
  <c r="AB24" i="1"/>
  <c r="AE24" i="1"/>
  <c r="AD24" i="1"/>
  <c r="AA23" i="1"/>
  <c r="AB23" i="1"/>
  <c r="AE23" i="1"/>
  <c r="AD23" i="1"/>
  <c r="AA22" i="1"/>
  <c r="AB22" i="1"/>
  <c r="AE22" i="1"/>
  <c r="AD22" i="1"/>
  <c r="AA21" i="1"/>
  <c r="AB21" i="1"/>
  <c r="AE21" i="1"/>
  <c r="AD21" i="1"/>
  <c r="AA20" i="1"/>
  <c r="AB20" i="1"/>
  <c r="AE20" i="1"/>
  <c r="AD20" i="1"/>
  <c r="AA19" i="1"/>
  <c r="AB19" i="1"/>
  <c r="AE19" i="1"/>
  <c r="AD19" i="1"/>
  <c r="AA18" i="1"/>
  <c r="AB18" i="1"/>
  <c r="AE18" i="1"/>
  <c r="AD18" i="1"/>
  <c r="AA17" i="1"/>
  <c r="AB17" i="1"/>
  <c r="AE17" i="1"/>
  <c r="AD17" i="1"/>
  <c r="AA16" i="1"/>
  <c r="AB16" i="1"/>
  <c r="AE16" i="1"/>
  <c r="AD16" i="1"/>
  <c r="AA15" i="1"/>
  <c r="AB15" i="1"/>
  <c r="AE15" i="1"/>
  <c r="AD15" i="1"/>
  <c r="AA14" i="1"/>
  <c r="AB14" i="1"/>
  <c r="AE14" i="1"/>
  <c r="AD14" i="1"/>
  <c r="AA13" i="1"/>
  <c r="AB13" i="1"/>
  <c r="AE13" i="1"/>
  <c r="AD13" i="1"/>
  <c r="AA12" i="1"/>
  <c r="AB12" i="1"/>
  <c r="AE12" i="1"/>
  <c r="AD12" i="1"/>
  <c r="AA11" i="1"/>
  <c r="AB11" i="1"/>
  <c r="AE11" i="1"/>
  <c r="AD11" i="1"/>
  <c r="AA10" i="1"/>
  <c r="AB10" i="1"/>
  <c r="AE10" i="1"/>
  <c r="AD10" i="1"/>
  <c r="AA9" i="1"/>
  <c r="AB9" i="1"/>
  <c r="AE9" i="1"/>
  <c r="AD9" i="1"/>
  <c r="V29" i="1"/>
  <c r="W29" i="1"/>
  <c r="Z29" i="1"/>
  <c r="Y29" i="1"/>
  <c r="V28" i="1"/>
  <c r="W28" i="1"/>
  <c r="Z28" i="1"/>
  <c r="Y28" i="1"/>
  <c r="V27" i="1"/>
  <c r="W27" i="1"/>
  <c r="Z27" i="1"/>
  <c r="Y27" i="1"/>
  <c r="V26" i="1"/>
  <c r="W26" i="1"/>
  <c r="Z26" i="1"/>
  <c r="Y26" i="1"/>
  <c r="V25" i="1"/>
  <c r="W25" i="1"/>
  <c r="Z25" i="1"/>
  <c r="Y25" i="1"/>
  <c r="V24" i="1"/>
  <c r="W24" i="1"/>
  <c r="Z24" i="1"/>
  <c r="Y24" i="1"/>
  <c r="V23" i="1"/>
  <c r="W23" i="1"/>
  <c r="Z23" i="1"/>
  <c r="Y23" i="1"/>
  <c r="V22" i="1"/>
  <c r="W22" i="1"/>
  <c r="Z22" i="1"/>
  <c r="Y22" i="1"/>
  <c r="V21" i="1"/>
  <c r="W21" i="1"/>
  <c r="Z21" i="1"/>
  <c r="Y21" i="1"/>
  <c r="V20" i="1"/>
  <c r="W20" i="1"/>
  <c r="Z20" i="1"/>
  <c r="Y20" i="1"/>
  <c r="V19" i="1"/>
  <c r="W19" i="1"/>
  <c r="Z19" i="1"/>
  <c r="Y19" i="1"/>
  <c r="V18" i="1"/>
  <c r="W18" i="1"/>
  <c r="Z18" i="1"/>
  <c r="Y18" i="1"/>
  <c r="V17" i="1"/>
  <c r="W17" i="1"/>
  <c r="Z17" i="1"/>
  <c r="Y17" i="1"/>
  <c r="V16" i="1"/>
  <c r="W16" i="1"/>
  <c r="Z16" i="1"/>
  <c r="Y16" i="1"/>
  <c r="V15" i="1"/>
  <c r="W15" i="1"/>
  <c r="Z15" i="1"/>
  <c r="Y15" i="1"/>
  <c r="V14" i="1"/>
  <c r="W14" i="1"/>
  <c r="Z14" i="1"/>
  <c r="Y14" i="1"/>
  <c r="V13" i="1"/>
  <c r="W13" i="1"/>
  <c r="Z13" i="1"/>
  <c r="Y13" i="1"/>
  <c r="V12" i="1"/>
  <c r="W12" i="1"/>
  <c r="Z12" i="1"/>
  <c r="Y12" i="1"/>
  <c r="V11" i="1"/>
  <c r="W11" i="1"/>
  <c r="Z11" i="1"/>
  <c r="Y11" i="1"/>
  <c r="V10" i="1"/>
  <c r="W10" i="1"/>
  <c r="Z10" i="1"/>
  <c r="Y10" i="1"/>
  <c r="AH10" i="1"/>
  <c r="AH28" i="1"/>
  <c r="AH25" i="1"/>
  <c r="AH22" i="1"/>
  <c r="AH19" i="1"/>
  <c r="AH16" i="1"/>
  <c r="AH13" i="1"/>
  <c r="AC28" i="1"/>
  <c r="AC25" i="1"/>
  <c r="AC22" i="1"/>
  <c r="AC19" i="1"/>
  <c r="AC16" i="1"/>
  <c r="AC13" i="1"/>
  <c r="R28" i="1"/>
  <c r="Q28" i="1"/>
  <c r="R27" i="1"/>
  <c r="Q27" i="1"/>
  <c r="R26" i="1"/>
  <c r="Q26" i="1"/>
  <c r="R25" i="1"/>
  <c r="Q25" i="1"/>
  <c r="R24" i="1"/>
  <c r="Q24" i="1"/>
  <c r="P28" i="1"/>
  <c r="O28" i="1"/>
  <c r="P27" i="1"/>
  <c r="O27" i="1"/>
  <c r="P26" i="1"/>
  <c r="O26" i="1"/>
  <c r="P25" i="1"/>
  <c r="O25" i="1"/>
  <c r="P24" i="1"/>
  <c r="O24" i="1"/>
  <c r="N28" i="1"/>
  <c r="N27" i="1"/>
  <c r="N26" i="1"/>
  <c r="N25" i="1"/>
  <c r="N24" i="1"/>
  <c r="M28" i="1"/>
  <c r="M27" i="1"/>
  <c r="M26" i="1"/>
  <c r="M25" i="1"/>
  <c r="M24" i="1"/>
  <c r="O20" i="1"/>
  <c r="N20" i="1"/>
  <c r="O19" i="1"/>
  <c r="N19" i="1"/>
  <c r="O18" i="1"/>
  <c r="N18" i="1"/>
  <c r="O17" i="1"/>
  <c r="N17" i="1"/>
  <c r="O16" i="1"/>
  <c r="N16" i="1"/>
  <c r="O15" i="1"/>
  <c r="N15" i="1"/>
  <c r="O14" i="1"/>
  <c r="N14" i="1"/>
  <c r="O13" i="1"/>
  <c r="N13" i="1"/>
  <c r="O12" i="1"/>
  <c r="N12" i="1"/>
  <c r="O11" i="1"/>
  <c r="N11" i="1"/>
  <c r="O10" i="1"/>
  <c r="N10" i="1"/>
  <c r="X10" i="1"/>
  <c r="AC10" i="1"/>
  <c r="X13" i="1"/>
  <c r="X16" i="1"/>
  <c r="X19" i="1"/>
  <c r="X22" i="1"/>
  <c r="X25" i="1"/>
  <c r="X28" i="1"/>
</calcChain>
</file>

<file path=xl/sharedStrings.xml><?xml version="1.0" encoding="utf-8"?>
<sst xmlns="http://schemas.openxmlformats.org/spreadsheetml/2006/main" count="92" uniqueCount="88">
  <si>
    <t>z drop lines</t>
  </si>
  <si>
    <t>_xs_cpy</t>
  </si>
  <si>
    <t>_ys_cpy</t>
  </si>
  <si>
    <t>_xs_cpz</t>
  </si>
  <si>
    <t>_ys_cpz</t>
  </si>
  <si>
    <t xml:space="preserve"> &lt;- array formula!</t>
  </si>
  <si>
    <t>tick label z</t>
  </si>
  <si>
    <t xml:space="preserve">tmz z </t>
  </si>
  <si>
    <t>vectzc</t>
  </si>
  <si>
    <t>xs_cage</t>
  </si>
  <si>
    <t>ys_cage</t>
  </si>
  <si>
    <t>_tmz_y</t>
  </si>
  <si>
    <t>_tmz_x</t>
  </si>
  <si>
    <t>data normalisation</t>
  </si>
  <si>
    <t>data points</t>
  </si>
  <si>
    <t>cp normalised position</t>
  </si>
  <si>
    <t>cut plane frame</t>
  </si>
  <si>
    <t>cut plane x frame</t>
  </si>
  <si>
    <t>cut plane y frame</t>
  </si>
  <si>
    <t>cut plane z frame</t>
  </si>
  <si>
    <t>shift x</t>
  </si>
  <si>
    <t>shift y</t>
  </si>
  <si>
    <t>zoom</t>
  </si>
  <si>
    <t>4th dimension</t>
  </si>
  <si>
    <t>to-scale-ratios</t>
  </si>
  <si>
    <t>rotation matrix</t>
  </si>
  <si>
    <t>cut planes</t>
  </si>
  <si>
    <t>_xs_cpx</t>
  </si>
  <si>
    <t>cut plane x</t>
  </si>
  <si>
    <t>_ys_cpx</t>
  </si>
  <si>
    <t>cut plane z</t>
  </si>
  <si>
    <t>cut plane y</t>
  </si>
  <si>
    <t>plane 1</t>
  </si>
  <si>
    <t>plane 2</t>
  </si>
  <si>
    <t>labels</t>
  </si>
  <si>
    <t>x</t>
  </si>
  <si>
    <t>y</t>
  </si>
  <si>
    <t>z</t>
  </si>
  <si>
    <t>min</t>
  </si>
  <si>
    <t>range</t>
  </si>
  <si>
    <t>sin a</t>
  </si>
  <si>
    <t>cos a</t>
  </si>
  <si>
    <t>rot 1</t>
  </si>
  <si>
    <t>rot 2</t>
  </si>
  <si>
    <t>rotate x</t>
  </si>
  <si>
    <t>rotate y</t>
  </si>
  <si>
    <t>rotate z</t>
  </si>
  <si>
    <t>cut plane YZ</t>
  </si>
  <si>
    <t>cut plane XZ</t>
  </si>
  <si>
    <t>cut plane XY</t>
  </si>
  <si>
    <t>angles</t>
  </si>
  <si>
    <t>planes</t>
  </si>
  <si>
    <t>norm</t>
  </si>
  <si>
    <t>screen</t>
  </si>
  <si>
    <t>xs</t>
  </si>
  <si>
    <t>ys</t>
  </si>
  <si>
    <t>fract</t>
  </si>
  <si>
    <t>ts tick mark step width</t>
  </si>
  <si>
    <t>ft location first tick mark</t>
  </si>
  <si>
    <t>tx number of tick marks</t>
  </si>
  <si>
    <t>ftn normalised location first tick mark</t>
  </si>
  <si>
    <t>tsn normalised tick mark step width</t>
  </si>
  <si>
    <t>tick marks</t>
  </si>
  <si>
    <t>cage</t>
  </si>
  <si>
    <t>tick mark</t>
  </si>
  <si>
    <t>vect</t>
  </si>
  <si>
    <t>tick label x</t>
  </si>
  <si>
    <t>xsx</t>
  </si>
  <si>
    <t>ysx</t>
  </si>
  <si>
    <t>xsy</t>
  </si>
  <si>
    <t>ysy</t>
  </si>
  <si>
    <t>xsz</t>
  </si>
  <si>
    <t>ysz</t>
  </si>
  <si>
    <t>vectxc</t>
  </si>
  <si>
    <t>tmx x</t>
  </si>
  <si>
    <t>_tmx_y</t>
  </si>
  <si>
    <t>_tmx_z</t>
  </si>
  <si>
    <t>vectyc</t>
  </si>
  <si>
    <t>tmy y</t>
  </si>
  <si>
    <t>_tmy_x</t>
  </si>
  <si>
    <t>_tmy_z</t>
  </si>
  <si>
    <t>tick label y</t>
  </si>
  <si>
    <t>x norm</t>
  </si>
  <si>
    <t>y norm</t>
  </si>
  <si>
    <t>z norm</t>
  </si>
  <si>
    <t>time</t>
  </si>
  <si>
    <t>gridSize</t>
  </si>
  <si>
    <t>blockSize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</si>
</sst>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\{0\}"/>
  </numFmts>
  <fonts count="11">
    <font>
      <sz val="10"/>
      <name val="Verdana"/>
    </font>
    <font>
      <b/>
      <sz val="10"/>
      <name val="Verdana"/>
    </font>
    <font>
      <sz val="10"/>
      <name val="Verdana"/>
    </font>
    <font>
      <sz val="10"/>
      <color indexed="12"/>
      <name val="Verdana"/>
    </font>
    <font>
      <sz val="8"/>
      <name val="Verdana"/>
    </font>
    <font>
      <sz val="10"/>
      <color indexed="60"/>
      <name val="Verdana"/>
    </font>
    <font>
      <i/>
      <sz val="10"/>
      <color indexed="60"/>
      <name val="Verdana"/>
    </font>
    <font>
      <b/>
      <sz val="14"/>
      <name val="Verdana"/>
    </font>
    <font>
      <sz val="10"/>
      <color rgb="FF000000"/>
      <name val="Geneva"/>
    </font>
    <font>
      <sz val="10"/>
      <color indexed="60"/>
      <name val="Verdana"/>
      <family val="2"/>
    </font>
    <font>
      <sz val="10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0" xfId="0" applyFont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Fill="1"/>
    <xf numFmtId="0" fontId="0" fillId="0" borderId="0" xfId="0" applyAlignment="1">
      <alignment wrapText="1"/>
    </xf>
    <xf numFmtId="0" fontId="0" fillId="0" borderId="7" xfId="0" applyBorder="1"/>
    <xf numFmtId="0" fontId="0" fillId="0" borderId="8" xfId="0" applyBorder="1"/>
    <xf numFmtId="0" fontId="3" fillId="0" borderId="0" xfId="0" applyFont="1"/>
    <xf numFmtId="0" fontId="2" fillId="0" borderId="0" xfId="0" applyFont="1" applyFill="1"/>
    <xf numFmtId="0" fontId="0" fillId="0" borderId="0" xfId="0" applyFill="1" applyBorder="1"/>
    <xf numFmtId="0" fontId="0" fillId="0" borderId="0" xfId="0" applyAlignment="1"/>
    <xf numFmtId="0" fontId="1" fillId="0" borderId="0" xfId="0" applyFont="1" applyBorder="1"/>
    <xf numFmtId="0" fontId="1" fillId="0" borderId="9" xfId="0" applyFont="1" applyBorder="1"/>
    <xf numFmtId="0" fontId="1" fillId="0" borderId="3" xfId="0" applyFont="1" applyBorder="1"/>
    <xf numFmtId="0" fontId="0" fillId="0" borderId="4" xfId="0" applyFill="1" applyBorder="1"/>
    <xf numFmtId="0" fontId="0" fillId="0" borderId="2" xfId="0" applyFill="1" applyBorder="1"/>
    <xf numFmtId="0" fontId="0" fillId="0" borderId="10" xfId="0" applyFill="1" applyBorder="1"/>
    <xf numFmtId="0" fontId="1" fillId="0" borderId="2" xfId="0" applyFont="1" applyBorder="1"/>
    <xf numFmtId="0" fontId="1" fillId="0" borderId="4" xfId="0" applyFont="1" applyBorder="1"/>
    <xf numFmtId="0" fontId="0" fillId="0" borderId="9" xfId="0" applyBorder="1"/>
    <xf numFmtId="0" fontId="0" fillId="0" borderId="9" xfId="0" applyFill="1" applyBorder="1"/>
    <xf numFmtId="0" fontId="0" fillId="0" borderId="3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1" xfId="0" applyFill="1" applyBorder="1"/>
    <xf numFmtId="0" fontId="0" fillId="0" borderId="0" xfId="0" applyAlignment="1">
      <alignment horizontal="right"/>
    </xf>
    <xf numFmtId="0" fontId="0" fillId="0" borderId="0" xfId="0" applyNumberFormat="1"/>
    <xf numFmtId="0" fontId="0" fillId="0" borderId="5" xfId="0" quotePrefix="1" applyNumberFormat="1" applyBorder="1"/>
    <xf numFmtId="0" fontId="0" fillId="0" borderId="6" xfId="0" quotePrefix="1" applyNumberFormat="1" applyBorder="1"/>
    <xf numFmtId="0" fontId="0" fillId="0" borderId="11" xfId="0" applyFill="1" applyBorder="1"/>
    <xf numFmtId="0" fontId="0" fillId="0" borderId="7" xfId="0" applyFill="1" applyBorder="1"/>
    <xf numFmtId="0" fontId="0" fillId="0" borderId="8" xfId="0" applyFill="1" applyBorder="1"/>
    <xf numFmtId="0" fontId="5" fillId="0" borderId="0" xfId="0" applyFont="1" applyFill="1"/>
    <xf numFmtId="0" fontId="5" fillId="0" borderId="0" xfId="0" applyFont="1" applyFill="1" applyBorder="1"/>
    <xf numFmtId="0" fontId="5" fillId="0" borderId="2" xfId="0" applyFont="1" applyFill="1" applyBorder="1"/>
    <xf numFmtId="0" fontId="5" fillId="0" borderId="6" xfId="0" applyFont="1" applyFill="1" applyBorder="1"/>
    <xf numFmtId="0" fontId="5" fillId="0" borderId="10" xfId="0" applyFont="1" applyFill="1" applyBorder="1"/>
    <xf numFmtId="164" fontId="5" fillId="0" borderId="3" xfId="0" applyNumberFormat="1" applyFont="1" applyFill="1" applyBorder="1" applyAlignment="1">
      <alignment horizontal="center"/>
    </xf>
    <xf numFmtId="0" fontId="5" fillId="0" borderId="3" xfId="0" applyFont="1" applyFill="1" applyBorder="1"/>
    <xf numFmtId="0" fontId="5" fillId="0" borderId="9" xfId="0" applyFont="1" applyFill="1" applyBorder="1"/>
    <xf numFmtId="0" fontId="5" fillId="0" borderId="4" xfId="0" applyFont="1" applyFill="1" applyBorder="1"/>
    <xf numFmtId="0" fontId="5" fillId="0" borderId="5" xfId="0" applyFont="1" applyFill="1" applyBorder="1"/>
    <xf numFmtId="0" fontId="5" fillId="0" borderId="0" xfId="0" applyFont="1"/>
    <xf numFmtId="0" fontId="6" fillId="0" borderId="0" xfId="0" applyFont="1" applyFill="1" applyBorder="1"/>
    <xf numFmtId="0" fontId="6" fillId="0" borderId="2" xfId="0" applyFont="1" applyFill="1" applyBorder="1"/>
    <xf numFmtId="0" fontId="6" fillId="0" borderId="6" xfId="0" applyFont="1" applyFill="1" applyBorder="1"/>
    <xf numFmtId="0" fontId="6" fillId="0" borderId="10" xfId="0" applyFont="1" applyFill="1" applyBorder="1"/>
    <xf numFmtId="0" fontId="6" fillId="0" borderId="1" xfId="0" applyFont="1" applyFill="1" applyBorder="1"/>
    <xf numFmtId="0" fontId="2" fillId="0" borderId="6" xfId="0" applyFont="1" applyBorder="1"/>
    <xf numFmtId="0" fontId="7" fillId="2" borderId="6" xfId="0" applyFont="1" applyFill="1" applyBorder="1"/>
    <xf numFmtId="0" fontId="2" fillId="0" borderId="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5" fillId="3" borderId="0" xfId="0" applyNumberFormat="1" applyFont="1" applyFill="1" applyBorder="1" applyAlignment="1" applyProtection="1"/>
    <xf numFmtId="0" fontId="5" fillId="3" borderId="1" xfId="0" applyNumberFormat="1" applyFont="1" applyFill="1" applyBorder="1" applyAlignment="1" applyProtection="1"/>
    <xf numFmtId="0" fontId="5" fillId="3" borderId="2" xfId="0" applyNumberFormat="1" applyFont="1" applyFill="1" applyBorder="1" applyAlignment="1" applyProtection="1"/>
    <xf numFmtId="0" fontId="0" fillId="0" borderId="0" xfId="0" applyNumberFormat="1" applyFill="1"/>
    <xf numFmtId="0" fontId="2" fillId="0" borderId="0" xfId="0" applyFont="1"/>
    <xf numFmtId="0" fontId="2" fillId="4" borderId="0" xfId="0" applyFont="1" applyFill="1" applyAlignment="1"/>
    <xf numFmtId="0" fontId="0" fillId="0" borderId="0" xfId="0" applyFont="1"/>
    <xf numFmtId="0" fontId="0" fillId="0" borderId="0" xfId="0" applyFont="1" applyFill="1"/>
    <xf numFmtId="0" fontId="10" fillId="0" borderId="0" xfId="0" applyFont="1"/>
    <xf numFmtId="0" fontId="10" fillId="2" borderId="0" xfId="0" applyNumberFormat="1" applyFont="1" applyFill="1" applyAlignment="1" applyProtection="1"/>
    <xf numFmtId="0" fontId="9" fillId="3" borderId="0" xfId="0" applyNumberFormat="1" applyFont="1" applyFill="1" applyBorder="1" applyAlignment="1" applyProtection="1"/>
    <xf numFmtId="0" fontId="9" fillId="3" borderId="1" xfId="0" applyNumberFormat="1" applyFont="1" applyFill="1" applyBorder="1" applyAlignment="1" applyProtection="1"/>
    <xf numFmtId="0" fontId="9" fillId="3" borderId="2" xfId="0" applyNumberFormat="1" applyFont="1" applyFill="1" applyBorder="1" applyAlignment="1" applyProtection="1"/>
  </cellXfs>
  <cellStyles count="1">
    <cellStyle name="Standard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45102781136638E-2"/>
          <c:y val="1.39049826187717E-2"/>
          <c:w val="0.97218863361547803"/>
          <c:h val="0.97334878331402097"/>
        </c:manualLayout>
      </c:layout>
      <c:scatterChart>
        <c:scatterStyle val="lineMarker"/>
        <c:varyColors val="0"/>
        <c:ser>
          <c:idx val="0"/>
          <c:order val="0"/>
          <c:tx>
            <c:v>cage</c:v>
          </c:tx>
          <c:spPr>
            <a:ln w="3175">
              <a:solidFill>
                <a:srgbClr val="969696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/>
              <c:tx>
                <c:strRef>
                  <c:f>plot!$C$32</c:f>
                  <c:strCache>
                    <c:ptCount val="1"/>
                    <c:pt idx="0">
                      <c:v>gridSize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{FF4E9217-8EAD-4C52-BA57-96EDCC94137C}</c15:txfldGUID>
                      <c15:f>plot!$C$32</c15:f>
                      <c15:dlblFieldTableCache>
                        <c:ptCount val="1"/>
                        <c:pt idx="0">
                          <c:v>gridSize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/>
              <c:tx>
                <c:strRef>
                  <c:f>plot!$E$32</c:f>
                  <c:strCache>
                    <c:ptCount val="1"/>
                    <c:pt idx="0">
                      <c:v>time</c:v>
                    </c:pt>
                  </c:strCache>
                </c:strRef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{4838716A-46EE-4384-AA27-C673B1FC3299}</c15:txfldGUID>
                      <c15:f>plot!$E$32</c15:f>
                      <c15:dlblFieldTableCache>
                        <c:ptCount val="1"/>
                        <c:pt idx="0">
                          <c:v>time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layout/>
              <c:tx>
                <c:strRef>
                  <c:f>plot!$D$32</c:f>
                  <c:strCache>
                    <c:ptCount val="1"/>
                    <c:pt idx="0">
                      <c:v>blockSize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{13F2D67C-5752-476A-8395-B57A0E749BF0}</c15:txfldGUID>
                      <c15:f>plot!$D$32</c15:f>
                      <c15:dlblFieldTableCache>
                        <c:ptCount val="1"/>
                        <c:pt idx="0">
                          <c:v>blockSize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plot!$N$10:$N$20</c:f>
              <c:numCache>
                <c:formatCode>General</c:formatCode>
                <c:ptCount val="11"/>
                <c:pt idx="0">
                  <c:v>-0.64085638205578865</c:v>
                </c:pt>
                <c:pt idx="1">
                  <c:v>-0.29883623873011983</c:v>
                </c:pt>
                <c:pt idx="2">
                  <c:v>-0.29883623873011972</c:v>
                </c:pt>
                <c:pt idx="3">
                  <c:v>-0.64085638205578843</c:v>
                </c:pt>
                <c:pt idx="4">
                  <c:v>-0.64085638205578865</c:v>
                </c:pt>
                <c:pt idx="5">
                  <c:v>0.29883623873011972</c:v>
                </c:pt>
                <c:pt idx="6">
                  <c:v>0.64085638205578843</c:v>
                </c:pt>
                <c:pt idx="7">
                  <c:v>0.64085638205578865</c:v>
                </c:pt>
                <c:pt idx="8">
                  <c:v>-0.29883623873011972</c:v>
                </c:pt>
                <c:pt idx="9">
                  <c:v>-0.29883623873011983</c:v>
                </c:pt>
                <c:pt idx="10">
                  <c:v>0.64085638205578843</c:v>
                </c:pt>
              </c:numCache>
            </c:numRef>
          </c:xVal>
          <c:yVal>
            <c:numRef>
              <c:f>plot!$O$10:$O$20</c:f>
              <c:numCache>
                <c:formatCode>General</c:formatCode>
                <c:ptCount val="11"/>
                <c:pt idx="0">
                  <c:v>-0.58243082125727907</c:v>
                </c:pt>
                <c:pt idx="1">
                  <c:v>-0.11258451086432519</c:v>
                </c:pt>
                <c:pt idx="2">
                  <c:v>0.75344089292011351</c:v>
                </c:pt>
                <c:pt idx="3">
                  <c:v>0.28359458252715963</c:v>
                </c:pt>
                <c:pt idx="4">
                  <c:v>-0.58243082125727907</c:v>
                </c:pt>
                <c:pt idx="5">
                  <c:v>-0.75344089292011351</c:v>
                </c:pt>
                <c:pt idx="6">
                  <c:v>-0.28359458252715963</c:v>
                </c:pt>
                <c:pt idx="7">
                  <c:v>0.58243082125727907</c:v>
                </c:pt>
                <c:pt idx="8">
                  <c:v>0.75344089292011351</c:v>
                </c:pt>
                <c:pt idx="9">
                  <c:v>-0.11258451086432519</c:v>
                </c:pt>
                <c:pt idx="10">
                  <c:v>-0.28359458252715963</c:v>
                </c:pt>
              </c:numCache>
            </c:numRef>
          </c:yVal>
          <c:smooth val="0"/>
        </c:ser>
        <c:ser>
          <c:idx val="1"/>
          <c:order val="1"/>
          <c:tx>
            <c:v>labx</c:v>
          </c:tx>
          <c:spPr>
            <a:ln w="3175">
              <a:solidFill>
                <a:srgbClr val="C0C0C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plot!$X$9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{6505B119-B46A-4E1A-B40E-2748EDEA263E}</c15:txfldGUID>
                      <c15:f>plot!$X$9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plot!$X$10</c:f>
                  <c:strCache>
                    <c:ptCount val="1"/>
                    <c:pt idx="0">
                      <c:v>4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{42F7C414-B75C-4A96-8F9A-C239D65E6F4F}</c15:txfldGUID>
                      <c15:f>plot!$X$10</c15:f>
                      <c15:dlblFieldTableCache>
                        <c:ptCount val="1"/>
                        <c:pt idx="0">
                          <c:v>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plot!$X$11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{4928B95F-09B9-4B24-A494-DBC971DCEA2B}</c15:txfldGUID>
                      <c15:f>plot!$X$11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plot!$X$12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{C7736EE6-B8C8-4EA6-BEB7-EF767740E180}</c15:txfldGUID>
                      <c15:f>plot!$X$12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plot!$X$13</c:f>
                  <c:strCache>
                    <c:ptCount val="1"/>
                    <c:pt idx="0">
                      <c:v>8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{ADD6F720-4B49-4013-9098-45E692A5F95D}</c15:txfldGUID>
                      <c15:f>plot!$X$13</c15:f>
                      <c15:dlblFieldTableCache>
                        <c:ptCount val="1"/>
                        <c:pt idx="0">
                          <c:v>8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plot!$X$14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{B8D610AD-2E1B-40DD-96BC-FCF9FB24B2D7}</c15:txfldGUID>
                      <c15:f>plot!$X$14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plot!$X$15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{3BA2C1B3-896B-4D3B-BEED-F03671C6997B}</c15:txfldGUID>
                      <c15:f>plot!$X$15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plot!$X$16</c:f>
                  <c:strCache>
                    <c:ptCount val="1"/>
                    <c:pt idx="0">
                      <c:v>12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{483EDF86-2B76-4C3C-B5A0-C92E5B371F18}</c15:txfldGUID>
                      <c15:f>plot!$X$16</c15:f>
                      <c15:dlblFieldTableCache>
                        <c:ptCount val="1"/>
                        <c:pt idx="0">
                          <c:v>12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plot!$X$17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{77634D96-16DA-452B-8164-36806F237A2B}</c15:txfldGUID>
                      <c15:f>plot!$X$17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plot!$X$18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{644D6179-706D-4FDE-9B8E-B5050B00A657}</c15:txfldGUID>
                      <c15:f>plot!$X$18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plot!$X$19</c:f>
                  <c:strCache>
                    <c:ptCount val="1"/>
                    <c:pt idx="0">
                      <c:v>16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{2B55B132-7880-4730-8CF0-2381DB9DC129}</c15:txfldGUID>
                      <c15:f>plot!$X$19</c15:f>
                      <c15:dlblFieldTableCache>
                        <c:ptCount val="1"/>
                        <c:pt idx="0">
                          <c:v>16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plot!$X$20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{9B6719E4-BBB7-4CA1-A92C-2A573D6F89C8}</c15:txfldGUID>
                      <c15:f>plot!$X$20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layout/>
              <c:tx>
                <c:strRef>
                  <c:f>plot!$X$21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{6C6589AF-AFB2-4D03-BD9B-8CA25374C08F}</c15:txfldGUID>
                      <c15:f>plot!$X$21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layout/>
              <c:tx>
                <c:strRef>
                  <c:f>plot!$X$22</c:f>
                  <c:strCache>
                    <c:ptCount val="1"/>
                    <c:pt idx="0">
                      <c:v>20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{6AEA1861-607C-4E4E-B54B-2DAB1EAD7F8B}</c15:txfldGUID>
                      <c15:f>plot!$X$22</c15:f>
                      <c15:dlblFieldTableCache>
                        <c:ptCount val="1"/>
                        <c:pt idx="0">
                          <c:v>20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layout/>
              <c:tx>
                <c:strRef>
                  <c:f>plot!$X$23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{B2E10F60-AE2F-41EF-8AD2-2C942C18B92F}</c15:txfldGUID>
                      <c15:f>plot!$X$23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layout/>
              <c:tx>
                <c:strRef>
                  <c:f>plot!$X$24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{097DBCE2-9D6E-467A-98CF-5207664CD6E7}</c15:txfldGUID>
                      <c15:f>plot!$X$24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layout/>
              <c:tx>
                <c:strRef>
                  <c:f>plot!$X$25</c:f>
                  <c:strCache>
                    <c:ptCount val="1"/>
                    <c:pt idx="0">
                      <c:v>20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{67E3740B-16B4-4D37-B918-D0DE76668A2A}</c15:txfldGUID>
                      <c15:f>plot!$X$25</c15:f>
                      <c15:dlblFieldTableCache>
                        <c:ptCount val="1"/>
                        <c:pt idx="0">
                          <c:v>20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layout/>
              <c:tx>
                <c:strRef>
                  <c:f>plot!$X$26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{13CFBE18-D089-4805-B7A2-C463354924BF}</c15:txfldGUID>
                      <c15:f>plot!$X$26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layout/>
              <c:tx>
                <c:strRef>
                  <c:f>plot!$X$27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{5B28B0B1-9D05-4CE3-91FD-47EA13F383EB}</c15:txfldGUID>
                      <c15:f>plot!$X$27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layout/>
              <c:tx>
                <c:strRef>
                  <c:f>plot!$X$28</c:f>
                  <c:strCache>
                    <c:ptCount val="1"/>
                    <c:pt idx="0">
                      <c:v>20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{F930AEB8-AF93-4C7D-93E8-28036D27E3C3}</c15:txfldGUID>
                      <c15:f>plot!$X$28</c15:f>
                      <c15:dlblFieldTableCache>
                        <c:ptCount val="1"/>
                        <c:pt idx="0">
                          <c:v>20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layout/>
              <c:tx>
                <c:strRef>
                  <c:f>plot!$X$29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{15351394-6A26-429D-B067-4E8E22E72178}</c15:txfldGUID>
                      <c15:f>plot!$X$29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plot!$Y$9:$Y$29</c:f>
              <c:numCache>
                <c:formatCode>General</c:formatCode>
                <c:ptCount val="21"/>
                <c:pt idx="0">
                  <c:v>0.60665436772322157</c:v>
                </c:pt>
                <c:pt idx="1">
                  <c:v>0.70062362980181248</c:v>
                </c:pt>
                <c:pt idx="2">
                  <c:v>0.60665436772322157</c:v>
                </c:pt>
                <c:pt idx="3">
                  <c:v>0.53825033905808783</c:v>
                </c:pt>
                <c:pt idx="4">
                  <c:v>0.63221960113667863</c:v>
                </c:pt>
                <c:pt idx="5">
                  <c:v>0.53825033905808783</c:v>
                </c:pt>
                <c:pt idx="6">
                  <c:v>0.4698463103929541</c:v>
                </c:pt>
                <c:pt idx="7">
                  <c:v>0.5638155724715449</c:v>
                </c:pt>
                <c:pt idx="8">
                  <c:v>0.4698463103929541</c:v>
                </c:pt>
                <c:pt idx="9">
                  <c:v>0.40144228172782032</c:v>
                </c:pt>
                <c:pt idx="10">
                  <c:v>0.49541154380641117</c:v>
                </c:pt>
                <c:pt idx="11">
                  <c:v>0.40144228172782032</c:v>
                </c:pt>
                <c:pt idx="12">
                  <c:v>0.33303825306268658</c:v>
                </c:pt>
                <c:pt idx="13">
                  <c:v>0.42700751514127738</c:v>
                </c:pt>
                <c:pt idx="14">
                  <c:v>0.33303825306268658</c:v>
                </c:pt>
                <c:pt idx="15">
                  <c:v>0.33303825306268658</c:v>
                </c:pt>
                <c:pt idx="16">
                  <c:v>0.42700751514127738</c:v>
                </c:pt>
                <c:pt idx="17">
                  <c:v>0.33303825306268658</c:v>
                </c:pt>
                <c:pt idx="18">
                  <c:v>0.33303825306268658</c:v>
                </c:pt>
                <c:pt idx="19">
                  <c:v>0.42700751514127738</c:v>
                </c:pt>
                <c:pt idx="20">
                  <c:v>0.33303825306268658</c:v>
                </c:pt>
              </c:numCache>
            </c:numRef>
          </c:xVal>
          <c:yVal>
            <c:numRef>
              <c:f>plot!$Z$9:$Z$29</c:f>
              <c:numCache>
                <c:formatCode>General</c:formatCode>
                <c:ptCount val="21"/>
                <c:pt idx="0">
                  <c:v>-0.33057921356645503</c:v>
                </c:pt>
                <c:pt idx="1">
                  <c:v>-0.34768022073273847</c:v>
                </c:pt>
                <c:pt idx="2">
                  <c:v>-0.33057921356645503</c:v>
                </c:pt>
                <c:pt idx="3">
                  <c:v>-0.42454847564504578</c:v>
                </c:pt>
                <c:pt idx="4">
                  <c:v>-0.44164948281132921</c:v>
                </c:pt>
                <c:pt idx="5">
                  <c:v>-0.42454847564504578</c:v>
                </c:pt>
                <c:pt idx="6">
                  <c:v>-0.51851773772363652</c:v>
                </c:pt>
                <c:pt idx="7">
                  <c:v>-0.53561874488992001</c:v>
                </c:pt>
                <c:pt idx="8">
                  <c:v>-0.51851773772363652</c:v>
                </c:pt>
                <c:pt idx="9">
                  <c:v>-0.61248699980222732</c:v>
                </c:pt>
                <c:pt idx="10">
                  <c:v>-0.6295880069685108</c:v>
                </c:pt>
                <c:pt idx="11">
                  <c:v>-0.61248699980222732</c:v>
                </c:pt>
                <c:pt idx="12">
                  <c:v>-0.70645626188081811</c:v>
                </c:pt>
                <c:pt idx="13">
                  <c:v>-0.7235572690471016</c:v>
                </c:pt>
                <c:pt idx="14">
                  <c:v>-0.70645626188081811</c:v>
                </c:pt>
                <c:pt idx="15">
                  <c:v>-0.70645626188081811</c:v>
                </c:pt>
                <c:pt idx="16">
                  <c:v>-0.7235572690471016</c:v>
                </c:pt>
                <c:pt idx="17">
                  <c:v>-0.70645626188081811</c:v>
                </c:pt>
                <c:pt idx="18">
                  <c:v>-0.70645626188081811</c:v>
                </c:pt>
                <c:pt idx="19">
                  <c:v>-0.7235572690471016</c:v>
                </c:pt>
                <c:pt idx="20">
                  <c:v>-0.70645626188081811</c:v>
                </c:pt>
              </c:numCache>
            </c:numRef>
          </c:yVal>
          <c:smooth val="0"/>
        </c:ser>
        <c:ser>
          <c:idx val="3"/>
          <c:order val="2"/>
          <c:tx>
            <c:v>cut_plane_x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6411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plot!$M$33:$M$280</c:f>
              <c:numCache>
                <c:formatCode>General</c:formatCode>
                <c:ptCount val="248"/>
                <c:pt idx="0">
                  <c:v>-0.29883623873011983</c:v>
                </c:pt>
                <c:pt idx="1">
                  <c:v>-0.26852357354347761</c:v>
                </c:pt>
                <c:pt idx="2">
                  <c:v>-0.23821090835683542</c:v>
                </c:pt>
                <c:pt idx="3">
                  <c:v>-0.20789824317019315</c:v>
                </c:pt>
                <c:pt idx="4">
                  <c:v>-0.17758557798355099</c:v>
                </c:pt>
                <c:pt idx="5">
                  <c:v>-0.14727291279690882</c:v>
                </c:pt>
                <c:pt idx="6">
                  <c:v>-0.1169602476102666</c:v>
                </c:pt>
                <c:pt idx="7">
                  <c:v>-8.6647582423624317E-2</c:v>
                </c:pt>
                <c:pt idx="8">
                  <c:v>-5.6334917236982154E-2</c:v>
                </c:pt>
                <c:pt idx="9">
                  <c:v>-2.6022252050339936E-2</c:v>
                </c:pt>
                <c:pt idx="10">
                  <c:v>4.290413136302261E-3</c:v>
                </c:pt>
                <c:pt idx="11">
                  <c:v>3.4603078322944486E-2</c:v>
                </c:pt>
                <c:pt idx="12">
                  <c:v>6.4915743509586663E-2</c:v>
                </c:pt>
                <c:pt idx="13">
                  <c:v>9.5228408696228908E-2</c:v>
                </c:pt>
                <c:pt idx="14">
                  <c:v>0.12554107388287108</c:v>
                </c:pt>
                <c:pt idx="15">
                  <c:v>0.15585373906951333</c:v>
                </c:pt>
                <c:pt idx="16">
                  <c:v>0.18616640425615549</c:v>
                </c:pt>
                <c:pt idx="17">
                  <c:v>0.21647906944279768</c:v>
                </c:pt>
                <c:pt idx="18">
                  <c:v>0.24679173462943996</c:v>
                </c:pt>
                <c:pt idx="19">
                  <c:v>0.27710439981608215</c:v>
                </c:pt>
                <c:pt idx="20">
                  <c:v>0.30741706500272431</c:v>
                </c:pt>
                <c:pt idx="21">
                  <c:v>0.33772973018936647</c:v>
                </c:pt>
                <c:pt idx="22">
                  <c:v>0.3680423953760088</c:v>
                </c:pt>
                <c:pt idx="23">
                  <c:v>0.39835506056265091</c:v>
                </c:pt>
                <c:pt idx="24">
                  <c:v>0.42866772574929313</c:v>
                </c:pt>
                <c:pt idx="25">
                  <c:v>0.45898039093593535</c:v>
                </c:pt>
                <c:pt idx="26">
                  <c:v>0.48929305612257756</c:v>
                </c:pt>
                <c:pt idx="27">
                  <c:v>0.51960572130921978</c:v>
                </c:pt>
                <c:pt idx="28">
                  <c:v>0.54991838649586189</c:v>
                </c:pt>
                <c:pt idx="29">
                  <c:v>0.58023105168250411</c:v>
                </c:pt>
                <c:pt idx="30">
                  <c:v>0.61054371686914644</c:v>
                </c:pt>
                <c:pt idx="31">
                  <c:v>0.64085638205578854</c:v>
                </c:pt>
                <c:pt idx="32">
                  <c:v>-0.29883623873011983</c:v>
                </c:pt>
                <c:pt idx="33">
                  <c:v>-0.26852357354347761</c:v>
                </c:pt>
                <c:pt idx="34">
                  <c:v>-0.23821090835683542</c:v>
                </c:pt>
                <c:pt idx="35">
                  <c:v>-0.20789824317019315</c:v>
                </c:pt>
                <c:pt idx="36">
                  <c:v>-0.17758557798355096</c:v>
                </c:pt>
                <c:pt idx="37">
                  <c:v>-0.14727291279690879</c:v>
                </c:pt>
                <c:pt idx="38">
                  <c:v>-0.11696024761026658</c:v>
                </c:pt>
                <c:pt idx="39">
                  <c:v>-8.6647582423624289E-2</c:v>
                </c:pt>
                <c:pt idx="40">
                  <c:v>-5.633491723698212E-2</c:v>
                </c:pt>
                <c:pt idx="41">
                  <c:v>-2.6022252050339902E-2</c:v>
                </c:pt>
                <c:pt idx="42">
                  <c:v>4.2904131363022905E-3</c:v>
                </c:pt>
                <c:pt idx="43">
                  <c:v>3.4603078322944514E-2</c:v>
                </c:pt>
                <c:pt idx="44">
                  <c:v>6.491574350958669E-2</c:v>
                </c:pt>
                <c:pt idx="45">
                  <c:v>9.5228408696228922E-2</c:v>
                </c:pt>
                <c:pt idx="46">
                  <c:v>0.12554107388287108</c:v>
                </c:pt>
                <c:pt idx="47">
                  <c:v>0.15585373906951333</c:v>
                </c:pt>
                <c:pt idx="48">
                  <c:v>0.18616640425615549</c:v>
                </c:pt>
                <c:pt idx="49">
                  <c:v>0.21647906944279768</c:v>
                </c:pt>
                <c:pt idx="50">
                  <c:v>0.24679173462943998</c:v>
                </c:pt>
                <c:pt idx="51">
                  <c:v>0.27710439981608215</c:v>
                </c:pt>
                <c:pt idx="52">
                  <c:v>0.30741706500272431</c:v>
                </c:pt>
                <c:pt idx="53">
                  <c:v>0.33772973018936647</c:v>
                </c:pt>
                <c:pt idx="54">
                  <c:v>0.3680423953760088</c:v>
                </c:pt>
                <c:pt idx="55">
                  <c:v>0.39835506056265096</c:v>
                </c:pt>
                <c:pt idx="56">
                  <c:v>0.42866772574929318</c:v>
                </c:pt>
                <c:pt idx="57">
                  <c:v>0.4589803909359354</c:v>
                </c:pt>
                <c:pt idx="58">
                  <c:v>0.48929305612257762</c:v>
                </c:pt>
                <c:pt idx="59">
                  <c:v>0.51960572130921978</c:v>
                </c:pt>
                <c:pt idx="60">
                  <c:v>0.54991838649586189</c:v>
                </c:pt>
                <c:pt idx="61">
                  <c:v>0.58023105168250411</c:v>
                </c:pt>
                <c:pt idx="62">
                  <c:v>0.61054371686914655</c:v>
                </c:pt>
                <c:pt idx="63">
                  <c:v>0.64085638205578865</c:v>
                </c:pt>
                <c:pt idx="64">
                  <c:v>-0.29883623873011983</c:v>
                </c:pt>
                <c:pt idx="65">
                  <c:v>-0.26852357354347761</c:v>
                </c:pt>
                <c:pt idx="66">
                  <c:v>-0.23821090835683542</c:v>
                </c:pt>
                <c:pt idx="67">
                  <c:v>-0.20789824317019312</c:v>
                </c:pt>
                <c:pt idx="68">
                  <c:v>-0.17758557798355093</c:v>
                </c:pt>
                <c:pt idx="69">
                  <c:v>-0.14727291279690877</c:v>
                </c:pt>
                <c:pt idx="70">
                  <c:v>-0.11696024761026655</c:v>
                </c:pt>
                <c:pt idx="71">
                  <c:v>-8.6647582423624275E-2</c:v>
                </c:pt>
                <c:pt idx="72">
                  <c:v>-5.6334917236982113E-2</c:v>
                </c:pt>
                <c:pt idx="73">
                  <c:v>-2.6022252050339891E-2</c:v>
                </c:pt>
                <c:pt idx="74">
                  <c:v>4.2904131363023035E-3</c:v>
                </c:pt>
                <c:pt idx="75">
                  <c:v>3.4603078322944528E-2</c:v>
                </c:pt>
                <c:pt idx="76">
                  <c:v>6.4915743509586704E-2</c:v>
                </c:pt>
                <c:pt idx="77">
                  <c:v>9.5228408696228936E-2</c:v>
                </c:pt>
                <c:pt idx="78">
                  <c:v>0.12554107388287111</c:v>
                </c:pt>
                <c:pt idx="79">
                  <c:v>0.15585373906951336</c:v>
                </c:pt>
                <c:pt idx="80">
                  <c:v>0.18616640425615552</c:v>
                </c:pt>
                <c:pt idx="81">
                  <c:v>0.21647906944279774</c:v>
                </c:pt>
                <c:pt idx="82">
                  <c:v>0.24679173462944001</c:v>
                </c:pt>
                <c:pt idx="83">
                  <c:v>0.2771043998160822</c:v>
                </c:pt>
                <c:pt idx="84">
                  <c:v>0.30741706500272437</c:v>
                </c:pt>
                <c:pt idx="85">
                  <c:v>-0.29883623873011983</c:v>
                </c:pt>
                <c:pt idx="86">
                  <c:v>-0.26852357354347761</c:v>
                </c:pt>
                <c:pt idx="87">
                  <c:v>-0.23821090835683539</c:v>
                </c:pt>
                <c:pt idx="88">
                  <c:v>-0.20789824317019309</c:v>
                </c:pt>
                <c:pt idx="89">
                  <c:v>-0.17758557798355093</c:v>
                </c:pt>
                <c:pt idx="90">
                  <c:v>-0.14727291279690877</c:v>
                </c:pt>
                <c:pt idx="91">
                  <c:v>-0.11696024761026655</c:v>
                </c:pt>
                <c:pt idx="92">
                  <c:v>-8.6647582423624275E-2</c:v>
                </c:pt>
                <c:pt idx="93">
                  <c:v>-5.6334917236982099E-2</c:v>
                </c:pt>
                <c:pt idx="94">
                  <c:v>-2.6022252050339877E-2</c:v>
                </c:pt>
                <c:pt idx="95">
                  <c:v>4.2904131363023191E-3</c:v>
                </c:pt>
                <c:pt idx="96">
                  <c:v>3.4603078322944542E-2</c:v>
                </c:pt>
                <c:pt idx="97">
                  <c:v>6.4915743509586732E-2</c:v>
                </c:pt>
                <c:pt idx="98">
                  <c:v>9.5228408696228964E-2</c:v>
                </c:pt>
                <c:pt idx="99">
                  <c:v>0.12554107388287114</c:v>
                </c:pt>
                <c:pt idx="100">
                  <c:v>0.15585373906951339</c:v>
                </c:pt>
                <c:pt idx="101">
                  <c:v>-0.29883623873011983</c:v>
                </c:pt>
                <c:pt idx="102">
                  <c:v>-0.26852357354347761</c:v>
                </c:pt>
                <c:pt idx="103">
                  <c:v>-0.23821090835683537</c:v>
                </c:pt>
                <c:pt idx="104">
                  <c:v>-0.20789824317019309</c:v>
                </c:pt>
                <c:pt idx="105">
                  <c:v>-0.17758557798355093</c:v>
                </c:pt>
                <c:pt idx="106">
                  <c:v>-0.14727291279690877</c:v>
                </c:pt>
                <c:pt idx="107">
                  <c:v>-0.11696024761026654</c:v>
                </c:pt>
                <c:pt idx="108">
                  <c:v>-8.6647582423624261E-2</c:v>
                </c:pt>
                <c:pt idx="109">
                  <c:v>-5.6334917236982085E-2</c:v>
                </c:pt>
                <c:pt idx="110">
                  <c:v>-2.602225205033986E-2</c:v>
                </c:pt>
                <c:pt idx="111">
                  <c:v>4.2904131363023391E-3</c:v>
                </c:pt>
                <c:pt idx="112">
                  <c:v>3.4603078322944569E-2</c:v>
                </c:pt>
                <c:pt idx="113">
                  <c:v>-0.29883623873011983</c:v>
                </c:pt>
                <c:pt idx="114">
                  <c:v>-0.26852357354347761</c:v>
                </c:pt>
                <c:pt idx="115">
                  <c:v>-0.23821090835683537</c:v>
                </c:pt>
                <c:pt idx="116">
                  <c:v>-0.20789824317019309</c:v>
                </c:pt>
                <c:pt idx="117">
                  <c:v>-0.17758557798355093</c:v>
                </c:pt>
                <c:pt idx="118">
                  <c:v>-0.14727291279690877</c:v>
                </c:pt>
                <c:pt idx="119">
                  <c:v>-0.11696024761026654</c:v>
                </c:pt>
                <c:pt idx="120">
                  <c:v>-8.6647582423624248E-2</c:v>
                </c:pt>
                <c:pt idx="121">
                  <c:v>-5.6334917236982071E-2</c:v>
                </c:pt>
                <c:pt idx="122">
                  <c:v>-2.6022252050339843E-2</c:v>
                </c:pt>
                <c:pt idx="123">
                  <c:v>-0.29883623873011983</c:v>
                </c:pt>
                <c:pt idx="124">
                  <c:v>-0.26852357354347756</c:v>
                </c:pt>
                <c:pt idx="125">
                  <c:v>-0.23821090835683537</c:v>
                </c:pt>
                <c:pt idx="126">
                  <c:v>-0.20789824317019309</c:v>
                </c:pt>
                <c:pt idx="127">
                  <c:v>-0.17758557798355093</c:v>
                </c:pt>
                <c:pt idx="128">
                  <c:v>-0.14727291279690874</c:v>
                </c:pt>
                <c:pt idx="129">
                  <c:v>-0.11696024761026652</c:v>
                </c:pt>
                <c:pt idx="130">
                  <c:v>-8.6647582423624234E-2</c:v>
                </c:pt>
                <c:pt idx="131">
                  <c:v>-5.633491723698205E-2</c:v>
                </c:pt>
                <c:pt idx="132">
                  <c:v>-0.29883623873011983</c:v>
                </c:pt>
                <c:pt idx="133">
                  <c:v>-0.26852357354347756</c:v>
                </c:pt>
                <c:pt idx="134">
                  <c:v>-0.23821090835683537</c:v>
                </c:pt>
                <c:pt idx="135">
                  <c:v>-0.20789824317019309</c:v>
                </c:pt>
                <c:pt idx="136">
                  <c:v>-0.1775855779835509</c:v>
                </c:pt>
                <c:pt idx="137">
                  <c:v>-0.14727291279690874</c:v>
                </c:pt>
                <c:pt idx="138">
                  <c:v>-0.11696024761026651</c:v>
                </c:pt>
                <c:pt idx="139">
                  <c:v>-8.664758242362422E-2</c:v>
                </c:pt>
                <c:pt idx="140">
                  <c:v>-0.29883623873011983</c:v>
                </c:pt>
                <c:pt idx="141">
                  <c:v>-0.26852357354347756</c:v>
                </c:pt>
                <c:pt idx="142">
                  <c:v>-0.23821090835683537</c:v>
                </c:pt>
                <c:pt idx="143">
                  <c:v>-0.20789824317019309</c:v>
                </c:pt>
                <c:pt idx="144">
                  <c:v>-0.1775855779835509</c:v>
                </c:pt>
                <c:pt idx="145">
                  <c:v>-0.14727291279690871</c:v>
                </c:pt>
                <c:pt idx="146">
                  <c:v>-0.11696024761026649</c:v>
                </c:pt>
                <c:pt idx="147">
                  <c:v>-0.29883623873011983</c:v>
                </c:pt>
                <c:pt idx="148">
                  <c:v>-0.26852357354347756</c:v>
                </c:pt>
                <c:pt idx="149">
                  <c:v>-0.23821090835683537</c:v>
                </c:pt>
                <c:pt idx="150">
                  <c:v>-0.20789824317019306</c:v>
                </c:pt>
                <c:pt idx="151">
                  <c:v>-0.1775855779835509</c:v>
                </c:pt>
                <c:pt idx="152">
                  <c:v>-0.14727291279690871</c:v>
                </c:pt>
                <c:pt idx="153">
                  <c:v>-0.29883623873011983</c:v>
                </c:pt>
                <c:pt idx="154">
                  <c:v>-0.26852357354347756</c:v>
                </c:pt>
                <c:pt idx="155">
                  <c:v>-0.23821090835683537</c:v>
                </c:pt>
                <c:pt idx="156">
                  <c:v>-0.20789824317019306</c:v>
                </c:pt>
                <c:pt idx="157">
                  <c:v>-0.17758557798355087</c:v>
                </c:pt>
                <c:pt idx="158">
                  <c:v>-0.29883623873011983</c:v>
                </c:pt>
                <c:pt idx="159">
                  <c:v>-0.26852357354347756</c:v>
                </c:pt>
                <c:pt idx="160">
                  <c:v>-0.23821090835683537</c:v>
                </c:pt>
                <c:pt idx="161">
                  <c:v>-0.20789824317019306</c:v>
                </c:pt>
                <c:pt idx="162">
                  <c:v>-0.17758557798355087</c:v>
                </c:pt>
                <c:pt idx="163">
                  <c:v>-0.29883623873011977</c:v>
                </c:pt>
                <c:pt idx="164">
                  <c:v>-0.26852357354347756</c:v>
                </c:pt>
                <c:pt idx="165">
                  <c:v>-0.23821090835683534</c:v>
                </c:pt>
                <c:pt idx="166">
                  <c:v>-0.20789824317019306</c:v>
                </c:pt>
                <c:pt idx="167">
                  <c:v>-0.29883623873011977</c:v>
                </c:pt>
                <c:pt idx="168">
                  <c:v>-0.26852357354347756</c:v>
                </c:pt>
                <c:pt idx="169">
                  <c:v>-0.23821090835683534</c:v>
                </c:pt>
                <c:pt idx="170">
                  <c:v>-0.20789824317019304</c:v>
                </c:pt>
                <c:pt idx="171">
                  <c:v>-0.29883623873011977</c:v>
                </c:pt>
                <c:pt idx="172">
                  <c:v>-0.26852357354347756</c:v>
                </c:pt>
                <c:pt idx="173">
                  <c:v>-0.23821090835683534</c:v>
                </c:pt>
                <c:pt idx="174">
                  <c:v>-0.20789824317019304</c:v>
                </c:pt>
                <c:pt idx="175">
                  <c:v>-0.29883623873011977</c:v>
                </c:pt>
                <c:pt idx="176">
                  <c:v>-0.26852357354347756</c:v>
                </c:pt>
                <c:pt idx="177">
                  <c:v>-0.23821090835683534</c:v>
                </c:pt>
                <c:pt idx="178">
                  <c:v>-0.20789824317019304</c:v>
                </c:pt>
                <c:pt idx="179">
                  <c:v>-0.29883623873011977</c:v>
                </c:pt>
                <c:pt idx="180">
                  <c:v>-0.26852357354347756</c:v>
                </c:pt>
                <c:pt idx="181">
                  <c:v>-0.23821090835683534</c:v>
                </c:pt>
                <c:pt idx="182">
                  <c:v>-0.29883623873011977</c:v>
                </c:pt>
                <c:pt idx="183">
                  <c:v>-0.26852357354347756</c:v>
                </c:pt>
                <c:pt idx="184">
                  <c:v>-0.23821090835683531</c:v>
                </c:pt>
                <c:pt idx="185">
                  <c:v>-0.29883623873011977</c:v>
                </c:pt>
                <c:pt idx="186">
                  <c:v>-0.26852357354347756</c:v>
                </c:pt>
                <c:pt idx="187">
                  <c:v>-0.23821090835683531</c:v>
                </c:pt>
                <c:pt idx="188">
                  <c:v>-0.29883623873011977</c:v>
                </c:pt>
                <c:pt idx="189">
                  <c:v>-0.26852357354347756</c:v>
                </c:pt>
                <c:pt idx="190">
                  <c:v>-0.23821090835683531</c:v>
                </c:pt>
                <c:pt idx="191">
                  <c:v>-0.29883623873011977</c:v>
                </c:pt>
                <c:pt idx="192">
                  <c:v>-0.26852357354347756</c:v>
                </c:pt>
                <c:pt idx="193">
                  <c:v>-0.23821090835683531</c:v>
                </c:pt>
                <c:pt idx="194">
                  <c:v>-0.29883623873011977</c:v>
                </c:pt>
                <c:pt idx="195">
                  <c:v>-0.26852357354347756</c:v>
                </c:pt>
                <c:pt idx="196">
                  <c:v>-0.29883623873011977</c:v>
                </c:pt>
                <c:pt idx="197">
                  <c:v>-0.26852357354347756</c:v>
                </c:pt>
                <c:pt idx="198">
                  <c:v>-0.29883623873011977</c:v>
                </c:pt>
                <c:pt idx="199">
                  <c:v>-0.2685235735434775</c:v>
                </c:pt>
                <c:pt idx="200">
                  <c:v>-0.29883623873011977</c:v>
                </c:pt>
                <c:pt idx="201">
                  <c:v>-0.2685235735434775</c:v>
                </c:pt>
                <c:pt idx="202">
                  <c:v>-0.29883623873011977</c:v>
                </c:pt>
                <c:pt idx="203">
                  <c:v>-0.2685235735434775</c:v>
                </c:pt>
                <c:pt idx="204">
                  <c:v>-0.29883623873011977</c:v>
                </c:pt>
                <c:pt idx="205">
                  <c:v>-0.2685235735434775</c:v>
                </c:pt>
                <c:pt idx="206">
                  <c:v>-0.29883623873011977</c:v>
                </c:pt>
                <c:pt idx="207">
                  <c:v>-0.2685235735434775</c:v>
                </c:pt>
                <c:pt idx="208">
                  <c:v>-0.29883623873011977</c:v>
                </c:pt>
                <c:pt idx="209">
                  <c:v>-0.2685235735434775</c:v>
                </c:pt>
                <c:pt idx="210">
                  <c:v>-0.29883623873011977</c:v>
                </c:pt>
                <c:pt idx="211">
                  <c:v>-0.2685235735434775</c:v>
                </c:pt>
                <c:pt idx="212">
                  <c:v>-0.29883623873011977</c:v>
                </c:pt>
                <c:pt idx="213">
                  <c:v>-0.2685235735434775</c:v>
                </c:pt>
                <c:pt idx="214">
                  <c:v>-0.29883623873011977</c:v>
                </c:pt>
                <c:pt idx="215">
                  <c:v>-0.2685235735434775</c:v>
                </c:pt>
                <c:pt idx="216">
                  <c:v>-0.29883623873011977</c:v>
                </c:pt>
                <c:pt idx="217">
                  <c:v>-0.29883623873011977</c:v>
                </c:pt>
                <c:pt idx="218">
                  <c:v>-0.29883623873011977</c:v>
                </c:pt>
                <c:pt idx="219">
                  <c:v>-0.29883623873011977</c:v>
                </c:pt>
                <c:pt idx="220">
                  <c:v>-0.29883623873011977</c:v>
                </c:pt>
                <c:pt idx="221">
                  <c:v>-0.29883623873011977</c:v>
                </c:pt>
                <c:pt idx="222">
                  <c:v>-0.29883623873011977</c:v>
                </c:pt>
                <c:pt idx="223">
                  <c:v>-0.29883623873011977</c:v>
                </c:pt>
                <c:pt idx="224">
                  <c:v>-0.29883623873011977</c:v>
                </c:pt>
                <c:pt idx="225">
                  <c:v>-0.29883623873011977</c:v>
                </c:pt>
                <c:pt idx="226">
                  <c:v>-0.29883623873011977</c:v>
                </c:pt>
                <c:pt idx="227">
                  <c:v>-0.29883623873011977</c:v>
                </c:pt>
                <c:pt idx="228">
                  <c:v>-0.29883623873011977</c:v>
                </c:pt>
                <c:pt idx="229">
                  <c:v>-0.29883623873011977</c:v>
                </c:pt>
                <c:pt idx="230">
                  <c:v>-0.29883623873011972</c:v>
                </c:pt>
                <c:pt idx="231">
                  <c:v>-0.29883623873011972</c:v>
                </c:pt>
                <c:pt idx="232">
                  <c:v>-0.29883623873011972</c:v>
                </c:pt>
                <c:pt idx="233">
                  <c:v>-0.29883623873011972</c:v>
                </c:pt>
                <c:pt idx="234">
                  <c:v>-0.29883623873011972</c:v>
                </c:pt>
                <c:pt idx="235">
                  <c:v>-0.29883623873011972</c:v>
                </c:pt>
                <c:pt idx="236">
                  <c:v>-0.29883623873011972</c:v>
                </c:pt>
                <c:pt idx="237">
                  <c:v>-0.29883623873011972</c:v>
                </c:pt>
                <c:pt idx="238">
                  <c:v>-0.29883623873011972</c:v>
                </c:pt>
                <c:pt idx="239">
                  <c:v>-0.29883623873011972</c:v>
                </c:pt>
                <c:pt idx="240">
                  <c:v>-0.29883623873011972</c:v>
                </c:pt>
                <c:pt idx="241">
                  <c:v>-0.29883623873011972</c:v>
                </c:pt>
                <c:pt idx="242">
                  <c:v>-0.29883623873011972</c:v>
                </c:pt>
                <c:pt idx="243">
                  <c:v>-0.29883623873011972</c:v>
                </c:pt>
                <c:pt idx="244">
                  <c:v>-0.29883623873011972</c:v>
                </c:pt>
                <c:pt idx="245">
                  <c:v>-0.29883623873011972</c:v>
                </c:pt>
                <c:pt idx="246">
                  <c:v>-0.29883623873011972</c:v>
                </c:pt>
                <c:pt idx="247">
                  <c:v>-0.29883623873011972</c:v>
                </c:pt>
              </c:numCache>
            </c:numRef>
          </c:xVal>
          <c:yVal>
            <c:numRef>
              <c:f>plot!$N$33:$N$280</c:f>
              <c:numCache>
                <c:formatCode>General</c:formatCode>
                <c:ptCount val="248"/>
                <c:pt idx="0">
                  <c:v>5.3787746261950486E-2</c:v>
                </c:pt>
                <c:pt idx="1">
                  <c:v>-8.1312301169930046E-2</c:v>
                </c:pt>
                <c:pt idx="2">
                  <c:v>-0.12252140959540231</c:v>
                </c:pt>
                <c:pt idx="3">
                  <c:v>-0.12317446019058254</c:v>
                </c:pt>
                <c:pt idx="4">
                  <c:v>-0.11679040532682955</c:v>
                </c:pt>
                <c:pt idx="5">
                  <c:v>-0.10602174161218819</c:v>
                </c:pt>
                <c:pt idx="6">
                  <c:v>-8.889061570464829E-2</c:v>
                </c:pt>
                <c:pt idx="7">
                  <c:v>-6.045988286575471E-2</c:v>
                </c:pt>
                <c:pt idx="8">
                  <c:v>-3.1783027342136894E-2</c:v>
                </c:pt>
                <c:pt idx="9">
                  <c:v>-1.1264184853230941E-2</c:v>
                </c:pt>
                <c:pt idx="10">
                  <c:v>1.9257064463587242E-2</c:v>
                </c:pt>
                <c:pt idx="11">
                  <c:v>5.1086484468631149E-2</c:v>
                </c:pt>
                <c:pt idx="12">
                  <c:v>7.9874667578711422E-2</c:v>
                </c:pt>
                <c:pt idx="13">
                  <c:v>0.10210511208673398</c:v>
                </c:pt>
                <c:pt idx="14">
                  <c:v>0.14583084343900365</c:v>
                </c:pt>
                <c:pt idx="15">
                  <c:v>0.16544914401170957</c:v>
                </c:pt>
                <c:pt idx="16">
                  <c:v>0.1677754180547544</c:v>
                </c:pt>
                <c:pt idx="17">
                  <c:v>0.16891381625664212</c:v>
                </c:pt>
                <c:pt idx="18">
                  <c:v>0.16778483307460579</c:v>
                </c:pt>
                <c:pt idx="19">
                  <c:v>0.16997507186632627</c:v>
                </c:pt>
                <c:pt idx="20">
                  <c:v>0.16858527495559392</c:v>
                </c:pt>
                <c:pt idx="21">
                  <c:v>0.17050306165910814</c:v>
                </c:pt>
                <c:pt idx="22">
                  <c:v>0.17160997905248451</c:v>
                </c:pt>
                <c:pt idx="23">
                  <c:v>0.17384915619198163</c:v>
                </c:pt>
                <c:pt idx="24">
                  <c:v>0.17705488954916287</c:v>
                </c:pt>
                <c:pt idx="25">
                  <c:v>0.17867561189599834</c:v>
                </c:pt>
                <c:pt idx="26">
                  <c:v>0.18046671219435223</c:v>
                </c:pt>
                <c:pt idx="27">
                  <c:v>0.18502535714640098</c:v>
                </c:pt>
                <c:pt idx="28">
                  <c:v>0.1877157592078923</c:v>
                </c:pt>
                <c:pt idx="29">
                  <c:v>0.19260686057709758</c:v>
                </c:pt>
                <c:pt idx="30">
                  <c:v>0.19323937172584876</c:v>
                </c:pt>
                <c:pt idx="31">
                  <c:v>0.19569786516464061</c:v>
                </c:pt>
                <c:pt idx="32">
                  <c:v>-9.3948349207623905E-2</c:v>
                </c:pt>
                <c:pt idx="33">
                  <c:v>-0.11397936378369733</c:v>
                </c:pt>
                <c:pt idx="34">
                  <c:v>-8.9887640321545503E-2</c:v>
                </c:pt>
                <c:pt idx="35">
                  <c:v>-3.8526763545018772E-2</c:v>
                </c:pt>
                <c:pt idx="36">
                  <c:v>1.5943176959354988E-2</c:v>
                </c:pt>
                <c:pt idx="37">
                  <c:v>8.5082029473288912E-2</c:v>
                </c:pt>
                <c:pt idx="38">
                  <c:v>0.13855679484315009</c:v>
                </c:pt>
                <c:pt idx="39">
                  <c:v>0.20985399066789184</c:v>
                </c:pt>
                <c:pt idx="40">
                  <c:v>0.21842643870512243</c:v>
                </c:pt>
                <c:pt idx="41">
                  <c:v>0.22568928510828587</c:v>
                </c:pt>
                <c:pt idx="42">
                  <c:v>0.23109533618762329</c:v>
                </c:pt>
                <c:pt idx="43">
                  <c:v>0.24076407953216011</c:v>
                </c:pt>
                <c:pt idx="44">
                  <c:v>0.25113675283428605</c:v>
                </c:pt>
                <c:pt idx="45">
                  <c:v>0.26147765913873233</c:v>
                </c:pt>
                <c:pt idx="46">
                  <c:v>0.274650407263348</c:v>
                </c:pt>
                <c:pt idx="47">
                  <c:v>0.28351476825222816</c:v>
                </c:pt>
                <c:pt idx="48">
                  <c:v>0.29931769022976246</c:v>
                </c:pt>
                <c:pt idx="49">
                  <c:v>0.31578209077159025</c:v>
                </c:pt>
                <c:pt idx="50">
                  <c:v>0.32981655448190866</c:v>
                </c:pt>
                <c:pt idx="51">
                  <c:v>0.34253731451341463</c:v>
                </c:pt>
                <c:pt idx="52">
                  <c:v>0.35527381494917631</c:v>
                </c:pt>
                <c:pt idx="53">
                  <c:v>0.37207639569152606</c:v>
                </c:pt>
                <c:pt idx="54">
                  <c:v>0.38900394570402674</c:v>
                </c:pt>
                <c:pt idx="55">
                  <c:v>0.4113322669076025</c:v>
                </c:pt>
                <c:pt idx="56">
                  <c:v>0.43023538074876699</c:v>
                </c:pt>
                <c:pt idx="57">
                  <c:v>0.44939100883274724</c:v>
                </c:pt>
                <c:pt idx="58">
                  <c:v>0.4700515149599539</c:v>
                </c:pt>
                <c:pt idx="59">
                  <c:v>0.49335602741654599</c:v>
                </c:pt>
                <c:pt idx="60">
                  <c:v>0.51568205910677545</c:v>
                </c:pt>
                <c:pt idx="61">
                  <c:v>0.5375513328844238</c:v>
                </c:pt>
                <c:pt idx="62">
                  <c:v>0.55992220087768441</c:v>
                </c:pt>
                <c:pt idx="63">
                  <c:v>0.581559279843465</c:v>
                </c:pt>
                <c:pt idx="64">
                  <c:v>-0.11258451086432519</c:v>
                </c:pt>
                <c:pt idx="65">
                  <c:v>-8.3528168503562983E-2</c:v>
                </c:pt>
                <c:pt idx="66">
                  <c:v>1.8647978230558193E-3</c:v>
                </c:pt>
                <c:pt idx="67">
                  <c:v>9.519960896594265E-2</c:v>
                </c:pt>
                <c:pt idx="68">
                  <c:v>0.20309639276584091</c:v>
                </c:pt>
                <c:pt idx="69">
                  <c:v>0.2344805024250351</c:v>
                </c:pt>
                <c:pt idx="70">
                  <c:v>0.24604973263975599</c:v>
                </c:pt>
                <c:pt idx="71">
                  <c:v>0.26207740851078248</c:v>
                </c:pt>
                <c:pt idx="72">
                  <c:v>0.27860810954326276</c:v>
                </c:pt>
                <c:pt idx="73">
                  <c:v>0.30260653533655396</c:v>
                </c:pt>
                <c:pt idx="74">
                  <c:v>0.32001125808897335</c:v>
                </c:pt>
                <c:pt idx="75">
                  <c:v>0.34754402471418139</c:v>
                </c:pt>
                <c:pt idx="76">
                  <c:v>0.37023532917953067</c:v>
                </c:pt>
                <c:pt idx="77">
                  <c:v>0.39401672818687317</c:v>
                </c:pt>
                <c:pt idx="78">
                  <c:v>0.42282103328676673</c:v>
                </c:pt>
                <c:pt idx="79">
                  <c:v>0.45515366924604328</c:v>
                </c:pt>
                <c:pt idx="80">
                  <c:v>0.48748659139448802</c:v>
                </c:pt>
                <c:pt idx="81">
                  <c:v>0.52174833314077707</c:v>
                </c:pt>
                <c:pt idx="82">
                  <c:v>0.55940714031459571</c:v>
                </c:pt>
                <c:pt idx="83">
                  <c:v>0.59495434840842654</c:v>
                </c:pt>
                <c:pt idx="84">
                  <c:v>0.62972951352261686</c:v>
                </c:pt>
                <c:pt idx="85">
                  <c:v>-0.10656280457446338</c:v>
                </c:pt>
                <c:pt idx="86">
                  <c:v>-2.7402752143899978E-2</c:v>
                </c:pt>
                <c:pt idx="87">
                  <c:v>9.9520746131017773E-2</c:v>
                </c:pt>
                <c:pt idx="88">
                  <c:v>0.23205708177070888</c:v>
                </c:pt>
                <c:pt idx="89">
                  <c:v>0.25339814574009456</c:v>
                </c:pt>
                <c:pt idx="90">
                  <c:v>0.2731347378356912</c:v>
                </c:pt>
                <c:pt idx="91">
                  <c:v>0.30092698264014334</c:v>
                </c:pt>
                <c:pt idx="92">
                  <c:v>0.32853721113356704</c:v>
                </c:pt>
                <c:pt idx="93">
                  <c:v>0.36469533770529466</c:v>
                </c:pt>
                <c:pt idx="94">
                  <c:v>0.39822281344215649</c:v>
                </c:pt>
                <c:pt idx="95">
                  <c:v>0.43380951564121045</c:v>
                </c:pt>
                <c:pt idx="96">
                  <c:v>0.47821217977286101</c:v>
                </c:pt>
                <c:pt idx="97">
                  <c:v>0.52073629820389589</c:v>
                </c:pt>
                <c:pt idx="98">
                  <c:v>0.57070267055976442</c:v>
                </c:pt>
                <c:pt idx="99">
                  <c:v>0.62021772259724939</c:v>
                </c:pt>
                <c:pt idx="100">
                  <c:v>0.67026079365021807</c:v>
                </c:pt>
                <c:pt idx="101">
                  <c:v>-9.3552263398718971E-2</c:v>
                </c:pt>
                <c:pt idx="102">
                  <c:v>3.284712711268134E-2</c:v>
                </c:pt>
                <c:pt idx="103">
                  <c:v>0.21411804384110358</c:v>
                </c:pt>
                <c:pt idx="104">
                  <c:v>0.25895027791434821</c:v>
                </c:pt>
                <c:pt idx="105">
                  <c:v>0.2867223940806311</c:v>
                </c:pt>
                <c:pt idx="106">
                  <c:v>0.32503123225201225</c:v>
                </c:pt>
                <c:pt idx="107">
                  <c:v>0.3657912806497452</c:v>
                </c:pt>
                <c:pt idx="108">
                  <c:v>0.4084293977661464</c:v>
                </c:pt>
                <c:pt idx="109">
                  <c:v>0.45652809960979424</c:v>
                </c:pt>
                <c:pt idx="110">
                  <c:v>0.51525138353320354</c:v>
                </c:pt>
                <c:pt idx="111">
                  <c:v>0.57300095650972138</c:v>
                </c:pt>
                <c:pt idx="112">
                  <c:v>0.63762727361454408</c:v>
                </c:pt>
                <c:pt idx="113">
                  <c:v>-7.8350276365035276E-2</c:v>
                </c:pt>
                <c:pt idx="114">
                  <c:v>0.10529429332513368</c:v>
                </c:pt>
                <c:pt idx="115">
                  <c:v>0.25104674935978655</c:v>
                </c:pt>
                <c:pt idx="116">
                  <c:v>0.28397904702300725</c:v>
                </c:pt>
                <c:pt idx="117">
                  <c:v>0.33054768617661978</c:v>
                </c:pt>
                <c:pt idx="118">
                  <c:v>0.38071429555389769</c:v>
                </c:pt>
                <c:pt idx="119">
                  <c:v>0.43302951781026189</c:v>
                </c:pt>
                <c:pt idx="120">
                  <c:v>0.50058068821494617</c:v>
                </c:pt>
                <c:pt idx="121">
                  <c:v>0.57080219435249813</c:v>
                </c:pt>
                <c:pt idx="122">
                  <c:v>0.64861591753906467</c:v>
                </c:pt>
                <c:pt idx="123">
                  <c:v>-5.627154520304678E-2</c:v>
                </c:pt>
                <c:pt idx="124">
                  <c:v>0.16736872392591434</c:v>
                </c:pt>
                <c:pt idx="125">
                  <c:v>0.26719983839606709</c:v>
                </c:pt>
                <c:pt idx="126">
                  <c:v>0.3171993132990672</c:v>
                </c:pt>
                <c:pt idx="127">
                  <c:v>0.37689392325963217</c:v>
                </c:pt>
                <c:pt idx="128">
                  <c:v>0.43890895499664284</c:v>
                </c:pt>
                <c:pt idx="129">
                  <c:v>0.51693474435690778</c:v>
                </c:pt>
                <c:pt idx="130">
                  <c:v>0.60400220350715572</c:v>
                </c:pt>
                <c:pt idx="131">
                  <c:v>0.69717302825661598</c:v>
                </c:pt>
                <c:pt idx="132">
                  <c:v>-2.2116489706982045E-2</c:v>
                </c:pt>
                <c:pt idx="133">
                  <c:v>0.24297122111508618</c:v>
                </c:pt>
                <c:pt idx="134">
                  <c:v>0.29030627486136318</c:v>
                </c:pt>
                <c:pt idx="135">
                  <c:v>0.35054445344888857</c:v>
                </c:pt>
                <c:pt idx="136">
                  <c:v>0.42462722384492713</c:v>
                </c:pt>
                <c:pt idx="137">
                  <c:v>0.51055488693428963</c:v>
                </c:pt>
                <c:pt idx="138">
                  <c:v>0.60992981587019801</c:v>
                </c:pt>
                <c:pt idx="139">
                  <c:v>0.71435216777073995</c:v>
                </c:pt>
                <c:pt idx="140">
                  <c:v>1.344766585732321E-2</c:v>
                </c:pt>
                <c:pt idx="141">
                  <c:v>0.25668006386144337</c:v>
                </c:pt>
                <c:pt idx="142">
                  <c:v>0.31301042475244129</c:v>
                </c:pt>
                <c:pt idx="143">
                  <c:v>0.39196089131543155</c:v>
                </c:pt>
                <c:pt idx="144">
                  <c:v>0.47876925387199332</c:v>
                </c:pt>
                <c:pt idx="145">
                  <c:v>0.58773638516127336</c:v>
                </c:pt>
                <c:pt idx="146">
                  <c:v>0.70739401743540942</c:v>
                </c:pt>
                <c:pt idx="147">
                  <c:v>3.8878816936589455E-2</c:v>
                </c:pt>
                <c:pt idx="148">
                  <c:v>0.26889538073491615</c:v>
                </c:pt>
                <c:pt idx="149">
                  <c:v>0.34128772711029109</c:v>
                </c:pt>
                <c:pt idx="150">
                  <c:v>0.43076241875136445</c:v>
                </c:pt>
                <c:pt idx="151">
                  <c:v>0.54287486439647425</c:v>
                </c:pt>
                <c:pt idx="152">
                  <c:v>0.67081137693072757</c:v>
                </c:pt>
                <c:pt idx="153">
                  <c:v>7.3799523854203047E-2</c:v>
                </c:pt>
                <c:pt idx="154">
                  <c:v>0.28010245316852472</c:v>
                </c:pt>
                <c:pt idx="155">
                  <c:v>0.36434780093032504</c:v>
                </c:pt>
                <c:pt idx="156">
                  <c:v>0.47182693933730763</c:v>
                </c:pt>
                <c:pt idx="157">
                  <c:v>0.60701395905364453</c:v>
                </c:pt>
                <c:pt idx="158">
                  <c:v>0.11151897004485448</c:v>
                </c:pt>
                <c:pt idx="159">
                  <c:v>0.29563727820492275</c:v>
                </c:pt>
                <c:pt idx="160">
                  <c:v>0.39676521119295932</c:v>
                </c:pt>
                <c:pt idx="161">
                  <c:v>0.52292448899216948</c:v>
                </c:pt>
                <c:pt idx="162">
                  <c:v>0.67599422968150558</c:v>
                </c:pt>
                <c:pt idx="163">
                  <c:v>0.14572687514066229</c:v>
                </c:pt>
                <c:pt idx="164">
                  <c:v>0.3104350707366002</c:v>
                </c:pt>
                <c:pt idx="165">
                  <c:v>0.42553533129859389</c:v>
                </c:pt>
                <c:pt idx="166">
                  <c:v>0.57177116083847823</c:v>
                </c:pt>
                <c:pt idx="167">
                  <c:v>0.17345316795317611</c:v>
                </c:pt>
                <c:pt idx="168">
                  <c:v>0.32879486905312855</c:v>
                </c:pt>
                <c:pt idx="169">
                  <c:v>0.45431270152982517</c:v>
                </c:pt>
                <c:pt idx="170">
                  <c:v>0.62666195712616457</c:v>
                </c:pt>
                <c:pt idx="171">
                  <c:v>0.22605273375958126</c:v>
                </c:pt>
                <c:pt idx="172">
                  <c:v>0.34726570876695118</c:v>
                </c:pt>
                <c:pt idx="173">
                  <c:v>0.48958952316917326</c:v>
                </c:pt>
                <c:pt idx="174">
                  <c:v>0.68211368418368723</c:v>
                </c:pt>
                <c:pt idx="175">
                  <c:v>0.2486190358679361</c:v>
                </c:pt>
                <c:pt idx="176">
                  <c:v>0.36139629895096942</c:v>
                </c:pt>
                <c:pt idx="177">
                  <c:v>0.52782783032192349</c:v>
                </c:pt>
                <c:pt idx="178">
                  <c:v>0.7368915311462908</c:v>
                </c:pt>
                <c:pt idx="179">
                  <c:v>0.25527312482331593</c:v>
                </c:pt>
                <c:pt idx="180">
                  <c:v>0.38032847560406557</c:v>
                </c:pt>
                <c:pt idx="181">
                  <c:v>0.56477074990263121</c:v>
                </c:pt>
                <c:pt idx="182">
                  <c:v>0.26246448624395408</c:v>
                </c:pt>
                <c:pt idx="183">
                  <c:v>0.40175746195766021</c:v>
                </c:pt>
                <c:pt idx="184">
                  <c:v>0.60420103494128385</c:v>
                </c:pt>
                <c:pt idx="185">
                  <c:v>0.26797963770595334</c:v>
                </c:pt>
                <c:pt idx="186">
                  <c:v>0.42207918241916426</c:v>
                </c:pt>
                <c:pt idx="187">
                  <c:v>0.64592131030815514</c:v>
                </c:pt>
                <c:pt idx="188">
                  <c:v>0.27533469933084992</c:v>
                </c:pt>
                <c:pt idx="189">
                  <c:v>0.4409982897669088</c:v>
                </c:pt>
                <c:pt idx="190">
                  <c:v>0.68794685412119561</c:v>
                </c:pt>
                <c:pt idx="191">
                  <c:v>0.27813868540530634</c:v>
                </c:pt>
                <c:pt idx="192">
                  <c:v>0.46043969234677162</c:v>
                </c:pt>
                <c:pt idx="193">
                  <c:v>0.72880083487567138</c:v>
                </c:pt>
                <c:pt idx="194">
                  <c:v>0.28633810047302982</c:v>
                </c:pt>
                <c:pt idx="195">
                  <c:v>0.48319535628814103</c:v>
                </c:pt>
                <c:pt idx="196">
                  <c:v>0.29316838655968308</c:v>
                </c:pt>
                <c:pt idx="197">
                  <c:v>0.50635540552429559</c:v>
                </c:pt>
                <c:pt idx="198">
                  <c:v>0.30056771210927424</c:v>
                </c:pt>
                <c:pt idx="199">
                  <c:v>0.53349987575768809</c:v>
                </c:pt>
                <c:pt idx="200">
                  <c:v>0.30889028391574935</c:v>
                </c:pt>
                <c:pt idx="201">
                  <c:v>0.55759080296188079</c:v>
                </c:pt>
                <c:pt idx="202">
                  <c:v>0.31655805490519073</c:v>
                </c:pt>
                <c:pt idx="203">
                  <c:v>0.58154121128444602</c:v>
                </c:pt>
                <c:pt idx="204">
                  <c:v>0.32316921548532801</c:v>
                </c:pt>
                <c:pt idx="205">
                  <c:v>0.60924088850430935</c:v>
                </c:pt>
                <c:pt idx="206">
                  <c:v>0.33286721243457557</c:v>
                </c:pt>
                <c:pt idx="207">
                  <c:v>0.63787669049362927</c:v>
                </c:pt>
                <c:pt idx="208">
                  <c:v>0.34050064072382297</c:v>
                </c:pt>
                <c:pt idx="209">
                  <c:v>0.66324573852337787</c:v>
                </c:pt>
                <c:pt idx="210">
                  <c:v>0.3521570301516373</c:v>
                </c:pt>
                <c:pt idx="211">
                  <c:v>0.69179301266330873</c:v>
                </c:pt>
                <c:pt idx="212">
                  <c:v>0.35867269894595705</c:v>
                </c:pt>
                <c:pt idx="213">
                  <c:v>0.71953313795228979</c:v>
                </c:pt>
                <c:pt idx="214">
                  <c:v>0.36647020902502064</c:v>
                </c:pt>
                <c:pt idx="215">
                  <c:v>0.74715544870032691</c:v>
                </c:pt>
                <c:pt idx="216">
                  <c:v>0.3747833365889422</c:v>
                </c:pt>
                <c:pt idx="217">
                  <c:v>0.38544035344110911</c:v>
                </c:pt>
                <c:pt idx="218">
                  <c:v>0.39769497362702633</c:v>
                </c:pt>
                <c:pt idx="219">
                  <c:v>0.40692333415111992</c:v>
                </c:pt>
                <c:pt idx="220">
                  <c:v>0.41694510644608601</c:v>
                </c:pt>
                <c:pt idx="221">
                  <c:v>0.4260179708554121</c:v>
                </c:pt>
                <c:pt idx="222">
                  <c:v>0.43586354601910465</c:v>
                </c:pt>
                <c:pt idx="223">
                  <c:v>0.44569538410271969</c:v>
                </c:pt>
                <c:pt idx="224">
                  <c:v>0.45467227974428115</c:v>
                </c:pt>
                <c:pt idx="225">
                  <c:v>0.46460914925265623</c:v>
                </c:pt>
                <c:pt idx="226">
                  <c:v>0.47616947451631675</c:v>
                </c:pt>
                <c:pt idx="227">
                  <c:v>0.48756066198152126</c:v>
                </c:pt>
                <c:pt idx="228">
                  <c:v>0.50029922805100657</c:v>
                </c:pt>
                <c:pt idx="229">
                  <c:v>0.51020700166060617</c:v>
                </c:pt>
                <c:pt idx="230">
                  <c:v>0.5223871172663801</c:v>
                </c:pt>
                <c:pt idx="231">
                  <c:v>0.53836057490136791</c:v>
                </c:pt>
                <c:pt idx="232">
                  <c:v>0.5485530113370205</c:v>
                </c:pt>
                <c:pt idx="233">
                  <c:v>0.56388054001919141</c:v>
                </c:pt>
                <c:pt idx="234">
                  <c:v>0.57532600802998057</c:v>
                </c:pt>
                <c:pt idx="235">
                  <c:v>0.58668762261446239</c:v>
                </c:pt>
                <c:pt idx="236">
                  <c:v>0.59994180616880577</c:v>
                </c:pt>
                <c:pt idx="237">
                  <c:v>0.61373001871116717</c:v>
                </c:pt>
                <c:pt idx="238">
                  <c:v>0.62840694401743913</c:v>
                </c:pt>
                <c:pt idx="239">
                  <c:v>0.64213934967198516</c:v>
                </c:pt>
                <c:pt idx="240">
                  <c:v>0.65628243678301834</c:v>
                </c:pt>
                <c:pt idx="241">
                  <c:v>0.66977453893259531</c:v>
                </c:pt>
                <c:pt idx="242">
                  <c:v>0.68879362169646008</c:v>
                </c:pt>
                <c:pt idx="243">
                  <c:v>0.69707192957824082</c:v>
                </c:pt>
                <c:pt idx="244">
                  <c:v>0.70970565501574479</c:v>
                </c:pt>
                <c:pt idx="245">
                  <c:v>0.72462297922337515</c:v>
                </c:pt>
                <c:pt idx="246">
                  <c:v>0.74007547717569699</c:v>
                </c:pt>
                <c:pt idx="247">
                  <c:v>0.75222497054046455</c:v>
                </c:pt>
              </c:numCache>
            </c:numRef>
          </c:yVal>
          <c:smooth val="0"/>
        </c:ser>
        <c:ser>
          <c:idx val="4"/>
          <c:order val="3"/>
          <c:tx>
            <c:v>projxframe</c:v>
          </c:tx>
          <c:spPr>
            <a:ln w="25400">
              <a:solidFill>
                <a:srgbClr val="006411"/>
              </a:solidFill>
              <a:prstDash val="solid"/>
            </a:ln>
          </c:spPr>
          <c:marker>
            <c:symbol val="none"/>
          </c:marker>
          <c:xVal>
            <c:numRef>
              <c:f>plot!$M$24:$M$28</c:f>
              <c:numCache>
                <c:formatCode>General</c:formatCode>
                <c:ptCount val="5"/>
                <c:pt idx="0">
                  <c:v>-0.29883623873011983</c:v>
                </c:pt>
                <c:pt idx="1">
                  <c:v>0.64085638205578843</c:v>
                </c:pt>
                <c:pt idx="2">
                  <c:v>0.64085638205578865</c:v>
                </c:pt>
                <c:pt idx="3">
                  <c:v>-0.29883623873011972</c:v>
                </c:pt>
                <c:pt idx="4">
                  <c:v>-0.29883623873011983</c:v>
                </c:pt>
              </c:numCache>
            </c:numRef>
          </c:xVal>
          <c:yVal>
            <c:numRef>
              <c:f>plot!$N$24:$N$28</c:f>
              <c:numCache>
                <c:formatCode>General</c:formatCode>
                <c:ptCount val="5"/>
                <c:pt idx="0">
                  <c:v>-0.11258451086432519</c:v>
                </c:pt>
                <c:pt idx="1">
                  <c:v>-0.28359458252715963</c:v>
                </c:pt>
                <c:pt idx="2">
                  <c:v>0.58243082125727907</c:v>
                </c:pt>
                <c:pt idx="3">
                  <c:v>0.75344089292011351</c:v>
                </c:pt>
                <c:pt idx="4">
                  <c:v>-0.11258451086432519</c:v>
                </c:pt>
              </c:numCache>
            </c:numRef>
          </c:yVal>
          <c:smooth val="0"/>
        </c:ser>
        <c:ser>
          <c:idx val="5"/>
          <c:order val="4"/>
          <c:tx>
            <c:v>projyframe</c:v>
          </c:tx>
          <c:spPr>
            <a:ln w="25400">
              <a:solidFill>
                <a:srgbClr val="900000"/>
              </a:solidFill>
              <a:prstDash val="solid"/>
            </a:ln>
          </c:spPr>
          <c:marker>
            <c:symbol val="none"/>
          </c:marker>
          <c:xVal>
            <c:numRef>
              <c:f>plot!$O$24:$O$28</c:f>
              <c:numCache>
                <c:formatCode>General</c:formatCode>
                <c:ptCount val="5"/>
                <c:pt idx="0">
                  <c:v>-0.29883623873011983</c:v>
                </c:pt>
                <c:pt idx="1">
                  <c:v>-0.64085638205578865</c:v>
                </c:pt>
                <c:pt idx="2">
                  <c:v>-0.64085638205578843</c:v>
                </c:pt>
                <c:pt idx="3">
                  <c:v>-0.29883623873011972</c:v>
                </c:pt>
                <c:pt idx="4">
                  <c:v>-0.29883623873011983</c:v>
                </c:pt>
              </c:numCache>
            </c:numRef>
          </c:xVal>
          <c:yVal>
            <c:numRef>
              <c:f>plot!$P$24:$P$28</c:f>
              <c:numCache>
                <c:formatCode>General</c:formatCode>
                <c:ptCount val="5"/>
                <c:pt idx="0">
                  <c:v>-0.11258451086432519</c:v>
                </c:pt>
                <c:pt idx="1">
                  <c:v>-0.58243082125727907</c:v>
                </c:pt>
                <c:pt idx="2">
                  <c:v>0.28359458252715963</c:v>
                </c:pt>
                <c:pt idx="3">
                  <c:v>0.75344089292011351</c:v>
                </c:pt>
                <c:pt idx="4">
                  <c:v>-0.11258451086432519</c:v>
                </c:pt>
              </c:numCache>
            </c:numRef>
          </c:yVal>
          <c:smooth val="0"/>
        </c:ser>
        <c:ser>
          <c:idx val="6"/>
          <c:order val="5"/>
          <c:tx>
            <c:v>projzframe</c:v>
          </c:tx>
          <c:spPr>
            <a:ln w="25400">
              <a:solidFill>
                <a:srgbClr val="000090"/>
              </a:solidFill>
              <a:prstDash val="solid"/>
            </a:ln>
          </c:spPr>
          <c:marker>
            <c:symbol val="none"/>
          </c:marker>
          <c:xVal>
            <c:numRef>
              <c:f>plot!$Q$24:$Q$28</c:f>
              <c:numCache>
                <c:formatCode>General</c:formatCode>
                <c:ptCount val="5"/>
                <c:pt idx="0">
                  <c:v>-0.29883623873011983</c:v>
                </c:pt>
                <c:pt idx="1">
                  <c:v>-0.64085638205578865</c:v>
                </c:pt>
                <c:pt idx="2">
                  <c:v>0.29883623873011972</c:v>
                </c:pt>
                <c:pt idx="3">
                  <c:v>0.64085638205578843</c:v>
                </c:pt>
                <c:pt idx="4">
                  <c:v>-0.29883623873011983</c:v>
                </c:pt>
              </c:numCache>
            </c:numRef>
          </c:xVal>
          <c:yVal>
            <c:numRef>
              <c:f>plot!$R$24:$R$28</c:f>
              <c:numCache>
                <c:formatCode>General</c:formatCode>
                <c:ptCount val="5"/>
                <c:pt idx="0">
                  <c:v>-0.11258451086432519</c:v>
                </c:pt>
                <c:pt idx="1">
                  <c:v>-0.58243082125727907</c:v>
                </c:pt>
                <c:pt idx="2">
                  <c:v>-0.75344089292011351</c:v>
                </c:pt>
                <c:pt idx="3">
                  <c:v>-0.28359458252715963</c:v>
                </c:pt>
                <c:pt idx="4">
                  <c:v>-0.11258451086432519</c:v>
                </c:pt>
              </c:numCache>
            </c:numRef>
          </c:yVal>
          <c:smooth val="0"/>
        </c:ser>
        <c:ser>
          <c:idx val="7"/>
          <c:order val="6"/>
          <c:tx>
            <c:v>cut_plane_y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993300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plot!$O$33:$O$280</c:f>
              <c:numCache>
                <c:formatCode>General</c:formatCode>
                <c:ptCount val="248"/>
                <c:pt idx="0">
                  <c:v>-0.29883623873011983</c:v>
                </c:pt>
                <c:pt idx="1">
                  <c:v>-0.29883623873011983</c:v>
                </c:pt>
                <c:pt idx="2">
                  <c:v>-0.29883623873011983</c:v>
                </c:pt>
                <c:pt idx="3">
                  <c:v>-0.29883623873011983</c:v>
                </c:pt>
                <c:pt idx="4">
                  <c:v>-0.29883623873011983</c:v>
                </c:pt>
                <c:pt idx="5">
                  <c:v>-0.29883623873011983</c:v>
                </c:pt>
                <c:pt idx="6">
                  <c:v>-0.29883623873011983</c:v>
                </c:pt>
                <c:pt idx="7">
                  <c:v>-0.29883623873011983</c:v>
                </c:pt>
                <c:pt idx="8">
                  <c:v>-0.29883623873011983</c:v>
                </c:pt>
                <c:pt idx="9">
                  <c:v>-0.29883623873011983</c:v>
                </c:pt>
                <c:pt idx="10">
                  <c:v>-0.29883623873011983</c:v>
                </c:pt>
                <c:pt idx="11">
                  <c:v>-0.29883623873011983</c:v>
                </c:pt>
                <c:pt idx="12">
                  <c:v>-0.29883623873011977</c:v>
                </c:pt>
                <c:pt idx="13">
                  <c:v>-0.29883623873011977</c:v>
                </c:pt>
                <c:pt idx="14">
                  <c:v>-0.29883623873011977</c:v>
                </c:pt>
                <c:pt idx="15">
                  <c:v>-0.29883623873011977</c:v>
                </c:pt>
                <c:pt idx="16">
                  <c:v>-0.29883623873011977</c:v>
                </c:pt>
                <c:pt idx="17">
                  <c:v>-0.29883623873011977</c:v>
                </c:pt>
                <c:pt idx="18">
                  <c:v>-0.29883623873011977</c:v>
                </c:pt>
                <c:pt idx="19">
                  <c:v>-0.29883623873011977</c:v>
                </c:pt>
                <c:pt idx="20">
                  <c:v>-0.29883623873011977</c:v>
                </c:pt>
                <c:pt idx="21">
                  <c:v>-0.29883623873011977</c:v>
                </c:pt>
                <c:pt idx="22">
                  <c:v>-0.29883623873011977</c:v>
                </c:pt>
                <c:pt idx="23">
                  <c:v>-0.29883623873011977</c:v>
                </c:pt>
                <c:pt idx="24">
                  <c:v>-0.29883623873011977</c:v>
                </c:pt>
                <c:pt idx="25">
                  <c:v>-0.29883623873011977</c:v>
                </c:pt>
                <c:pt idx="26">
                  <c:v>-0.29883623873011977</c:v>
                </c:pt>
                <c:pt idx="27">
                  <c:v>-0.29883623873011977</c:v>
                </c:pt>
                <c:pt idx="28">
                  <c:v>-0.29883623873011977</c:v>
                </c:pt>
                <c:pt idx="29">
                  <c:v>-0.29883623873011977</c:v>
                </c:pt>
                <c:pt idx="30">
                  <c:v>-0.29883623873011977</c:v>
                </c:pt>
                <c:pt idx="31">
                  <c:v>-0.29883623873011977</c:v>
                </c:pt>
                <c:pt idx="32">
                  <c:v>-0.3330382530626867</c:v>
                </c:pt>
                <c:pt idx="33">
                  <c:v>-0.3330382530626867</c:v>
                </c:pt>
                <c:pt idx="34">
                  <c:v>-0.3330382530626867</c:v>
                </c:pt>
                <c:pt idx="35">
                  <c:v>-0.3330382530626867</c:v>
                </c:pt>
                <c:pt idx="36">
                  <c:v>-0.3330382530626867</c:v>
                </c:pt>
                <c:pt idx="37">
                  <c:v>-0.3330382530626867</c:v>
                </c:pt>
                <c:pt idx="38">
                  <c:v>-0.33303825306268664</c:v>
                </c:pt>
                <c:pt idx="39">
                  <c:v>-0.33303825306268664</c:v>
                </c:pt>
                <c:pt idx="40">
                  <c:v>-0.33303825306268664</c:v>
                </c:pt>
                <c:pt idx="41">
                  <c:v>-0.33303825306268664</c:v>
                </c:pt>
                <c:pt idx="42">
                  <c:v>-0.33303825306268664</c:v>
                </c:pt>
                <c:pt idx="43">
                  <c:v>-0.33303825306268664</c:v>
                </c:pt>
                <c:pt idx="44">
                  <c:v>-0.33303825306268664</c:v>
                </c:pt>
                <c:pt idx="45">
                  <c:v>-0.33303825306268664</c:v>
                </c:pt>
                <c:pt idx="46">
                  <c:v>-0.33303825306268664</c:v>
                </c:pt>
                <c:pt idx="47">
                  <c:v>-0.33303825306268664</c:v>
                </c:pt>
                <c:pt idx="48">
                  <c:v>-0.33303825306268664</c:v>
                </c:pt>
                <c:pt idx="49">
                  <c:v>-0.33303825306268664</c:v>
                </c:pt>
                <c:pt idx="50">
                  <c:v>-0.33303825306268664</c:v>
                </c:pt>
                <c:pt idx="51">
                  <c:v>-0.33303825306268664</c:v>
                </c:pt>
                <c:pt idx="52">
                  <c:v>-0.33303825306268664</c:v>
                </c:pt>
                <c:pt idx="53">
                  <c:v>-0.33303825306268664</c:v>
                </c:pt>
                <c:pt idx="54">
                  <c:v>-0.33303825306268664</c:v>
                </c:pt>
                <c:pt idx="55">
                  <c:v>-0.33303825306268658</c:v>
                </c:pt>
                <c:pt idx="56">
                  <c:v>-0.33303825306268658</c:v>
                </c:pt>
                <c:pt idx="57">
                  <c:v>-0.33303825306268658</c:v>
                </c:pt>
                <c:pt idx="58">
                  <c:v>-0.33303825306268658</c:v>
                </c:pt>
                <c:pt idx="59">
                  <c:v>-0.33303825306268658</c:v>
                </c:pt>
                <c:pt idx="60">
                  <c:v>-0.33303825306268658</c:v>
                </c:pt>
                <c:pt idx="61">
                  <c:v>-0.33303825306268658</c:v>
                </c:pt>
                <c:pt idx="62">
                  <c:v>-0.33303825306268658</c:v>
                </c:pt>
                <c:pt idx="63">
                  <c:v>-0.33303825306268658</c:v>
                </c:pt>
                <c:pt idx="64">
                  <c:v>-0.36724026739525356</c:v>
                </c:pt>
                <c:pt idx="65">
                  <c:v>-0.36724026739525356</c:v>
                </c:pt>
                <c:pt idx="66">
                  <c:v>-0.36724026739525356</c:v>
                </c:pt>
                <c:pt idx="67">
                  <c:v>-0.36724026739525356</c:v>
                </c:pt>
                <c:pt idx="68">
                  <c:v>-0.36724026739525351</c:v>
                </c:pt>
                <c:pt idx="69">
                  <c:v>-0.36724026739525351</c:v>
                </c:pt>
                <c:pt idx="70">
                  <c:v>-0.36724026739525351</c:v>
                </c:pt>
                <c:pt idx="71">
                  <c:v>-0.36724026739525351</c:v>
                </c:pt>
                <c:pt idx="72">
                  <c:v>-0.36724026739525351</c:v>
                </c:pt>
                <c:pt idx="73">
                  <c:v>-0.36724026739525351</c:v>
                </c:pt>
                <c:pt idx="74">
                  <c:v>-0.36724026739525351</c:v>
                </c:pt>
                <c:pt idx="75">
                  <c:v>-0.36724026739525351</c:v>
                </c:pt>
                <c:pt idx="76">
                  <c:v>-0.36724026739525351</c:v>
                </c:pt>
                <c:pt idx="77">
                  <c:v>-0.36724026739525351</c:v>
                </c:pt>
                <c:pt idx="78">
                  <c:v>-0.36724026739525351</c:v>
                </c:pt>
                <c:pt idx="79">
                  <c:v>-0.36724026739525345</c:v>
                </c:pt>
                <c:pt idx="80">
                  <c:v>-0.36724026739525345</c:v>
                </c:pt>
                <c:pt idx="81">
                  <c:v>-0.36724026739525345</c:v>
                </c:pt>
                <c:pt idx="82">
                  <c:v>-0.36724026739525345</c:v>
                </c:pt>
                <c:pt idx="83">
                  <c:v>-0.36724026739525345</c:v>
                </c:pt>
                <c:pt idx="84">
                  <c:v>-0.36724026739525345</c:v>
                </c:pt>
                <c:pt idx="85">
                  <c:v>-0.40144228172782043</c:v>
                </c:pt>
                <c:pt idx="86">
                  <c:v>-0.40144228172782043</c:v>
                </c:pt>
                <c:pt idx="87">
                  <c:v>-0.40144228172782043</c:v>
                </c:pt>
                <c:pt idx="88">
                  <c:v>-0.40144228172782037</c:v>
                </c:pt>
                <c:pt idx="89">
                  <c:v>-0.40144228172782037</c:v>
                </c:pt>
                <c:pt idx="90">
                  <c:v>-0.40144228172782037</c:v>
                </c:pt>
                <c:pt idx="91">
                  <c:v>-0.40144228172782037</c:v>
                </c:pt>
                <c:pt idx="92">
                  <c:v>-0.40144228172782037</c:v>
                </c:pt>
                <c:pt idx="93">
                  <c:v>-0.40144228172782037</c:v>
                </c:pt>
                <c:pt idx="94">
                  <c:v>-0.40144228172782037</c:v>
                </c:pt>
                <c:pt idx="95">
                  <c:v>-0.40144228172782037</c:v>
                </c:pt>
                <c:pt idx="96">
                  <c:v>-0.40144228172782032</c:v>
                </c:pt>
                <c:pt idx="97">
                  <c:v>-0.40144228172782032</c:v>
                </c:pt>
                <c:pt idx="98">
                  <c:v>-0.40144228172782032</c:v>
                </c:pt>
                <c:pt idx="99">
                  <c:v>-0.40144228172782032</c:v>
                </c:pt>
                <c:pt idx="100">
                  <c:v>-0.40144228172782032</c:v>
                </c:pt>
                <c:pt idx="101">
                  <c:v>-0.43564429606038735</c:v>
                </c:pt>
                <c:pt idx="102">
                  <c:v>-0.43564429606038735</c:v>
                </c:pt>
                <c:pt idx="103">
                  <c:v>-0.43564429606038729</c:v>
                </c:pt>
                <c:pt idx="104">
                  <c:v>-0.43564429606038729</c:v>
                </c:pt>
                <c:pt idx="105">
                  <c:v>-0.43564429606038729</c:v>
                </c:pt>
                <c:pt idx="106">
                  <c:v>-0.43564429606038729</c:v>
                </c:pt>
                <c:pt idx="107">
                  <c:v>-0.43564429606038729</c:v>
                </c:pt>
                <c:pt idx="108">
                  <c:v>-0.43564429606038729</c:v>
                </c:pt>
                <c:pt idx="109">
                  <c:v>-0.43564429606038729</c:v>
                </c:pt>
                <c:pt idx="110">
                  <c:v>-0.43564429606038724</c:v>
                </c:pt>
                <c:pt idx="111">
                  <c:v>-0.43564429606038724</c:v>
                </c:pt>
                <c:pt idx="112">
                  <c:v>-0.43564429606038724</c:v>
                </c:pt>
                <c:pt idx="113">
                  <c:v>-0.46984631039295421</c:v>
                </c:pt>
                <c:pt idx="114">
                  <c:v>-0.46984631039295421</c:v>
                </c:pt>
                <c:pt idx="115">
                  <c:v>-0.46984631039295416</c:v>
                </c:pt>
                <c:pt idx="116">
                  <c:v>-0.46984631039295416</c:v>
                </c:pt>
                <c:pt idx="117">
                  <c:v>-0.46984631039295416</c:v>
                </c:pt>
                <c:pt idx="118">
                  <c:v>-0.46984631039295416</c:v>
                </c:pt>
                <c:pt idx="119">
                  <c:v>-0.46984631039295416</c:v>
                </c:pt>
                <c:pt idx="120">
                  <c:v>-0.4698463103929541</c:v>
                </c:pt>
                <c:pt idx="121">
                  <c:v>-0.4698463103929541</c:v>
                </c:pt>
                <c:pt idx="122">
                  <c:v>-0.4698463103929541</c:v>
                </c:pt>
                <c:pt idx="123">
                  <c:v>-0.50404832472552108</c:v>
                </c:pt>
                <c:pt idx="124">
                  <c:v>-0.50404832472552108</c:v>
                </c:pt>
                <c:pt idx="125">
                  <c:v>-0.50404832472552108</c:v>
                </c:pt>
                <c:pt idx="126">
                  <c:v>-0.50404832472552108</c:v>
                </c:pt>
                <c:pt idx="127">
                  <c:v>-0.50404832472552108</c:v>
                </c:pt>
                <c:pt idx="128">
                  <c:v>-0.50404832472552108</c:v>
                </c:pt>
                <c:pt idx="129">
                  <c:v>-0.50404832472552108</c:v>
                </c:pt>
                <c:pt idx="130">
                  <c:v>-0.50404832472552108</c:v>
                </c:pt>
                <c:pt idx="131">
                  <c:v>-0.50404832472552097</c:v>
                </c:pt>
                <c:pt idx="132">
                  <c:v>-0.53825033905808795</c:v>
                </c:pt>
                <c:pt idx="133">
                  <c:v>-0.53825033905808795</c:v>
                </c:pt>
                <c:pt idx="134">
                  <c:v>-0.53825033905808795</c:v>
                </c:pt>
                <c:pt idx="135">
                  <c:v>-0.53825033905808795</c:v>
                </c:pt>
                <c:pt idx="136">
                  <c:v>-0.53825033905808795</c:v>
                </c:pt>
                <c:pt idx="137">
                  <c:v>-0.53825033905808795</c:v>
                </c:pt>
                <c:pt idx="138">
                  <c:v>-0.53825033905808795</c:v>
                </c:pt>
                <c:pt idx="139">
                  <c:v>-0.53825033905808783</c:v>
                </c:pt>
                <c:pt idx="140">
                  <c:v>-0.57245235339065481</c:v>
                </c:pt>
                <c:pt idx="141">
                  <c:v>-0.57245235339065481</c:v>
                </c:pt>
                <c:pt idx="142">
                  <c:v>-0.57245235339065481</c:v>
                </c:pt>
                <c:pt idx="143">
                  <c:v>-0.57245235339065481</c:v>
                </c:pt>
                <c:pt idx="144">
                  <c:v>-0.57245235339065481</c:v>
                </c:pt>
                <c:pt idx="145">
                  <c:v>-0.57245235339065481</c:v>
                </c:pt>
                <c:pt idx="146">
                  <c:v>-0.5724523533906547</c:v>
                </c:pt>
                <c:pt idx="147">
                  <c:v>-0.60665436772322168</c:v>
                </c:pt>
                <c:pt idx="148">
                  <c:v>-0.60665436772322168</c:v>
                </c:pt>
                <c:pt idx="149">
                  <c:v>-0.60665436772322168</c:v>
                </c:pt>
                <c:pt idx="150">
                  <c:v>-0.60665436772322168</c:v>
                </c:pt>
                <c:pt idx="151">
                  <c:v>-0.60665436772322168</c:v>
                </c:pt>
                <c:pt idx="152">
                  <c:v>-0.60665436772322168</c:v>
                </c:pt>
                <c:pt idx="153">
                  <c:v>-0.64085638205578854</c:v>
                </c:pt>
                <c:pt idx="154">
                  <c:v>-0.64085638205578854</c:v>
                </c:pt>
                <c:pt idx="155">
                  <c:v>-0.64085638205578854</c:v>
                </c:pt>
                <c:pt idx="156">
                  <c:v>-0.64085638205578854</c:v>
                </c:pt>
                <c:pt idx="157">
                  <c:v>-0.35312515036911474</c:v>
                </c:pt>
                <c:pt idx="158">
                  <c:v>-0.35855404153301434</c:v>
                </c:pt>
                <c:pt idx="159">
                  <c:v>-0.35855404153301429</c:v>
                </c:pt>
                <c:pt idx="160">
                  <c:v>-0.35855404153301429</c:v>
                </c:pt>
                <c:pt idx="161">
                  <c:v>-0.35855404153301423</c:v>
                </c:pt>
                <c:pt idx="162">
                  <c:v>-0.35855404153301423</c:v>
                </c:pt>
                <c:pt idx="163">
                  <c:v>-0.36398293269691379</c:v>
                </c:pt>
                <c:pt idx="164">
                  <c:v>-0.36398293269691379</c:v>
                </c:pt>
                <c:pt idx="165">
                  <c:v>-0.36398293269691379</c:v>
                </c:pt>
                <c:pt idx="166">
                  <c:v>-0.36398293269691373</c:v>
                </c:pt>
                <c:pt idx="167">
                  <c:v>-0.36941182386081328</c:v>
                </c:pt>
                <c:pt idx="168">
                  <c:v>-0.36941182386081328</c:v>
                </c:pt>
                <c:pt idx="169">
                  <c:v>-0.36941182386081328</c:v>
                </c:pt>
                <c:pt idx="170">
                  <c:v>-0.36941182386081323</c:v>
                </c:pt>
                <c:pt idx="171">
                  <c:v>-0.37484071502471283</c:v>
                </c:pt>
                <c:pt idx="172">
                  <c:v>-0.37484071502471283</c:v>
                </c:pt>
                <c:pt idx="173">
                  <c:v>-0.37484071502471283</c:v>
                </c:pt>
                <c:pt idx="174">
                  <c:v>-0.37484071502471278</c:v>
                </c:pt>
                <c:pt idx="175">
                  <c:v>-0.38026960618861233</c:v>
                </c:pt>
                <c:pt idx="176">
                  <c:v>-0.38026960618861233</c:v>
                </c:pt>
                <c:pt idx="177">
                  <c:v>-0.38026960618861227</c:v>
                </c:pt>
                <c:pt idx="178">
                  <c:v>-0.38026960618861227</c:v>
                </c:pt>
                <c:pt idx="179">
                  <c:v>-0.38569849735251183</c:v>
                </c:pt>
                <c:pt idx="180">
                  <c:v>-0.38569849735251183</c:v>
                </c:pt>
                <c:pt idx="181">
                  <c:v>-0.38569849735251177</c:v>
                </c:pt>
                <c:pt idx="182">
                  <c:v>-0.39112738851641132</c:v>
                </c:pt>
                <c:pt idx="183">
                  <c:v>-0.39112738851641132</c:v>
                </c:pt>
                <c:pt idx="184">
                  <c:v>-0.39112738851641127</c:v>
                </c:pt>
                <c:pt idx="185">
                  <c:v>-0.39655627968031082</c:v>
                </c:pt>
                <c:pt idx="186">
                  <c:v>-0.39655627968031082</c:v>
                </c:pt>
                <c:pt idx="187">
                  <c:v>-0.39655627968031076</c:v>
                </c:pt>
                <c:pt idx="188">
                  <c:v>-0.40198517084421037</c:v>
                </c:pt>
                <c:pt idx="189">
                  <c:v>-0.40198517084421037</c:v>
                </c:pt>
                <c:pt idx="190">
                  <c:v>-0.40198517084421032</c:v>
                </c:pt>
                <c:pt idx="191">
                  <c:v>-0.40741406200810987</c:v>
                </c:pt>
                <c:pt idx="192">
                  <c:v>-0.40741406200810987</c:v>
                </c:pt>
                <c:pt idx="193">
                  <c:v>-0.40741406200810981</c:v>
                </c:pt>
                <c:pt idx="194">
                  <c:v>-0.41284295317200936</c:v>
                </c:pt>
                <c:pt idx="195">
                  <c:v>-0.41284295317200936</c:v>
                </c:pt>
                <c:pt idx="196">
                  <c:v>-0.41827184433590886</c:v>
                </c:pt>
                <c:pt idx="197">
                  <c:v>-0.41827184433590886</c:v>
                </c:pt>
                <c:pt idx="198">
                  <c:v>-0.42370073549980836</c:v>
                </c:pt>
                <c:pt idx="199">
                  <c:v>-0.4237007354998083</c:v>
                </c:pt>
                <c:pt idx="200">
                  <c:v>-0.42912962666370785</c:v>
                </c:pt>
                <c:pt idx="201">
                  <c:v>-0.4291296266637078</c:v>
                </c:pt>
                <c:pt idx="202">
                  <c:v>-0.43455851782760735</c:v>
                </c:pt>
                <c:pt idx="203">
                  <c:v>-0.43455851782760729</c:v>
                </c:pt>
                <c:pt idx="204">
                  <c:v>-0.4399874089915069</c:v>
                </c:pt>
                <c:pt idx="205">
                  <c:v>-0.43998740899150685</c:v>
                </c:pt>
                <c:pt idx="206">
                  <c:v>-0.4454163001554064</c:v>
                </c:pt>
                <c:pt idx="207">
                  <c:v>-0.44541630015540634</c:v>
                </c:pt>
                <c:pt idx="208">
                  <c:v>-0.45084519131930589</c:v>
                </c:pt>
                <c:pt idx="209">
                  <c:v>-0.45084519131930584</c:v>
                </c:pt>
                <c:pt idx="210">
                  <c:v>-0.45627408248320539</c:v>
                </c:pt>
                <c:pt idx="211">
                  <c:v>-0.45627408248320533</c:v>
                </c:pt>
                <c:pt idx="212">
                  <c:v>-0.46170297364710489</c:v>
                </c:pt>
                <c:pt idx="213">
                  <c:v>-0.46170297364710483</c:v>
                </c:pt>
                <c:pt idx="214">
                  <c:v>-0.46713186481100438</c:v>
                </c:pt>
                <c:pt idx="215">
                  <c:v>-0.46713186481100433</c:v>
                </c:pt>
                <c:pt idx="216">
                  <c:v>-0.47256075597490388</c:v>
                </c:pt>
                <c:pt idx="217">
                  <c:v>-0.47798964713880343</c:v>
                </c:pt>
                <c:pt idx="218">
                  <c:v>-0.48341853830270293</c:v>
                </c:pt>
                <c:pt idx="219">
                  <c:v>-0.48884742946660242</c:v>
                </c:pt>
                <c:pt idx="220">
                  <c:v>-0.49427632063050192</c:v>
                </c:pt>
                <c:pt idx="221">
                  <c:v>-0.49970521179440142</c:v>
                </c:pt>
                <c:pt idx="222">
                  <c:v>-0.50513410295830097</c:v>
                </c:pt>
                <c:pt idx="223">
                  <c:v>-0.51056299412220041</c:v>
                </c:pt>
                <c:pt idx="224">
                  <c:v>-0.51599188528609996</c:v>
                </c:pt>
                <c:pt idx="225">
                  <c:v>-0.52142077644999951</c:v>
                </c:pt>
                <c:pt idx="226">
                  <c:v>-0.52684966761389895</c:v>
                </c:pt>
                <c:pt idx="227">
                  <c:v>-0.53227855877779851</c:v>
                </c:pt>
                <c:pt idx="228">
                  <c:v>-0.53770744994169795</c:v>
                </c:pt>
                <c:pt idx="229">
                  <c:v>-0.5431363411055975</c:v>
                </c:pt>
                <c:pt idx="230">
                  <c:v>-0.54856523226949694</c:v>
                </c:pt>
                <c:pt idx="231">
                  <c:v>-0.55399412343339649</c:v>
                </c:pt>
                <c:pt idx="232">
                  <c:v>-0.55942301459729593</c:v>
                </c:pt>
                <c:pt idx="233">
                  <c:v>-0.56485190576119548</c:v>
                </c:pt>
                <c:pt idx="234">
                  <c:v>-0.57028079692509503</c:v>
                </c:pt>
                <c:pt idx="235">
                  <c:v>-0.57570968808899448</c:v>
                </c:pt>
                <c:pt idx="236">
                  <c:v>-0.58113857925289403</c:v>
                </c:pt>
                <c:pt idx="237">
                  <c:v>-0.58656747041679358</c:v>
                </c:pt>
                <c:pt idx="238">
                  <c:v>-0.59199636158069302</c:v>
                </c:pt>
                <c:pt idx="239">
                  <c:v>-0.59742525274459257</c:v>
                </c:pt>
                <c:pt idx="240">
                  <c:v>-0.60285414390849201</c:v>
                </c:pt>
                <c:pt idx="241">
                  <c:v>-0.60828303507239156</c:v>
                </c:pt>
                <c:pt idx="242">
                  <c:v>-0.61371192623629101</c:v>
                </c:pt>
                <c:pt idx="243">
                  <c:v>-0.61914081740019056</c:v>
                </c:pt>
                <c:pt idx="244">
                  <c:v>-0.62456970856409</c:v>
                </c:pt>
                <c:pt idx="245">
                  <c:v>-0.62999859972798944</c:v>
                </c:pt>
                <c:pt idx="246">
                  <c:v>-0.63542749089188899</c:v>
                </c:pt>
                <c:pt idx="247">
                  <c:v>-0.64085638205578843</c:v>
                </c:pt>
              </c:numCache>
            </c:numRef>
          </c:xVal>
          <c:yVal>
            <c:numRef>
              <c:f>plot!$P$33:$P$280</c:f>
              <c:numCache>
                <c:formatCode>General</c:formatCode>
                <c:ptCount val="248"/>
                <c:pt idx="0">
                  <c:v>5.3787746261950486E-2</c:v>
                </c:pt>
                <c:pt idx="1">
                  <c:v>-7.5795847245322456E-2</c:v>
                </c:pt>
                <c:pt idx="2">
                  <c:v>-0.11148850174618719</c:v>
                </c:pt>
                <c:pt idx="3">
                  <c:v>-0.10662509841675982</c:v>
                </c:pt>
                <c:pt idx="4">
                  <c:v>-9.4724589628399303E-2</c:v>
                </c:pt>
                <c:pt idx="5">
                  <c:v>-7.8439471989150356E-2</c:v>
                </c:pt>
                <c:pt idx="6">
                  <c:v>-5.579189215700292E-2</c:v>
                </c:pt>
                <c:pt idx="7">
                  <c:v>-2.1844705393501751E-2</c:v>
                </c:pt>
                <c:pt idx="8">
                  <c:v>1.23486040547236E-2</c:v>
                </c:pt>
                <c:pt idx="9">
                  <c:v>3.8383900468237142E-2</c:v>
                </c:pt>
                <c:pt idx="10">
                  <c:v>7.4421603709662859E-2</c:v>
                </c:pt>
                <c:pt idx="11">
                  <c:v>0.11176747763931436</c:v>
                </c:pt>
                <c:pt idx="12">
                  <c:v>0.14607211467400216</c:v>
                </c:pt>
                <c:pt idx="13">
                  <c:v>0.17381901310663231</c:v>
                </c:pt>
                <c:pt idx="14">
                  <c:v>0.22306119838350952</c:v>
                </c:pt>
                <c:pt idx="15">
                  <c:v>0.24819595288082302</c:v>
                </c:pt>
                <c:pt idx="16">
                  <c:v>0.25603868084847536</c:v>
                </c:pt>
                <c:pt idx="17">
                  <c:v>0.26269353297497067</c:v>
                </c:pt>
                <c:pt idx="18">
                  <c:v>0.2670810037175419</c:v>
                </c:pt>
                <c:pt idx="19">
                  <c:v>0.27478769643386997</c:v>
                </c:pt>
                <c:pt idx="20">
                  <c:v>0.27891435344774512</c:v>
                </c:pt>
                <c:pt idx="21">
                  <c:v>0.28634859407586694</c:v>
                </c:pt>
                <c:pt idx="22">
                  <c:v>0.2929719653938509</c:v>
                </c:pt>
                <c:pt idx="23">
                  <c:v>0.30072759645795555</c:v>
                </c:pt>
                <c:pt idx="24">
                  <c:v>0.30944978373974441</c:v>
                </c:pt>
                <c:pt idx="25">
                  <c:v>0.31658696001118741</c:v>
                </c:pt>
                <c:pt idx="26">
                  <c:v>0.32389451423414883</c:v>
                </c:pt>
                <c:pt idx="27">
                  <c:v>0.33396961311080514</c:v>
                </c:pt>
                <c:pt idx="28">
                  <c:v>0.34217646909690402</c:v>
                </c:pt>
                <c:pt idx="29">
                  <c:v>0.3525840243907169</c:v>
                </c:pt>
                <c:pt idx="30">
                  <c:v>0.35873298946407561</c:v>
                </c:pt>
                <c:pt idx="31">
                  <c:v>0.36670793682747505</c:v>
                </c:pt>
                <c:pt idx="32">
                  <c:v>-0.14093298024691925</c:v>
                </c:pt>
                <c:pt idx="33">
                  <c:v>-0.15544754089838508</c:v>
                </c:pt>
                <c:pt idx="34">
                  <c:v>-0.12583936351162572</c:v>
                </c:pt>
                <c:pt idx="35">
                  <c:v>-6.8962032810491403E-2</c:v>
                </c:pt>
                <c:pt idx="36">
                  <c:v>-8.9756383815101093E-3</c:v>
                </c:pt>
                <c:pt idx="37">
                  <c:v>6.5679668057031404E-2</c:v>
                </c:pt>
                <c:pt idx="38">
                  <c:v>0.12467088735150011</c:v>
                </c:pt>
                <c:pt idx="39">
                  <c:v>0.20148453710084946</c:v>
                </c:pt>
                <c:pt idx="40">
                  <c:v>0.21557343906268758</c:v>
                </c:pt>
                <c:pt idx="41">
                  <c:v>0.22835273939045861</c:v>
                </c:pt>
                <c:pt idx="42">
                  <c:v>0.23927524439440356</c:v>
                </c:pt>
                <c:pt idx="43">
                  <c:v>0.25446044166354798</c:v>
                </c:pt>
                <c:pt idx="44">
                  <c:v>0.27034956889028144</c:v>
                </c:pt>
                <c:pt idx="45">
                  <c:v>0.28620692911933532</c:v>
                </c:pt>
                <c:pt idx="46">
                  <c:v>0.30489613116855852</c:v>
                </c:pt>
                <c:pt idx="47">
                  <c:v>0.31927694608204626</c:v>
                </c:pt>
                <c:pt idx="48">
                  <c:v>0.3405963219841881</c:v>
                </c:pt>
                <c:pt idx="49">
                  <c:v>0.36257717645062343</c:v>
                </c:pt>
                <c:pt idx="50">
                  <c:v>0.38212809408554949</c:v>
                </c:pt>
                <c:pt idx="51">
                  <c:v>0.40036530804166298</c:v>
                </c:pt>
                <c:pt idx="52">
                  <c:v>0.41861826240203215</c:v>
                </c:pt>
                <c:pt idx="53">
                  <c:v>0.44093729706898954</c:v>
                </c:pt>
                <c:pt idx="54">
                  <c:v>0.46338130100609781</c:v>
                </c:pt>
                <c:pt idx="55">
                  <c:v>0.49122607613428115</c:v>
                </c:pt>
                <c:pt idx="56">
                  <c:v>0.51564564390005319</c:v>
                </c:pt>
                <c:pt idx="57">
                  <c:v>0.54031772590864091</c:v>
                </c:pt>
                <c:pt idx="58">
                  <c:v>0.56649468596045516</c:v>
                </c:pt>
                <c:pt idx="59">
                  <c:v>0.59531565234165484</c:v>
                </c:pt>
                <c:pt idx="60">
                  <c:v>0.62315813795649189</c:v>
                </c:pt>
                <c:pt idx="61">
                  <c:v>0.65054386565874778</c:v>
                </c:pt>
                <c:pt idx="62">
                  <c:v>0.67843118757661602</c:v>
                </c:pt>
                <c:pt idx="63">
                  <c:v>0.70558472046700405</c:v>
                </c:pt>
                <c:pt idx="64">
                  <c:v>-0.20655377294291596</c:v>
                </c:pt>
                <c:pt idx="65">
                  <c:v>-0.17198097665754616</c:v>
                </c:pt>
                <c:pt idx="66">
                  <c:v>-8.1071556406319828E-2</c:v>
                </c:pt>
                <c:pt idx="67">
                  <c:v>1.7779708661174592E-2</c:v>
                </c:pt>
                <c:pt idx="68">
                  <c:v>0.13119294638568041</c:v>
                </c:pt>
                <c:pt idx="69">
                  <c:v>0.16809350996948214</c:v>
                </c:pt>
                <c:pt idx="70">
                  <c:v>0.18517919410881059</c:v>
                </c:pt>
                <c:pt idx="71">
                  <c:v>0.20672332390444464</c:v>
                </c:pt>
                <c:pt idx="72">
                  <c:v>0.22877047886153248</c:v>
                </c:pt>
                <c:pt idx="73">
                  <c:v>0.25828535857943125</c:v>
                </c:pt>
                <c:pt idx="74">
                  <c:v>0.28120653525645822</c:v>
                </c:pt>
                <c:pt idx="75">
                  <c:v>0.31425575580627385</c:v>
                </c:pt>
                <c:pt idx="76">
                  <c:v>0.34246351419623061</c:v>
                </c:pt>
                <c:pt idx="77">
                  <c:v>0.3717613671281807</c:v>
                </c:pt>
                <c:pt idx="78">
                  <c:v>0.4060821261526818</c:v>
                </c:pt>
                <c:pt idx="79">
                  <c:v>0.44393121603656599</c:v>
                </c:pt>
                <c:pt idx="80">
                  <c:v>0.48178059210961821</c:v>
                </c:pt>
                <c:pt idx="81">
                  <c:v>0.52155878778051479</c:v>
                </c:pt>
                <c:pt idx="82">
                  <c:v>0.56473404887894108</c:v>
                </c:pt>
                <c:pt idx="83">
                  <c:v>0.60579771089737944</c:v>
                </c:pt>
                <c:pt idx="84">
                  <c:v>0.6460893299361774</c:v>
                </c:pt>
                <c:pt idx="85">
                  <c:v>-0.24751669769234952</c:v>
                </c:pt>
                <c:pt idx="86">
                  <c:v>-0.16284019133717853</c:v>
                </c:pt>
                <c:pt idx="87">
                  <c:v>-3.0400239137653245E-2</c:v>
                </c:pt>
                <c:pt idx="88">
                  <c:v>0.10765255042664545</c:v>
                </c:pt>
                <c:pt idx="89">
                  <c:v>0.13451006832063869</c:v>
                </c:pt>
                <c:pt idx="90">
                  <c:v>0.15976311434084289</c:v>
                </c:pt>
                <c:pt idx="91">
                  <c:v>0.19307181306990259</c:v>
                </c:pt>
                <c:pt idx="92">
                  <c:v>0.22619849548793386</c:v>
                </c:pt>
                <c:pt idx="93">
                  <c:v>0.26787307598426902</c:v>
                </c:pt>
                <c:pt idx="94">
                  <c:v>0.30691700564573843</c:v>
                </c:pt>
                <c:pt idx="95">
                  <c:v>0.34802016176939993</c:v>
                </c:pt>
                <c:pt idx="96">
                  <c:v>0.39793927982565802</c:v>
                </c:pt>
                <c:pt idx="97">
                  <c:v>0.44597985218130048</c:v>
                </c:pt>
                <c:pt idx="98">
                  <c:v>0.50146267846177661</c:v>
                </c:pt>
                <c:pt idx="99">
                  <c:v>0.55649418442386911</c:v>
                </c:pt>
                <c:pt idx="100">
                  <c:v>0.61205370940144543</c:v>
                </c:pt>
                <c:pt idx="101">
                  <c:v>-0.28149078755590051</c:v>
                </c:pt>
                <c:pt idx="102">
                  <c:v>-0.14957494311989264</c:v>
                </c:pt>
                <c:pt idx="103">
                  <c:v>3.7212427533137138E-2</c:v>
                </c:pt>
                <c:pt idx="104">
                  <c:v>8.7561115530989331E-2</c:v>
                </c:pt>
                <c:pt idx="105">
                  <c:v>0.1208496856218798</c:v>
                </c:pt>
                <c:pt idx="106">
                  <c:v>0.16467497771786849</c:v>
                </c:pt>
                <c:pt idx="107">
                  <c:v>0.21095148004020903</c:v>
                </c:pt>
                <c:pt idx="108">
                  <c:v>0.25910605108121776</c:v>
                </c:pt>
                <c:pt idx="109">
                  <c:v>0.31272120684947319</c:v>
                </c:pt>
                <c:pt idx="110">
                  <c:v>0.37696094469749003</c:v>
                </c:pt>
                <c:pt idx="111">
                  <c:v>0.44022697159861546</c:v>
                </c:pt>
                <c:pt idx="112">
                  <c:v>0.5103697426280458</c:v>
                </c:pt>
                <c:pt idx="113">
                  <c:v>-0.31327343156151222</c:v>
                </c:pt>
                <c:pt idx="114">
                  <c:v>-0.12411240794673567</c:v>
                </c:pt>
                <c:pt idx="115">
                  <c:v>2.7156502012524709E-2</c:v>
                </c:pt>
                <c:pt idx="116">
                  <c:v>6.5605253600352992E-2</c:v>
                </c:pt>
                <c:pt idx="117">
                  <c:v>0.11769034667857312</c:v>
                </c:pt>
                <c:pt idx="118">
                  <c:v>0.17337340998045858</c:v>
                </c:pt>
                <c:pt idx="119">
                  <c:v>0.23120508616143032</c:v>
                </c:pt>
                <c:pt idx="120">
                  <c:v>0.30427271049072224</c:v>
                </c:pt>
                <c:pt idx="121">
                  <c:v>0.38001067055288162</c:v>
                </c:pt>
                <c:pt idx="122">
                  <c:v>0.46334084766405575</c:v>
                </c:pt>
                <c:pt idx="123">
                  <c:v>-0.33817933143881912</c:v>
                </c:pt>
                <c:pt idx="124">
                  <c:v>-0.10902260838525038</c:v>
                </c:pt>
                <c:pt idx="125">
                  <c:v>-3.6750399904900907E-3</c:v>
                </c:pt>
                <c:pt idx="126">
                  <c:v>5.1840888837117585E-2</c:v>
                </c:pt>
                <c:pt idx="127">
                  <c:v>0.11705195272229008</c:v>
                </c:pt>
                <c:pt idx="128">
                  <c:v>0.18458343838390834</c:v>
                </c:pt>
                <c:pt idx="129">
                  <c:v>0.26812568166878087</c:v>
                </c:pt>
                <c:pt idx="130">
                  <c:v>0.3607095947436364</c:v>
                </c:pt>
                <c:pt idx="131">
                  <c:v>0.45939687341770413</c:v>
                </c:pt>
                <c:pt idx="132">
                  <c:v>-0.35100890698204973</c:v>
                </c:pt>
                <c:pt idx="133">
                  <c:v>-8.040474223537393E-2</c:v>
                </c:pt>
                <c:pt idx="134">
                  <c:v>-2.7553234564489392E-2</c:v>
                </c:pt>
                <c:pt idx="135">
                  <c:v>3.820139794764358E-2</c:v>
                </c:pt>
                <c:pt idx="136">
                  <c:v>0.11780062226828965</c:v>
                </c:pt>
                <c:pt idx="137">
                  <c:v>0.20924473928225978</c:v>
                </c:pt>
                <c:pt idx="138">
                  <c:v>0.31413612214277564</c:v>
                </c:pt>
                <c:pt idx="139">
                  <c:v>0.42407492796792523</c:v>
                </c:pt>
                <c:pt idx="140">
                  <c:v>-0.36242938245703993</c:v>
                </c:pt>
                <c:pt idx="141">
                  <c:v>-0.11368053052831215</c:v>
                </c:pt>
                <c:pt idx="142">
                  <c:v>-5.1833715712706716E-2</c:v>
                </c:pt>
                <c:pt idx="143">
                  <c:v>3.2633204774891109E-2</c:v>
                </c:pt>
                <c:pt idx="144">
                  <c:v>0.1249580212560604</c:v>
                </c:pt>
                <c:pt idx="145">
                  <c:v>0.239441606469948</c:v>
                </c:pt>
                <c:pt idx="146">
                  <c:v>0.3646156926686917</c:v>
                </c:pt>
                <c:pt idx="147">
                  <c:v>-0.38398286241706903</c:v>
                </c:pt>
                <c:pt idx="148">
                  <c:v>-0.14844984469413475</c:v>
                </c:pt>
                <c:pt idx="149">
                  <c:v>-7.0541044394152291E-2</c:v>
                </c:pt>
                <c:pt idx="150">
                  <c:v>2.4450101171528626E-2</c:v>
                </c:pt>
                <c:pt idx="151">
                  <c:v>0.14207900074124602</c:v>
                </c:pt>
                <c:pt idx="152">
                  <c:v>0.27553196720010686</c:v>
                </c:pt>
                <c:pt idx="153">
                  <c:v>-0.39604678653875081</c:v>
                </c:pt>
                <c:pt idx="154">
                  <c:v>-0.18422740329982154</c:v>
                </c:pt>
                <c:pt idx="155">
                  <c:v>-9.4465601613413691E-2</c:v>
                </c:pt>
                <c:pt idx="156">
                  <c:v>1.8529990718176459E-2</c:v>
                </c:pt>
                <c:pt idx="157">
                  <c:v>0.55450099532462171</c:v>
                </c:pt>
                <c:pt idx="158">
                  <c:v>2.9482312674656175E-2</c:v>
                </c:pt>
                <c:pt idx="159">
                  <c:v>0.21911707475933204</c:v>
                </c:pt>
                <c:pt idx="160">
                  <c:v>0.32576146167197617</c:v>
                </c:pt>
                <c:pt idx="161">
                  <c:v>0.45743719339579392</c:v>
                </c:pt>
                <c:pt idx="162">
                  <c:v>0.61602338800973755</c:v>
                </c:pt>
                <c:pt idx="163">
                  <c:v>5.6232339827718691E-2</c:v>
                </c:pt>
                <c:pt idx="164">
                  <c:v>0.22645698934826416</c:v>
                </c:pt>
                <c:pt idx="165">
                  <c:v>0.34707370383486541</c:v>
                </c:pt>
                <c:pt idx="166">
                  <c:v>0.49882598729935734</c:v>
                </c:pt>
                <c:pt idx="167">
                  <c:v>7.6500754697487211E-2</c:v>
                </c:pt>
                <c:pt idx="168">
                  <c:v>0.23735890972204721</c:v>
                </c:pt>
                <c:pt idx="169">
                  <c:v>0.36839319612335142</c:v>
                </c:pt>
                <c:pt idx="170">
                  <c:v>0.54625890564429835</c:v>
                </c:pt>
                <c:pt idx="171">
                  <c:v>0.12164244256114706</c:v>
                </c:pt>
                <c:pt idx="172">
                  <c:v>0.24837187149312456</c:v>
                </c:pt>
                <c:pt idx="173">
                  <c:v>0.39621213981995418</c:v>
                </c:pt>
                <c:pt idx="174">
                  <c:v>0.59425275475907569</c:v>
                </c:pt>
                <c:pt idx="175">
                  <c:v>0.13675086672675663</c:v>
                </c:pt>
                <c:pt idx="176">
                  <c:v>0.25504458373439753</c:v>
                </c:pt>
                <c:pt idx="177">
                  <c:v>0.42699256902995908</c:v>
                </c:pt>
                <c:pt idx="178">
                  <c:v>0.64157272377893404</c:v>
                </c:pt>
                <c:pt idx="179">
                  <c:v>0.13594707773939113</c:v>
                </c:pt>
                <c:pt idx="180">
                  <c:v>0.26651888244474836</c:v>
                </c:pt>
                <c:pt idx="181">
                  <c:v>0.45647761066792153</c:v>
                </c:pt>
                <c:pt idx="182">
                  <c:v>0.135680561217284</c:v>
                </c:pt>
                <c:pt idx="183">
                  <c:v>0.28048999085559773</c:v>
                </c:pt>
                <c:pt idx="184">
                  <c:v>0.48845001776382896</c:v>
                </c:pt>
                <c:pt idx="185">
                  <c:v>0.13373783473653794</c:v>
                </c:pt>
                <c:pt idx="186">
                  <c:v>0.29335383337435644</c:v>
                </c:pt>
                <c:pt idx="187">
                  <c:v>0.52271241518795497</c:v>
                </c:pt>
                <c:pt idx="188">
                  <c:v>0.13363501841868924</c:v>
                </c:pt>
                <c:pt idx="189">
                  <c:v>0.30481506277935577</c:v>
                </c:pt>
                <c:pt idx="190">
                  <c:v>0.55728008105825011</c:v>
                </c:pt>
                <c:pt idx="191">
                  <c:v>0.12898112655040031</c:v>
                </c:pt>
                <c:pt idx="192">
                  <c:v>0.31679858741647321</c:v>
                </c:pt>
                <c:pt idx="193">
                  <c:v>0.59067618386998044</c:v>
                </c:pt>
                <c:pt idx="194">
                  <c:v>0.12972266367537855</c:v>
                </c:pt>
                <c:pt idx="195">
                  <c:v>0.33209637341509735</c:v>
                </c:pt>
                <c:pt idx="196">
                  <c:v>0.12909507181928651</c:v>
                </c:pt>
                <c:pt idx="197">
                  <c:v>0.34779854470850657</c:v>
                </c:pt>
                <c:pt idx="198">
                  <c:v>0.12903651942613234</c:v>
                </c:pt>
                <c:pt idx="199">
                  <c:v>0.36748513699915381</c:v>
                </c:pt>
                <c:pt idx="200">
                  <c:v>0.12990121328986215</c:v>
                </c:pt>
                <c:pt idx="201">
                  <c:v>0.38411818626060124</c:v>
                </c:pt>
                <c:pt idx="202">
                  <c:v>0.13011110633655826</c:v>
                </c:pt>
                <c:pt idx="203">
                  <c:v>0.40061071664042108</c:v>
                </c:pt>
                <c:pt idx="204">
                  <c:v>0.12926438897395023</c:v>
                </c:pt>
                <c:pt idx="205">
                  <c:v>0.42085251591753914</c:v>
                </c:pt>
                <c:pt idx="206">
                  <c:v>0.13150450798045249</c:v>
                </c:pt>
                <c:pt idx="207">
                  <c:v>0.44203043996411384</c:v>
                </c:pt>
                <c:pt idx="208">
                  <c:v>0.13168005832695456</c:v>
                </c:pt>
                <c:pt idx="209">
                  <c:v>0.45994161005111711</c:v>
                </c:pt>
                <c:pt idx="210">
                  <c:v>0.13587856981202362</c:v>
                </c:pt>
                <c:pt idx="211">
                  <c:v>0.48103100624830269</c:v>
                </c:pt>
                <c:pt idx="212">
                  <c:v>0.13493636066359807</c:v>
                </c:pt>
                <c:pt idx="213">
                  <c:v>0.50131325359453838</c:v>
                </c:pt>
                <c:pt idx="214">
                  <c:v>0.13527599279991637</c:v>
                </c:pt>
                <c:pt idx="215">
                  <c:v>0.52147768639983028</c:v>
                </c:pt>
                <c:pt idx="216">
                  <c:v>0.13613124242109265</c:v>
                </c:pt>
                <c:pt idx="217">
                  <c:v>0.13933038133051423</c:v>
                </c:pt>
                <c:pt idx="218">
                  <c:v>0.14412712357368618</c:v>
                </c:pt>
                <c:pt idx="219">
                  <c:v>0.14589760615503439</c:v>
                </c:pt>
                <c:pt idx="220">
                  <c:v>0.14846150050725521</c:v>
                </c:pt>
                <c:pt idx="221">
                  <c:v>0.15007648697383599</c:v>
                </c:pt>
                <c:pt idx="222">
                  <c:v>0.15246418419478328</c:v>
                </c:pt>
                <c:pt idx="223">
                  <c:v>0.15483814433565299</c:v>
                </c:pt>
                <c:pt idx="224">
                  <c:v>0.15635716203446917</c:v>
                </c:pt>
                <c:pt idx="225">
                  <c:v>0.15883615360009895</c:v>
                </c:pt>
                <c:pt idx="226">
                  <c:v>0.1629386009210142</c:v>
                </c:pt>
                <c:pt idx="227">
                  <c:v>0.16687191044347338</c:v>
                </c:pt>
                <c:pt idx="228">
                  <c:v>0.17215259857021337</c:v>
                </c:pt>
                <c:pt idx="229">
                  <c:v>0.17460249423706764</c:v>
                </c:pt>
                <c:pt idx="230">
                  <c:v>0.17932473190009635</c:v>
                </c:pt>
                <c:pt idx="231">
                  <c:v>0.18784031159233883</c:v>
                </c:pt>
                <c:pt idx="232">
                  <c:v>0.19057487008524621</c:v>
                </c:pt>
                <c:pt idx="233">
                  <c:v>0.19844452082467176</c:v>
                </c:pt>
                <c:pt idx="234">
                  <c:v>0.20243211089271562</c:v>
                </c:pt>
                <c:pt idx="235">
                  <c:v>0.20633584753445217</c:v>
                </c:pt>
                <c:pt idx="236">
                  <c:v>0.21213215314605027</c:v>
                </c:pt>
                <c:pt idx="237">
                  <c:v>0.21846248774566623</c:v>
                </c:pt>
                <c:pt idx="238">
                  <c:v>0.22568153510919303</c:v>
                </c:pt>
                <c:pt idx="239">
                  <c:v>0.23195606282099368</c:v>
                </c:pt>
                <c:pt idx="240">
                  <c:v>0.23864127198928159</c:v>
                </c:pt>
                <c:pt idx="241">
                  <c:v>0.24467549619611323</c:v>
                </c:pt>
                <c:pt idx="242">
                  <c:v>0.25623670101723278</c:v>
                </c:pt>
                <c:pt idx="243">
                  <c:v>0.2570571309562682</c:v>
                </c:pt>
                <c:pt idx="244">
                  <c:v>0.26223297845102689</c:v>
                </c:pt>
                <c:pt idx="245">
                  <c:v>0.26969242471591193</c:v>
                </c:pt>
                <c:pt idx="246">
                  <c:v>0.27768704472548844</c:v>
                </c:pt>
                <c:pt idx="247">
                  <c:v>0.28237866014751067</c:v>
                </c:pt>
              </c:numCache>
            </c:numRef>
          </c:yVal>
          <c:smooth val="0"/>
        </c:ser>
        <c:ser>
          <c:idx val="8"/>
          <c:order val="7"/>
          <c:tx>
            <c:v>cut_plane_z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333399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plot!$Q$33:$Q$280</c:f>
              <c:numCache>
                <c:formatCode>General</c:formatCode>
                <c:ptCount val="248"/>
                <c:pt idx="0">
                  <c:v>-0.29883623873011983</c:v>
                </c:pt>
                <c:pt idx="1">
                  <c:v>-0.26852357354347761</c:v>
                </c:pt>
                <c:pt idx="2">
                  <c:v>-0.23821090835683542</c:v>
                </c:pt>
                <c:pt idx="3">
                  <c:v>-0.20789824317019315</c:v>
                </c:pt>
                <c:pt idx="4">
                  <c:v>-0.17758557798355099</c:v>
                </c:pt>
                <c:pt idx="5">
                  <c:v>-0.14727291279690882</c:v>
                </c:pt>
                <c:pt idx="6">
                  <c:v>-0.1169602476102666</c:v>
                </c:pt>
                <c:pt idx="7">
                  <c:v>-8.6647582423624331E-2</c:v>
                </c:pt>
                <c:pt idx="8">
                  <c:v>-5.6334917236982175E-2</c:v>
                </c:pt>
                <c:pt idx="9">
                  <c:v>-2.6022252050339957E-2</c:v>
                </c:pt>
                <c:pt idx="10">
                  <c:v>4.2904131363022341E-3</c:v>
                </c:pt>
                <c:pt idx="11">
                  <c:v>3.4603078322944451E-2</c:v>
                </c:pt>
                <c:pt idx="12">
                  <c:v>6.4915743509586635E-2</c:v>
                </c:pt>
                <c:pt idx="13">
                  <c:v>9.5228408696228867E-2</c:v>
                </c:pt>
                <c:pt idx="14">
                  <c:v>0.12554107388287103</c:v>
                </c:pt>
                <c:pt idx="15">
                  <c:v>0.15585373906951328</c:v>
                </c:pt>
                <c:pt idx="16">
                  <c:v>0.18616640425615544</c:v>
                </c:pt>
                <c:pt idx="17">
                  <c:v>0.21647906944279763</c:v>
                </c:pt>
                <c:pt idx="18">
                  <c:v>0.2467917346294399</c:v>
                </c:pt>
                <c:pt idx="19">
                  <c:v>0.27710439981608209</c:v>
                </c:pt>
                <c:pt idx="20">
                  <c:v>0.30741706500272425</c:v>
                </c:pt>
                <c:pt idx="21">
                  <c:v>0.33772973018936642</c:v>
                </c:pt>
                <c:pt idx="22">
                  <c:v>0.36804239537600875</c:v>
                </c:pt>
                <c:pt idx="23">
                  <c:v>0.39835506056265085</c:v>
                </c:pt>
                <c:pt idx="24">
                  <c:v>0.42866772574929307</c:v>
                </c:pt>
                <c:pt idx="25">
                  <c:v>0.45898039093593529</c:v>
                </c:pt>
                <c:pt idx="26">
                  <c:v>0.48929305612257751</c:v>
                </c:pt>
                <c:pt idx="27">
                  <c:v>0.51960572130921967</c:v>
                </c:pt>
                <c:pt idx="28">
                  <c:v>0.54991838649586178</c:v>
                </c:pt>
                <c:pt idx="29">
                  <c:v>0.580231051682504</c:v>
                </c:pt>
                <c:pt idx="30">
                  <c:v>0.61054371686914632</c:v>
                </c:pt>
                <c:pt idx="31">
                  <c:v>0.64085638205578843</c:v>
                </c:pt>
                <c:pt idx="32">
                  <c:v>-0.3330382530626867</c:v>
                </c:pt>
                <c:pt idx="33">
                  <c:v>-0.30272558787604448</c:v>
                </c:pt>
                <c:pt idx="34">
                  <c:v>-0.27241292268940226</c:v>
                </c:pt>
                <c:pt idx="35">
                  <c:v>-0.24210025750276001</c:v>
                </c:pt>
                <c:pt idx="36">
                  <c:v>-0.21178759231611785</c:v>
                </c:pt>
                <c:pt idx="37">
                  <c:v>-0.18147492712947569</c:v>
                </c:pt>
                <c:pt idx="38">
                  <c:v>-0.15116226194283347</c:v>
                </c:pt>
                <c:pt idx="39">
                  <c:v>-0.1208495967561912</c:v>
                </c:pt>
                <c:pt idx="40">
                  <c:v>-9.0536931569549034E-2</c:v>
                </c:pt>
                <c:pt idx="41">
                  <c:v>-6.0224266382906823E-2</c:v>
                </c:pt>
                <c:pt idx="42">
                  <c:v>-2.9911601196264632E-2</c:v>
                </c:pt>
                <c:pt idx="43">
                  <c:v>4.010639903775868E-4</c:v>
                </c:pt>
                <c:pt idx="44">
                  <c:v>3.0713729177019762E-2</c:v>
                </c:pt>
                <c:pt idx="45">
                  <c:v>6.1026394363661994E-2</c:v>
                </c:pt>
                <c:pt idx="46">
                  <c:v>9.1339059550304164E-2</c:v>
                </c:pt>
                <c:pt idx="47">
                  <c:v>0.12165172473694641</c:v>
                </c:pt>
                <c:pt idx="48">
                  <c:v>0.15196438992358857</c:v>
                </c:pt>
                <c:pt idx="49">
                  <c:v>0.18227705511023076</c:v>
                </c:pt>
                <c:pt idx="50">
                  <c:v>0.21258972029687304</c:v>
                </c:pt>
                <c:pt idx="51">
                  <c:v>0.24290238548351523</c:v>
                </c:pt>
                <c:pt idx="52">
                  <c:v>0.27321505067015739</c:v>
                </c:pt>
                <c:pt idx="53">
                  <c:v>0.30352771585679955</c:v>
                </c:pt>
                <c:pt idx="54">
                  <c:v>0.33384038104344188</c:v>
                </c:pt>
                <c:pt idx="55">
                  <c:v>0.36415304623008399</c:v>
                </c:pt>
                <c:pt idx="56">
                  <c:v>0.39446571141672621</c:v>
                </c:pt>
                <c:pt idx="57">
                  <c:v>0.42477837660336842</c:v>
                </c:pt>
                <c:pt idx="58">
                  <c:v>0.45509104179001064</c:v>
                </c:pt>
                <c:pt idx="59">
                  <c:v>0.48540370697665286</c:v>
                </c:pt>
                <c:pt idx="60">
                  <c:v>0.51571637216329491</c:v>
                </c:pt>
                <c:pt idx="61">
                  <c:v>0.54602903734993713</c:v>
                </c:pt>
                <c:pt idx="62">
                  <c:v>0.57634170253657946</c:v>
                </c:pt>
                <c:pt idx="63">
                  <c:v>0.60665436772322157</c:v>
                </c:pt>
                <c:pt idx="64">
                  <c:v>-0.36724026739525356</c:v>
                </c:pt>
                <c:pt idx="65">
                  <c:v>-0.3369276022086114</c:v>
                </c:pt>
                <c:pt idx="66">
                  <c:v>-0.30661493702196918</c:v>
                </c:pt>
                <c:pt idx="67">
                  <c:v>-0.27630227183532691</c:v>
                </c:pt>
                <c:pt idx="68">
                  <c:v>-0.24598960664868474</c:v>
                </c:pt>
                <c:pt idx="69">
                  <c:v>-0.21567694146204258</c:v>
                </c:pt>
                <c:pt idx="70">
                  <c:v>-0.18536427627540036</c:v>
                </c:pt>
                <c:pt idx="71">
                  <c:v>-0.15505161108875809</c:v>
                </c:pt>
                <c:pt idx="72">
                  <c:v>-0.12473894590211594</c:v>
                </c:pt>
                <c:pt idx="73">
                  <c:v>-9.4426280715473723E-2</c:v>
                </c:pt>
                <c:pt idx="74">
                  <c:v>-6.4113615528831533E-2</c:v>
                </c:pt>
                <c:pt idx="75">
                  <c:v>-3.3800950342189322E-2</c:v>
                </c:pt>
                <c:pt idx="76">
                  <c:v>-3.488285155547144E-3</c:v>
                </c:pt>
                <c:pt idx="77">
                  <c:v>2.6824380031095087E-2</c:v>
                </c:pt>
                <c:pt idx="78">
                  <c:v>5.7137045217737256E-2</c:v>
                </c:pt>
                <c:pt idx="79">
                  <c:v>8.7449710404379488E-2</c:v>
                </c:pt>
                <c:pt idx="80">
                  <c:v>0.11776237559102168</c:v>
                </c:pt>
                <c:pt idx="81">
                  <c:v>0.14807504077766384</c:v>
                </c:pt>
                <c:pt idx="82">
                  <c:v>0.17838770596430614</c:v>
                </c:pt>
                <c:pt idx="83">
                  <c:v>0.20870037115094831</c:v>
                </c:pt>
                <c:pt idx="84">
                  <c:v>0.23901303633759047</c:v>
                </c:pt>
                <c:pt idx="85">
                  <c:v>-0.40144228172782043</c:v>
                </c:pt>
                <c:pt idx="86">
                  <c:v>-0.37112961654117826</c:v>
                </c:pt>
                <c:pt idx="87">
                  <c:v>-0.34081695135453605</c:v>
                </c:pt>
                <c:pt idx="88">
                  <c:v>-0.31050428616789377</c:v>
                </c:pt>
                <c:pt idx="89">
                  <c:v>-0.28019162098125161</c:v>
                </c:pt>
                <c:pt idx="90">
                  <c:v>-0.24987895579460945</c:v>
                </c:pt>
                <c:pt idx="91">
                  <c:v>-0.21956629060796723</c:v>
                </c:pt>
                <c:pt idx="92">
                  <c:v>-0.18925362542132496</c:v>
                </c:pt>
                <c:pt idx="93">
                  <c:v>-0.15894096023468279</c:v>
                </c:pt>
                <c:pt idx="94">
                  <c:v>-0.12862829504804058</c:v>
                </c:pt>
                <c:pt idx="95">
                  <c:v>-9.8315629861398399E-2</c:v>
                </c:pt>
                <c:pt idx="96">
                  <c:v>-6.8002964674756181E-2</c:v>
                </c:pt>
                <c:pt idx="97">
                  <c:v>-3.7690299488114011E-2</c:v>
                </c:pt>
                <c:pt idx="98">
                  <c:v>-7.3776343014717782E-3</c:v>
                </c:pt>
                <c:pt idx="99">
                  <c:v>2.293503088517039E-2</c:v>
                </c:pt>
                <c:pt idx="100">
                  <c:v>5.3247696071812622E-2</c:v>
                </c:pt>
                <c:pt idx="101">
                  <c:v>-0.43564429606038735</c:v>
                </c:pt>
                <c:pt idx="102">
                  <c:v>-0.40533163087374519</c:v>
                </c:pt>
                <c:pt idx="103">
                  <c:v>-0.37501896568710297</c:v>
                </c:pt>
                <c:pt idx="104">
                  <c:v>-0.34470630050046069</c:v>
                </c:pt>
                <c:pt idx="105">
                  <c:v>-0.31439363531381853</c:v>
                </c:pt>
                <c:pt idx="106">
                  <c:v>-0.28408097012717637</c:v>
                </c:pt>
                <c:pt idx="107">
                  <c:v>-0.25376830494053415</c:v>
                </c:pt>
                <c:pt idx="108">
                  <c:v>-0.22345563975389188</c:v>
                </c:pt>
                <c:pt idx="109">
                  <c:v>-0.19314297456724971</c:v>
                </c:pt>
                <c:pt idx="110">
                  <c:v>-0.1628303093806075</c:v>
                </c:pt>
                <c:pt idx="111">
                  <c:v>-0.13251764419396531</c:v>
                </c:pt>
                <c:pt idx="112">
                  <c:v>-0.10220497900732309</c:v>
                </c:pt>
                <c:pt idx="113">
                  <c:v>-0.46984631039295421</c:v>
                </c:pt>
                <c:pt idx="114">
                  <c:v>-0.43953364520631205</c:v>
                </c:pt>
                <c:pt idx="115">
                  <c:v>-0.40922098001966983</c:v>
                </c:pt>
                <c:pt idx="116">
                  <c:v>-0.37890831483302756</c:v>
                </c:pt>
                <c:pt idx="117">
                  <c:v>-0.3485956496463854</c:v>
                </c:pt>
                <c:pt idx="118">
                  <c:v>-0.31828298445974323</c:v>
                </c:pt>
                <c:pt idx="119">
                  <c:v>-0.28797031927310102</c:v>
                </c:pt>
                <c:pt idx="120">
                  <c:v>-0.25765765408645874</c:v>
                </c:pt>
                <c:pt idx="121">
                  <c:v>-0.22734498889981658</c:v>
                </c:pt>
                <c:pt idx="122">
                  <c:v>-0.19703232371317436</c:v>
                </c:pt>
                <c:pt idx="123">
                  <c:v>-0.50404832472552119</c:v>
                </c:pt>
                <c:pt idx="124">
                  <c:v>-0.47373565953887892</c:v>
                </c:pt>
                <c:pt idx="125">
                  <c:v>-0.4434229943522367</c:v>
                </c:pt>
                <c:pt idx="126">
                  <c:v>-0.41311032916559443</c:v>
                </c:pt>
                <c:pt idx="127">
                  <c:v>-0.38279766397895226</c:v>
                </c:pt>
                <c:pt idx="128">
                  <c:v>-0.3524849987923101</c:v>
                </c:pt>
                <c:pt idx="129">
                  <c:v>-0.32217233360566788</c:v>
                </c:pt>
                <c:pt idx="130">
                  <c:v>-0.29185966841902561</c:v>
                </c:pt>
                <c:pt idx="131">
                  <c:v>-0.26154700323238345</c:v>
                </c:pt>
                <c:pt idx="132">
                  <c:v>-0.53825033905808806</c:v>
                </c:pt>
                <c:pt idx="133">
                  <c:v>-0.50793767387144584</c:v>
                </c:pt>
                <c:pt idx="134">
                  <c:v>-0.47762500868480356</c:v>
                </c:pt>
                <c:pt idx="135">
                  <c:v>-0.44731234349816129</c:v>
                </c:pt>
                <c:pt idx="136">
                  <c:v>-0.41699967831151913</c:v>
                </c:pt>
                <c:pt idx="137">
                  <c:v>-0.38668701312487697</c:v>
                </c:pt>
                <c:pt idx="138">
                  <c:v>-0.35637434793823475</c:v>
                </c:pt>
                <c:pt idx="139">
                  <c:v>-0.32606168275159247</c:v>
                </c:pt>
                <c:pt idx="140">
                  <c:v>-0.57245235339065492</c:v>
                </c:pt>
                <c:pt idx="141">
                  <c:v>-0.54213968820401282</c:v>
                </c:pt>
                <c:pt idx="142">
                  <c:v>-0.5118270230173706</c:v>
                </c:pt>
                <c:pt idx="143">
                  <c:v>-0.48151435783072821</c:v>
                </c:pt>
                <c:pt idx="144">
                  <c:v>-0.45120169264408605</c:v>
                </c:pt>
                <c:pt idx="145">
                  <c:v>-0.42088902745744389</c:v>
                </c:pt>
                <c:pt idx="146">
                  <c:v>-0.39057636227080167</c:v>
                </c:pt>
                <c:pt idx="147">
                  <c:v>-0.60665436772322179</c:v>
                </c:pt>
                <c:pt idx="148">
                  <c:v>-0.57634170253657968</c:v>
                </c:pt>
                <c:pt idx="149">
                  <c:v>-0.54602903734993746</c:v>
                </c:pt>
                <c:pt idx="150">
                  <c:v>-0.51571637216329513</c:v>
                </c:pt>
                <c:pt idx="151">
                  <c:v>-0.48540370697665297</c:v>
                </c:pt>
                <c:pt idx="152">
                  <c:v>-0.45509104179001075</c:v>
                </c:pt>
                <c:pt idx="153">
                  <c:v>-0.64085638205578865</c:v>
                </c:pt>
                <c:pt idx="154">
                  <c:v>-0.61054371686914655</c:v>
                </c:pt>
                <c:pt idx="155">
                  <c:v>-0.58023105168250433</c:v>
                </c:pt>
                <c:pt idx="156">
                  <c:v>-0.549918386495862</c:v>
                </c:pt>
                <c:pt idx="157">
                  <c:v>-0.23187448962254603</c:v>
                </c:pt>
                <c:pt idx="158">
                  <c:v>-0.35855404153301434</c:v>
                </c:pt>
                <c:pt idx="159">
                  <c:v>-0.32824137634637218</c:v>
                </c:pt>
                <c:pt idx="160">
                  <c:v>-0.29792871115972996</c:v>
                </c:pt>
                <c:pt idx="161">
                  <c:v>-0.26761604597308769</c:v>
                </c:pt>
                <c:pt idx="162">
                  <c:v>-0.23730338078644553</c:v>
                </c:pt>
                <c:pt idx="163">
                  <c:v>-0.36398293269691384</c:v>
                </c:pt>
                <c:pt idx="164">
                  <c:v>-0.33367026751027168</c:v>
                </c:pt>
                <c:pt idx="165">
                  <c:v>-0.30335760232362946</c:v>
                </c:pt>
                <c:pt idx="166">
                  <c:v>-0.27304493713698719</c:v>
                </c:pt>
                <c:pt idx="167">
                  <c:v>-0.36941182386081334</c:v>
                </c:pt>
                <c:pt idx="168">
                  <c:v>-0.33909915867417123</c:v>
                </c:pt>
                <c:pt idx="169">
                  <c:v>-0.30878649348752901</c:v>
                </c:pt>
                <c:pt idx="170">
                  <c:v>-0.27847382830088668</c:v>
                </c:pt>
                <c:pt idx="171">
                  <c:v>-0.37484071502471289</c:v>
                </c:pt>
                <c:pt idx="172">
                  <c:v>-0.34452804983807073</c:v>
                </c:pt>
                <c:pt idx="173">
                  <c:v>-0.31421538465142851</c:v>
                </c:pt>
                <c:pt idx="174">
                  <c:v>-0.28390271946478624</c:v>
                </c:pt>
                <c:pt idx="175">
                  <c:v>-0.38026960618861239</c:v>
                </c:pt>
                <c:pt idx="176">
                  <c:v>-0.34995694100197022</c:v>
                </c:pt>
                <c:pt idx="177">
                  <c:v>-0.31964427581532801</c:v>
                </c:pt>
                <c:pt idx="178">
                  <c:v>-0.28933161062868573</c:v>
                </c:pt>
                <c:pt idx="179">
                  <c:v>-0.38569849735251188</c:v>
                </c:pt>
                <c:pt idx="180">
                  <c:v>-0.35538583216586972</c:v>
                </c:pt>
                <c:pt idx="181">
                  <c:v>-0.3250731669792275</c:v>
                </c:pt>
                <c:pt idx="182">
                  <c:v>-0.39112738851641138</c:v>
                </c:pt>
                <c:pt idx="183">
                  <c:v>-0.36081472332976922</c:v>
                </c:pt>
                <c:pt idx="184">
                  <c:v>-0.330502058143127</c:v>
                </c:pt>
                <c:pt idx="185">
                  <c:v>-0.39655627968031087</c:v>
                </c:pt>
                <c:pt idx="186">
                  <c:v>-0.36624361449366871</c:v>
                </c:pt>
                <c:pt idx="187">
                  <c:v>-0.33593094930702649</c:v>
                </c:pt>
                <c:pt idx="188">
                  <c:v>-0.40198517084421043</c:v>
                </c:pt>
                <c:pt idx="189">
                  <c:v>-0.37167250565756821</c:v>
                </c:pt>
                <c:pt idx="190">
                  <c:v>-0.34135984047092599</c:v>
                </c:pt>
                <c:pt idx="191">
                  <c:v>-0.40741406200810992</c:v>
                </c:pt>
                <c:pt idx="192">
                  <c:v>-0.37710139682146776</c:v>
                </c:pt>
                <c:pt idx="193">
                  <c:v>-0.34678873163482554</c:v>
                </c:pt>
                <c:pt idx="194">
                  <c:v>-0.41284295317200942</c:v>
                </c:pt>
                <c:pt idx="195">
                  <c:v>-0.38253028798536726</c:v>
                </c:pt>
                <c:pt idx="196">
                  <c:v>-0.41827184433590892</c:v>
                </c:pt>
                <c:pt idx="197">
                  <c:v>-0.38795917914926675</c:v>
                </c:pt>
                <c:pt idx="198">
                  <c:v>-0.42370073549980841</c:v>
                </c:pt>
                <c:pt idx="199">
                  <c:v>-0.39338807031316625</c:v>
                </c:pt>
                <c:pt idx="200">
                  <c:v>-0.42912962666370791</c:v>
                </c:pt>
                <c:pt idx="201">
                  <c:v>-0.39881696147706575</c:v>
                </c:pt>
                <c:pt idx="202">
                  <c:v>-0.4345585178276074</c:v>
                </c:pt>
                <c:pt idx="203">
                  <c:v>-0.40424585264096524</c:v>
                </c:pt>
                <c:pt idx="204">
                  <c:v>-0.43998740899150696</c:v>
                </c:pt>
                <c:pt idx="205">
                  <c:v>-0.40967474380486474</c:v>
                </c:pt>
                <c:pt idx="206">
                  <c:v>-0.44541630015540645</c:v>
                </c:pt>
                <c:pt idx="207">
                  <c:v>-0.41510363496876429</c:v>
                </c:pt>
                <c:pt idx="208">
                  <c:v>-0.45084519131930595</c:v>
                </c:pt>
                <c:pt idx="209">
                  <c:v>-0.42053252613266379</c:v>
                </c:pt>
                <c:pt idx="210">
                  <c:v>-0.45627408248320545</c:v>
                </c:pt>
                <c:pt idx="211">
                  <c:v>-0.42596141729656328</c:v>
                </c:pt>
                <c:pt idx="212">
                  <c:v>-0.46170297364710494</c:v>
                </c:pt>
                <c:pt idx="213">
                  <c:v>-0.43139030846046278</c:v>
                </c:pt>
                <c:pt idx="214">
                  <c:v>-0.46713186481100444</c:v>
                </c:pt>
                <c:pt idx="215">
                  <c:v>-0.43681919962436228</c:v>
                </c:pt>
                <c:pt idx="216">
                  <c:v>-0.47256075597490393</c:v>
                </c:pt>
                <c:pt idx="217">
                  <c:v>-0.47798964713880349</c:v>
                </c:pt>
                <c:pt idx="218">
                  <c:v>-0.48341853830270298</c:v>
                </c:pt>
                <c:pt idx="219">
                  <c:v>-0.48884742946660248</c:v>
                </c:pt>
                <c:pt idx="220">
                  <c:v>-0.49427632063050198</c:v>
                </c:pt>
                <c:pt idx="221">
                  <c:v>-0.49970521179440147</c:v>
                </c:pt>
                <c:pt idx="222">
                  <c:v>-0.50513410295830108</c:v>
                </c:pt>
                <c:pt idx="223">
                  <c:v>-0.51056299412220052</c:v>
                </c:pt>
                <c:pt idx="224">
                  <c:v>-0.51599188528610007</c:v>
                </c:pt>
                <c:pt idx="225">
                  <c:v>-0.52142077644999962</c:v>
                </c:pt>
                <c:pt idx="226">
                  <c:v>-0.52684966761389906</c:v>
                </c:pt>
                <c:pt idx="227">
                  <c:v>-0.53227855877779862</c:v>
                </c:pt>
                <c:pt idx="228">
                  <c:v>-0.53770744994169806</c:v>
                </c:pt>
                <c:pt idx="229">
                  <c:v>-0.54313634110559761</c:v>
                </c:pt>
                <c:pt idx="230">
                  <c:v>-0.54856523226949705</c:v>
                </c:pt>
                <c:pt idx="231">
                  <c:v>-0.5539941234333966</c:v>
                </c:pt>
                <c:pt idx="232">
                  <c:v>-0.55942301459729604</c:v>
                </c:pt>
                <c:pt idx="233">
                  <c:v>-0.56485190576119559</c:v>
                </c:pt>
                <c:pt idx="234">
                  <c:v>-0.57028079692509515</c:v>
                </c:pt>
                <c:pt idx="235">
                  <c:v>-0.57570968808899459</c:v>
                </c:pt>
                <c:pt idx="236">
                  <c:v>-0.58113857925289414</c:v>
                </c:pt>
                <c:pt idx="237">
                  <c:v>-0.58656747041679369</c:v>
                </c:pt>
                <c:pt idx="238">
                  <c:v>-0.59199636158069313</c:v>
                </c:pt>
                <c:pt idx="239">
                  <c:v>-0.59742525274459268</c:v>
                </c:pt>
                <c:pt idx="240">
                  <c:v>-0.60285414390849212</c:v>
                </c:pt>
                <c:pt idx="241">
                  <c:v>-0.60828303507239168</c:v>
                </c:pt>
                <c:pt idx="242">
                  <c:v>-0.61371192623629112</c:v>
                </c:pt>
                <c:pt idx="243">
                  <c:v>-0.61914081740019067</c:v>
                </c:pt>
                <c:pt idx="244">
                  <c:v>-0.62456970856409011</c:v>
                </c:pt>
                <c:pt idx="245">
                  <c:v>-0.62999859972798966</c:v>
                </c:pt>
                <c:pt idx="246">
                  <c:v>-0.63542749089188921</c:v>
                </c:pt>
                <c:pt idx="247">
                  <c:v>-0.64085638205578865</c:v>
                </c:pt>
              </c:numCache>
            </c:numRef>
          </c:xVal>
          <c:yVal>
            <c:numRef>
              <c:f>plot!$R$33:$R$280</c:f>
              <c:numCache>
                <c:formatCode>General</c:formatCode>
                <c:ptCount val="248"/>
                <c:pt idx="0">
                  <c:v>-0.11258451086432519</c:v>
                </c:pt>
                <c:pt idx="1">
                  <c:v>-0.11810096478893278</c:v>
                </c:pt>
                <c:pt idx="2">
                  <c:v>-0.12361741871354032</c:v>
                </c:pt>
                <c:pt idx="3">
                  <c:v>-0.12913387263814791</c:v>
                </c:pt>
                <c:pt idx="4">
                  <c:v>-0.13465032656275544</c:v>
                </c:pt>
                <c:pt idx="5">
                  <c:v>-0.14016678048736303</c:v>
                </c:pt>
                <c:pt idx="6">
                  <c:v>-0.14568323441197056</c:v>
                </c:pt>
                <c:pt idx="7">
                  <c:v>-0.15119968833657815</c:v>
                </c:pt>
                <c:pt idx="8">
                  <c:v>-0.15671614226118569</c:v>
                </c:pt>
                <c:pt idx="9">
                  <c:v>-0.16223259618579328</c:v>
                </c:pt>
                <c:pt idx="10">
                  <c:v>-0.16774905011040081</c:v>
                </c:pt>
                <c:pt idx="11">
                  <c:v>-0.1732655040350084</c:v>
                </c:pt>
                <c:pt idx="12">
                  <c:v>-0.17878195795961593</c:v>
                </c:pt>
                <c:pt idx="13">
                  <c:v>-0.18429841188422352</c:v>
                </c:pt>
                <c:pt idx="14">
                  <c:v>-0.18981486580883106</c:v>
                </c:pt>
                <c:pt idx="15">
                  <c:v>-0.19533131973343865</c:v>
                </c:pt>
                <c:pt idx="16">
                  <c:v>-0.20084777365804618</c:v>
                </c:pt>
                <c:pt idx="17">
                  <c:v>-0.20636422758265374</c:v>
                </c:pt>
                <c:pt idx="18">
                  <c:v>-0.21188068150726133</c:v>
                </c:pt>
                <c:pt idx="19">
                  <c:v>-0.21739713543186889</c:v>
                </c:pt>
                <c:pt idx="20">
                  <c:v>-0.22291358935647643</c:v>
                </c:pt>
                <c:pt idx="21">
                  <c:v>-0.22843004328108399</c:v>
                </c:pt>
                <c:pt idx="22">
                  <c:v>-0.23394649720569158</c:v>
                </c:pt>
                <c:pt idx="23">
                  <c:v>-0.23946295113029914</c:v>
                </c:pt>
                <c:pt idx="24">
                  <c:v>-0.2449794050549067</c:v>
                </c:pt>
                <c:pt idx="25">
                  <c:v>-0.25049585897951426</c:v>
                </c:pt>
                <c:pt idx="26">
                  <c:v>-0.25601231290412185</c:v>
                </c:pt>
                <c:pt idx="27">
                  <c:v>-0.26152876682872939</c:v>
                </c:pt>
                <c:pt idx="28">
                  <c:v>-0.26704522075333692</c:v>
                </c:pt>
                <c:pt idx="29">
                  <c:v>-0.27256167467794451</c:v>
                </c:pt>
                <c:pt idx="30">
                  <c:v>-0.2780781286025521</c:v>
                </c:pt>
                <c:pt idx="31">
                  <c:v>-0.28359458252715963</c:v>
                </c:pt>
                <c:pt idx="32">
                  <c:v>-0.15956914190362054</c:v>
                </c:pt>
                <c:pt idx="33">
                  <c:v>-0.16508559582822813</c:v>
                </c:pt>
                <c:pt idx="34">
                  <c:v>-0.17060204975283572</c:v>
                </c:pt>
                <c:pt idx="35">
                  <c:v>-0.17611850367744325</c:v>
                </c:pt>
                <c:pt idx="36">
                  <c:v>-0.18163495760205078</c:v>
                </c:pt>
                <c:pt idx="37">
                  <c:v>-0.18715141152665837</c:v>
                </c:pt>
                <c:pt idx="38">
                  <c:v>-0.19266786545126593</c:v>
                </c:pt>
                <c:pt idx="39">
                  <c:v>-0.1981843193758735</c:v>
                </c:pt>
                <c:pt idx="40">
                  <c:v>-0.20370077330048106</c:v>
                </c:pt>
                <c:pt idx="41">
                  <c:v>-0.20921722722508862</c:v>
                </c:pt>
                <c:pt idx="42">
                  <c:v>-0.21473368114969618</c:v>
                </c:pt>
                <c:pt idx="43">
                  <c:v>-0.22025013507430374</c:v>
                </c:pt>
                <c:pt idx="44">
                  <c:v>-0.22576658899891131</c:v>
                </c:pt>
                <c:pt idx="45">
                  <c:v>-0.23128304292351887</c:v>
                </c:pt>
                <c:pt idx="46">
                  <c:v>-0.23679949684812643</c:v>
                </c:pt>
                <c:pt idx="47">
                  <c:v>-0.24231595077273402</c:v>
                </c:pt>
                <c:pt idx="48">
                  <c:v>-0.24783240469734155</c:v>
                </c:pt>
                <c:pt idx="49">
                  <c:v>-0.25334885862194911</c:v>
                </c:pt>
                <c:pt idx="50">
                  <c:v>-0.2588653125465567</c:v>
                </c:pt>
                <c:pt idx="51">
                  <c:v>-0.26438176647116429</c:v>
                </c:pt>
                <c:pt idx="52">
                  <c:v>-0.26989822039577183</c:v>
                </c:pt>
                <c:pt idx="53">
                  <c:v>-0.27541467432037936</c:v>
                </c:pt>
                <c:pt idx="54">
                  <c:v>-0.28093112824498695</c:v>
                </c:pt>
                <c:pt idx="55">
                  <c:v>-0.28644758216959454</c:v>
                </c:pt>
                <c:pt idx="56">
                  <c:v>-0.29196403609420207</c:v>
                </c:pt>
                <c:pt idx="57">
                  <c:v>-0.29748049001880961</c:v>
                </c:pt>
                <c:pt idx="58">
                  <c:v>-0.3029969439434172</c:v>
                </c:pt>
                <c:pt idx="59">
                  <c:v>-0.30851339786802479</c:v>
                </c:pt>
                <c:pt idx="60">
                  <c:v>-0.31402985179263232</c:v>
                </c:pt>
                <c:pt idx="61">
                  <c:v>-0.31954630571723985</c:v>
                </c:pt>
                <c:pt idx="62">
                  <c:v>-0.32506275964184744</c:v>
                </c:pt>
                <c:pt idx="63">
                  <c:v>-0.33057921356645503</c:v>
                </c:pt>
                <c:pt idx="64">
                  <c:v>-0.20655377294291596</c:v>
                </c:pt>
                <c:pt idx="65">
                  <c:v>-0.21207022686752353</c:v>
                </c:pt>
                <c:pt idx="66">
                  <c:v>-0.21758668079213109</c:v>
                </c:pt>
                <c:pt idx="67">
                  <c:v>-0.22310313471673865</c:v>
                </c:pt>
                <c:pt idx="68">
                  <c:v>-0.22861958864134621</c:v>
                </c:pt>
                <c:pt idx="69">
                  <c:v>-0.23413604256595377</c:v>
                </c:pt>
                <c:pt idx="70">
                  <c:v>-0.23965249649056133</c:v>
                </c:pt>
                <c:pt idx="71">
                  <c:v>-0.2451689504151689</c:v>
                </c:pt>
                <c:pt idx="72">
                  <c:v>-0.25068540433977649</c:v>
                </c:pt>
                <c:pt idx="73">
                  <c:v>-0.25620185826438402</c:v>
                </c:pt>
                <c:pt idx="74">
                  <c:v>-0.26171831218899155</c:v>
                </c:pt>
                <c:pt idx="75">
                  <c:v>-0.26723476611359914</c:v>
                </c:pt>
                <c:pt idx="76">
                  <c:v>-0.27275122003820673</c:v>
                </c:pt>
                <c:pt idx="77">
                  <c:v>-0.27826767396281427</c:v>
                </c:pt>
                <c:pt idx="78">
                  <c:v>-0.2837841278874218</c:v>
                </c:pt>
                <c:pt idx="79">
                  <c:v>-0.28930058181202944</c:v>
                </c:pt>
                <c:pt idx="80">
                  <c:v>-0.29481703573663698</c:v>
                </c:pt>
                <c:pt idx="81">
                  <c:v>-0.30033348966124451</c:v>
                </c:pt>
                <c:pt idx="82">
                  <c:v>-0.3058499435858521</c:v>
                </c:pt>
                <c:pt idx="83">
                  <c:v>-0.31136639751045964</c:v>
                </c:pt>
                <c:pt idx="84">
                  <c:v>-0.31688285143506723</c:v>
                </c:pt>
                <c:pt idx="85">
                  <c:v>-0.25353840398221134</c:v>
                </c:pt>
                <c:pt idx="86">
                  <c:v>-0.25905485790681892</c:v>
                </c:pt>
                <c:pt idx="87">
                  <c:v>-0.26457131183142646</c:v>
                </c:pt>
                <c:pt idx="88">
                  <c:v>-0.27008776575603405</c:v>
                </c:pt>
                <c:pt idx="89">
                  <c:v>-0.27560421968064158</c:v>
                </c:pt>
                <c:pt idx="90">
                  <c:v>-0.28112067360524917</c:v>
                </c:pt>
                <c:pt idx="91">
                  <c:v>-0.28663712752985671</c:v>
                </c:pt>
                <c:pt idx="92">
                  <c:v>-0.2921535814544643</c:v>
                </c:pt>
                <c:pt idx="93">
                  <c:v>-0.29767003537907188</c:v>
                </c:pt>
                <c:pt idx="94">
                  <c:v>-0.30318648930367942</c:v>
                </c:pt>
                <c:pt idx="95">
                  <c:v>-0.30870294322828695</c:v>
                </c:pt>
                <c:pt idx="96">
                  <c:v>-0.31421939715289454</c:v>
                </c:pt>
                <c:pt idx="97">
                  <c:v>-0.31973585107750213</c:v>
                </c:pt>
                <c:pt idx="98">
                  <c:v>-0.32525230500210967</c:v>
                </c:pt>
                <c:pt idx="99">
                  <c:v>-0.3307687589267172</c:v>
                </c:pt>
                <c:pt idx="100">
                  <c:v>-0.33628521285132479</c:v>
                </c:pt>
                <c:pt idx="101">
                  <c:v>-0.30052303502150679</c:v>
                </c:pt>
                <c:pt idx="102">
                  <c:v>-0.30603948894611432</c:v>
                </c:pt>
                <c:pt idx="103">
                  <c:v>-0.31155594287072186</c:v>
                </c:pt>
                <c:pt idx="104">
                  <c:v>-0.31707239679532945</c:v>
                </c:pt>
                <c:pt idx="105">
                  <c:v>-0.32258885071993704</c:v>
                </c:pt>
                <c:pt idx="106">
                  <c:v>-0.32810530464454457</c:v>
                </c:pt>
                <c:pt idx="107">
                  <c:v>-0.3336217585691521</c:v>
                </c:pt>
                <c:pt idx="108">
                  <c:v>-0.33913821249375969</c:v>
                </c:pt>
                <c:pt idx="109">
                  <c:v>-0.34465466641836728</c:v>
                </c:pt>
                <c:pt idx="110">
                  <c:v>-0.35017112034297482</c:v>
                </c:pt>
                <c:pt idx="111">
                  <c:v>-0.35568757426758235</c:v>
                </c:pt>
                <c:pt idx="112">
                  <c:v>-0.36120402819218994</c:v>
                </c:pt>
                <c:pt idx="113">
                  <c:v>-0.34750766606080213</c:v>
                </c:pt>
                <c:pt idx="114">
                  <c:v>-0.35302411998540972</c:v>
                </c:pt>
                <c:pt idx="115">
                  <c:v>-0.35854057391001726</c:v>
                </c:pt>
                <c:pt idx="116">
                  <c:v>-0.36405702783462485</c:v>
                </c:pt>
                <c:pt idx="117">
                  <c:v>-0.36957348175923238</c:v>
                </c:pt>
                <c:pt idx="118">
                  <c:v>-0.37508993568383997</c:v>
                </c:pt>
                <c:pt idx="119">
                  <c:v>-0.3806063896084475</c:v>
                </c:pt>
                <c:pt idx="120">
                  <c:v>-0.38612284353305509</c:v>
                </c:pt>
                <c:pt idx="121">
                  <c:v>-0.39163929745766263</c:v>
                </c:pt>
                <c:pt idx="122">
                  <c:v>-0.39715575138227022</c:v>
                </c:pt>
                <c:pt idx="123">
                  <c:v>-0.39449229710009753</c:v>
                </c:pt>
                <c:pt idx="124">
                  <c:v>-0.40000875102470507</c:v>
                </c:pt>
                <c:pt idx="125">
                  <c:v>-0.40552520494931266</c:v>
                </c:pt>
                <c:pt idx="126">
                  <c:v>-0.41104165887392019</c:v>
                </c:pt>
                <c:pt idx="127">
                  <c:v>-0.41655811279852778</c:v>
                </c:pt>
                <c:pt idx="128">
                  <c:v>-0.42207456672313531</c:v>
                </c:pt>
                <c:pt idx="129">
                  <c:v>-0.4275910206477429</c:v>
                </c:pt>
                <c:pt idx="130">
                  <c:v>-0.43310747457235044</c:v>
                </c:pt>
                <c:pt idx="131">
                  <c:v>-0.43862392849695803</c:v>
                </c:pt>
                <c:pt idx="132">
                  <c:v>-0.44147692813939288</c:v>
                </c:pt>
                <c:pt idx="133">
                  <c:v>-0.44699338206400047</c:v>
                </c:pt>
                <c:pt idx="134">
                  <c:v>-0.452509835988608</c:v>
                </c:pt>
                <c:pt idx="135">
                  <c:v>-0.45802628991321559</c:v>
                </c:pt>
                <c:pt idx="136">
                  <c:v>-0.46354274383782312</c:v>
                </c:pt>
                <c:pt idx="137">
                  <c:v>-0.46905919776243071</c:v>
                </c:pt>
                <c:pt idx="138">
                  <c:v>-0.47457565168703825</c:v>
                </c:pt>
                <c:pt idx="139">
                  <c:v>-0.48009210561164584</c:v>
                </c:pt>
                <c:pt idx="140">
                  <c:v>-0.48846155917868833</c:v>
                </c:pt>
                <c:pt idx="141">
                  <c:v>-0.49397801310329592</c:v>
                </c:pt>
                <c:pt idx="142">
                  <c:v>-0.49949446702790345</c:v>
                </c:pt>
                <c:pt idx="143">
                  <c:v>-0.50501092095251099</c:v>
                </c:pt>
                <c:pt idx="144">
                  <c:v>-0.51052737487711863</c:v>
                </c:pt>
                <c:pt idx="145">
                  <c:v>-0.51604382880172617</c:v>
                </c:pt>
                <c:pt idx="146">
                  <c:v>-0.5215602827263337</c:v>
                </c:pt>
                <c:pt idx="147">
                  <c:v>-0.53544619021798368</c:v>
                </c:pt>
                <c:pt idx="148">
                  <c:v>-0.54096264414259121</c:v>
                </c:pt>
                <c:pt idx="149">
                  <c:v>-0.54647909806719885</c:v>
                </c:pt>
                <c:pt idx="150">
                  <c:v>-0.55199555199180639</c:v>
                </c:pt>
                <c:pt idx="151">
                  <c:v>-0.55751200591641392</c:v>
                </c:pt>
                <c:pt idx="152">
                  <c:v>-0.56302845984102157</c:v>
                </c:pt>
                <c:pt idx="153">
                  <c:v>-0.58243082125727907</c:v>
                </c:pt>
                <c:pt idx="154">
                  <c:v>-0.58794727518188661</c:v>
                </c:pt>
                <c:pt idx="155">
                  <c:v>-0.59346372910649414</c:v>
                </c:pt>
                <c:pt idx="156">
                  <c:v>-0.59898018303110179</c:v>
                </c:pt>
                <c:pt idx="157">
                  <c:v>-0.20922910599020844</c:v>
                </c:pt>
                <c:pt idx="158">
                  <c:v>-0.1946211682345235</c:v>
                </c:pt>
                <c:pt idx="159">
                  <c:v>-0.20013762215913106</c:v>
                </c:pt>
                <c:pt idx="160">
                  <c:v>-0.20565407608373862</c:v>
                </c:pt>
                <c:pt idx="161">
                  <c:v>-0.21117053000834618</c:v>
                </c:pt>
                <c:pt idx="162">
                  <c:v>-0.21668698393295374</c:v>
                </c:pt>
                <c:pt idx="163">
                  <c:v>-0.2020790461772688</c:v>
                </c:pt>
                <c:pt idx="164">
                  <c:v>-0.20759550010187636</c:v>
                </c:pt>
                <c:pt idx="165">
                  <c:v>-0.21311195402648392</c:v>
                </c:pt>
                <c:pt idx="166">
                  <c:v>-0.21862840795109151</c:v>
                </c:pt>
                <c:pt idx="167">
                  <c:v>-0.2095369241200141</c:v>
                </c:pt>
                <c:pt idx="168">
                  <c:v>-0.21505337804462166</c:v>
                </c:pt>
                <c:pt idx="169">
                  <c:v>-0.22056983196922922</c:v>
                </c:pt>
                <c:pt idx="170">
                  <c:v>-0.22608628589383678</c:v>
                </c:pt>
                <c:pt idx="171">
                  <c:v>-0.2169948020627594</c:v>
                </c:pt>
                <c:pt idx="172">
                  <c:v>-0.22251125598736696</c:v>
                </c:pt>
                <c:pt idx="173">
                  <c:v>-0.22802770991197452</c:v>
                </c:pt>
                <c:pt idx="174">
                  <c:v>-0.23354416383658211</c:v>
                </c:pt>
                <c:pt idx="175">
                  <c:v>-0.22445268000550467</c:v>
                </c:pt>
                <c:pt idx="176">
                  <c:v>-0.22996913393011226</c:v>
                </c:pt>
                <c:pt idx="177">
                  <c:v>-0.23548558785471979</c:v>
                </c:pt>
                <c:pt idx="178">
                  <c:v>-0.24100204177932738</c:v>
                </c:pt>
                <c:pt idx="179">
                  <c:v>-0.23191055794825</c:v>
                </c:pt>
                <c:pt idx="180">
                  <c:v>-0.23742701187285753</c:v>
                </c:pt>
                <c:pt idx="181">
                  <c:v>-0.24294346579746512</c:v>
                </c:pt>
                <c:pt idx="182">
                  <c:v>-0.23936843589099527</c:v>
                </c:pt>
                <c:pt idx="183">
                  <c:v>-0.24488488981560286</c:v>
                </c:pt>
                <c:pt idx="184">
                  <c:v>-0.25040134374021039</c:v>
                </c:pt>
                <c:pt idx="185">
                  <c:v>-0.2468263138337406</c:v>
                </c:pt>
                <c:pt idx="186">
                  <c:v>-0.25234276775834813</c:v>
                </c:pt>
                <c:pt idx="187">
                  <c:v>-0.25785922168295572</c:v>
                </c:pt>
                <c:pt idx="188">
                  <c:v>-0.25428419177648587</c:v>
                </c:pt>
                <c:pt idx="189">
                  <c:v>-0.25980064570109346</c:v>
                </c:pt>
                <c:pt idx="190">
                  <c:v>-0.26531709962570099</c:v>
                </c:pt>
                <c:pt idx="191">
                  <c:v>-0.2617420697192312</c:v>
                </c:pt>
                <c:pt idx="192">
                  <c:v>-0.26725852364383873</c:v>
                </c:pt>
                <c:pt idx="193">
                  <c:v>-0.27277497756844632</c:v>
                </c:pt>
                <c:pt idx="194">
                  <c:v>-0.26919994766197647</c:v>
                </c:pt>
                <c:pt idx="195">
                  <c:v>-0.27471640158658406</c:v>
                </c:pt>
                <c:pt idx="196">
                  <c:v>-0.2766578256047218</c:v>
                </c:pt>
                <c:pt idx="197">
                  <c:v>-0.28217427952932933</c:v>
                </c:pt>
                <c:pt idx="198">
                  <c:v>-0.28411570354746707</c:v>
                </c:pt>
                <c:pt idx="199">
                  <c:v>-0.28963215747207466</c:v>
                </c:pt>
                <c:pt idx="200">
                  <c:v>-0.2915735814902124</c:v>
                </c:pt>
                <c:pt idx="201">
                  <c:v>-0.29709003541481993</c:v>
                </c:pt>
                <c:pt idx="202">
                  <c:v>-0.29903145943295767</c:v>
                </c:pt>
                <c:pt idx="203">
                  <c:v>-0.30454791335756526</c:v>
                </c:pt>
                <c:pt idx="204">
                  <c:v>-0.30648933737570294</c:v>
                </c:pt>
                <c:pt idx="205">
                  <c:v>-0.31200579130031053</c:v>
                </c:pt>
                <c:pt idx="206">
                  <c:v>-0.31394721531844827</c:v>
                </c:pt>
                <c:pt idx="207">
                  <c:v>-0.3194636692430558</c:v>
                </c:pt>
                <c:pt idx="208">
                  <c:v>-0.3214050932611936</c:v>
                </c:pt>
                <c:pt idx="209">
                  <c:v>-0.32692154718580113</c:v>
                </c:pt>
                <c:pt idx="210">
                  <c:v>-0.32886297120393887</c:v>
                </c:pt>
                <c:pt idx="211">
                  <c:v>-0.33437942512854646</c:v>
                </c:pt>
                <c:pt idx="212">
                  <c:v>-0.33632084914668414</c:v>
                </c:pt>
                <c:pt idx="213">
                  <c:v>-0.34183730307129173</c:v>
                </c:pt>
                <c:pt idx="214">
                  <c:v>-0.34377872708942947</c:v>
                </c:pt>
                <c:pt idx="215">
                  <c:v>-0.349295181014037</c:v>
                </c:pt>
                <c:pt idx="216">
                  <c:v>-0.3512366050321748</c:v>
                </c:pt>
                <c:pt idx="217">
                  <c:v>-0.35869448297492013</c:v>
                </c:pt>
                <c:pt idx="218">
                  <c:v>-0.36615236091766534</c:v>
                </c:pt>
                <c:pt idx="219">
                  <c:v>-0.37361023886041067</c:v>
                </c:pt>
                <c:pt idx="220">
                  <c:v>-0.381068116803156</c:v>
                </c:pt>
                <c:pt idx="221">
                  <c:v>-0.38852599474590127</c:v>
                </c:pt>
                <c:pt idx="222">
                  <c:v>-0.39598387268864654</c:v>
                </c:pt>
                <c:pt idx="223">
                  <c:v>-0.40344175063139187</c:v>
                </c:pt>
                <c:pt idx="224">
                  <c:v>-0.4108996285741372</c:v>
                </c:pt>
                <c:pt idx="225">
                  <c:v>-0.41835750651688247</c:v>
                </c:pt>
                <c:pt idx="226">
                  <c:v>-0.42581538445962774</c:v>
                </c:pt>
                <c:pt idx="227">
                  <c:v>-0.43327326240237307</c:v>
                </c:pt>
                <c:pt idx="228">
                  <c:v>-0.44073114034511834</c:v>
                </c:pt>
                <c:pt idx="229">
                  <c:v>-0.44818901828786367</c:v>
                </c:pt>
                <c:pt idx="230">
                  <c:v>-0.45564689623060894</c:v>
                </c:pt>
                <c:pt idx="231">
                  <c:v>-0.46310477417335427</c:v>
                </c:pt>
                <c:pt idx="232">
                  <c:v>-0.47056265211609954</c:v>
                </c:pt>
                <c:pt idx="233">
                  <c:v>-0.47802053005884487</c:v>
                </c:pt>
                <c:pt idx="234">
                  <c:v>-0.48547840800159014</c:v>
                </c:pt>
                <c:pt idx="235">
                  <c:v>-0.49293628594433547</c:v>
                </c:pt>
                <c:pt idx="236">
                  <c:v>-0.5003941638870808</c:v>
                </c:pt>
                <c:pt idx="237">
                  <c:v>-0.50785204182982602</c:v>
                </c:pt>
                <c:pt idx="238">
                  <c:v>-0.51530991977257135</c:v>
                </c:pt>
                <c:pt idx="239">
                  <c:v>-0.52276779771531667</c:v>
                </c:pt>
                <c:pt idx="240">
                  <c:v>-0.53022567565806189</c:v>
                </c:pt>
                <c:pt idx="241">
                  <c:v>-0.53768355360080733</c:v>
                </c:pt>
                <c:pt idx="242">
                  <c:v>-0.54514143154355255</c:v>
                </c:pt>
                <c:pt idx="243">
                  <c:v>-0.55259930948629787</c:v>
                </c:pt>
                <c:pt idx="244">
                  <c:v>-0.5600571874290432</c:v>
                </c:pt>
                <c:pt idx="245">
                  <c:v>-0.56751506537178842</c:v>
                </c:pt>
                <c:pt idx="246">
                  <c:v>-0.57497294331453375</c:v>
                </c:pt>
                <c:pt idx="247">
                  <c:v>-0.58243082125727907</c:v>
                </c:pt>
              </c:numCache>
            </c:numRef>
          </c:yVal>
          <c:smooth val="0"/>
        </c:ser>
        <c:ser>
          <c:idx val="9"/>
          <c:order val="8"/>
          <c:tx>
            <c:v>laby</c:v>
          </c:tx>
          <c:spPr>
            <a:ln w="3175">
              <a:solidFill>
                <a:srgbClr val="C0C0C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plot!$AC$9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{E9E1E138-646B-4148-861C-26C0A5F2745E}</c15:txfldGUID>
                      <c15:f>plot!$AC$9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plot!$AC$10</c:f>
                  <c:strCache>
                    <c:ptCount val="1"/>
                    <c:pt idx="0">
                      <c:v>200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{85CBCCDE-1C0F-4A26-ACAA-85D7160A871F}</c15:txfldGUID>
                      <c15:f>plot!$AC$10</c15:f>
                      <c15:dlblFieldTableCache>
                        <c:ptCount val="1"/>
                        <c:pt idx="0">
                          <c:v>200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plot!$AC$11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{7670865D-D457-4856-9D61-E30BC56B6965}</c15:txfldGUID>
                      <c15:f>plot!$AC$11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plot!$AC$12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{9F0119DB-E061-4D56-9FE5-D22CAEEE5760}</c15:txfldGUID>
                      <c15:f>plot!$AC$12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plot!$AC$13</c:f>
                  <c:strCache>
                    <c:ptCount val="1"/>
                    <c:pt idx="0">
                      <c:v>400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{6476F661-CD36-41B5-823D-DBA210B4A2F8}</c15:txfldGUID>
                      <c15:f>plot!$AC$13</c15:f>
                      <c15:dlblFieldTableCache>
                        <c:ptCount val="1"/>
                        <c:pt idx="0">
                          <c:v>400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plot!$AC$14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{70925B4F-A952-4E55-947C-9995B350AF93}</c15:txfldGUID>
                      <c15:f>plot!$AC$14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plot!$AC$15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{6A31289C-6868-4B38-AD98-157509C1E78D}</c15:txfldGUID>
                      <c15:f>plot!$AC$15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plot!$AC$16</c:f>
                  <c:strCache>
                    <c:ptCount val="1"/>
                    <c:pt idx="0">
                      <c:v>600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{3ECC00E3-B1AF-4188-9B83-5F5C3AB0660D}</c15:txfldGUID>
                      <c15:f>plot!$AC$16</c15:f>
                      <c15:dlblFieldTableCache>
                        <c:ptCount val="1"/>
                        <c:pt idx="0">
                          <c:v>600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plot!$AC$17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{66D621F1-F475-4992-BC17-5C5DD47E35A1}</c15:txfldGUID>
                      <c15:f>plot!$AC$17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plot!$AC$18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{A7FD5CCF-E11E-48B0-BD03-3A92FD65DDBC}</c15:txfldGUID>
                      <c15:f>plot!$AC$18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plot!$AC$19</c:f>
                  <c:strCache>
                    <c:ptCount val="1"/>
                    <c:pt idx="0">
                      <c:v>800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{51786BEF-DBD3-4F4C-91E9-8CB0F9638549}</c15:txfldGUID>
                      <c15:f>plot!$AC$19</c15:f>
                      <c15:dlblFieldTableCache>
                        <c:ptCount val="1"/>
                        <c:pt idx="0">
                          <c:v>800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plot!$AC$20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{F1F05E21-D884-40B1-A850-0F18BC610FDD}</c15:txfldGUID>
                      <c15:f>plot!$AC$20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layout/>
              <c:tx>
                <c:strRef>
                  <c:f>plot!$AC$21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{79E3ACAE-2F71-4F5D-A2B3-74D147CB66CD}</c15:txfldGUID>
                      <c15:f>plot!$AC$21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layout/>
              <c:tx>
                <c:strRef>
                  <c:f>plot!$AC$22</c:f>
                  <c:strCache>
                    <c:ptCount val="1"/>
                    <c:pt idx="0">
                      <c:v>1000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{365B31EE-F3C3-412C-9DB8-76F1A65F5FE7}</c15:txfldGUID>
                      <c15:f>plot!$AC$22</c15:f>
                      <c15:dlblFieldTableCache>
                        <c:ptCount val="1"/>
                        <c:pt idx="0">
                          <c:v>1000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layout/>
              <c:tx>
                <c:strRef>
                  <c:f>plot!$AC$23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{1B9580A5-5E0F-4F2D-BFD2-598E3D69561D}</c15:txfldGUID>
                      <c15:f>plot!$AC$23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layout/>
              <c:tx>
                <c:strRef>
                  <c:f>plot!$AC$24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{98AC49A0-7647-49DC-A648-1DCE8E008321}</c15:txfldGUID>
                      <c15:f>plot!$AC$24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layout/>
              <c:tx>
                <c:strRef>
                  <c:f>plot!$AC$25</c:f>
                  <c:strCache>
                    <c:ptCount val="1"/>
                    <c:pt idx="0">
                      <c:v>1000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{43741F16-BD42-4EC4-B740-94D95886C88A}</c15:txfldGUID>
                      <c15:f>plot!$AC$25</c15:f>
                      <c15:dlblFieldTableCache>
                        <c:ptCount val="1"/>
                        <c:pt idx="0">
                          <c:v>1000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layout/>
              <c:tx>
                <c:strRef>
                  <c:f>plot!$AC$26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{CE77A15E-3A86-4832-BFD7-7E4BDB7E3D84}</c15:txfldGUID>
                      <c15:f>plot!$AC$26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layout/>
              <c:tx>
                <c:strRef>
                  <c:f>plot!$AC$27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{73DF89EF-C279-44AF-A4C1-9DB87E25E640}</c15:txfldGUID>
                      <c15:f>plot!$AC$27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layout/>
              <c:tx>
                <c:strRef>
                  <c:f>plot!$AC$28</c:f>
                  <c:strCache>
                    <c:ptCount val="1"/>
                    <c:pt idx="0">
                      <c:v>1000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{FC4289C2-4DAC-425E-BA38-864E62F921D5}</c15:txfldGUID>
                      <c15:f>plot!$AC$28</c15:f>
                      <c15:dlblFieldTableCache>
                        <c:ptCount val="1"/>
                        <c:pt idx="0">
                          <c:v>1000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layout/>
              <c:tx>
                <c:strRef>
                  <c:f>plot!$AC$29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{894A7A64-08E7-4440-AFBF-6F94BA0B4A69}</c15:txfldGUID>
                      <c15:f>plot!$AC$29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plot!$AD$9:$AD$29</c:f>
              <c:numCache>
                <c:formatCode>General</c:formatCode>
                <c:ptCount val="21"/>
                <c:pt idx="0">
                  <c:v>-0.48171488982591709</c:v>
                </c:pt>
                <c:pt idx="1">
                  <c:v>-0.51591690415848401</c:v>
                </c:pt>
                <c:pt idx="2">
                  <c:v>-0.48171488982591709</c:v>
                </c:pt>
                <c:pt idx="3">
                  <c:v>-0.29226073240940331</c:v>
                </c:pt>
                <c:pt idx="4">
                  <c:v>-0.32646274674197018</c:v>
                </c:pt>
                <c:pt idx="5">
                  <c:v>-0.29226073240940331</c:v>
                </c:pt>
                <c:pt idx="6">
                  <c:v>-0.10280657499288957</c:v>
                </c:pt>
                <c:pt idx="7">
                  <c:v>-0.13700858932545645</c:v>
                </c:pt>
                <c:pt idx="8">
                  <c:v>-0.10280657499288957</c:v>
                </c:pt>
                <c:pt idx="9">
                  <c:v>8.6647582423624164E-2</c:v>
                </c:pt>
                <c:pt idx="10">
                  <c:v>5.2445568091057292E-2</c:v>
                </c:pt>
                <c:pt idx="11">
                  <c:v>8.6647582423624164E-2</c:v>
                </c:pt>
                <c:pt idx="12">
                  <c:v>0.27610173984013792</c:v>
                </c:pt>
                <c:pt idx="13">
                  <c:v>0.24189972550757108</c:v>
                </c:pt>
                <c:pt idx="14">
                  <c:v>0.27610173984013792</c:v>
                </c:pt>
                <c:pt idx="15">
                  <c:v>0.27610173984013792</c:v>
                </c:pt>
                <c:pt idx="16">
                  <c:v>0.24189972550757108</c:v>
                </c:pt>
                <c:pt idx="17">
                  <c:v>0.27610173984013792</c:v>
                </c:pt>
                <c:pt idx="18">
                  <c:v>0.27610173984013792</c:v>
                </c:pt>
                <c:pt idx="19">
                  <c:v>0.24189972550757108</c:v>
                </c:pt>
                <c:pt idx="20">
                  <c:v>0.27610173984013792</c:v>
                </c:pt>
              </c:numCache>
            </c:numRef>
          </c:xVal>
          <c:yVal>
            <c:numRef>
              <c:f>plot!$AE$9:$AE$29</c:f>
              <c:numCache>
                <c:formatCode>General</c:formatCode>
                <c:ptCount val="21"/>
                <c:pt idx="0">
                  <c:v>-0.61139220436146879</c:v>
                </c:pt>
                <c:pt idx="1">
                  <c:v>-0.65837683540076419</c:v>
                </c:pt>
                <c:pt idx="2">
                  <c:v>-0.61139220436146879</c:v>
                </c:pt>
                <c:pt idx="3">
                  <c:v>-0.64587004139026605</c:v>
                </c:pt>
                <c:pt idx="4">
                  <c:v>-0.69285467242956145</c:v>
                </c:pt>
                <c:pt idx="5">
                  <c:v>-0.64587004139026605</c:v>
                </c:pt>
                <c:pt idx="6">
                  <c:v>-0.6803478784190633</c:v>
                </c:pt>
                <c:pt idx="7">
                  <c:v>-0.7273325094583587</c:v>
                </c:pt>
                <c:pt idx="8">
                  <c:v>-0.6803478784190633</c:v>
                </c:pt>
                <c:pt idx="9">
                  <c:v>-0.71482571544786055</c:v>
                </c:pt>
                <c:pt idx="10">
                  <c:v>-0.76181034648715595</c:v>
                </c:pt>
                <c:pt idx="11">
                  <c:v>-0.71482571544786055</c:v>
                </c:pt>
                <c:pt idx="12">
                  <c:v>-0.74930355247665781</c:v>
                </c:pt>
                <c:pt idx="13">
                  <c:v>-0.79628818351595321</c:v>
                </c:pt>
                <c:pt idx="14">
                  <c:v>-0.74930355247665781</c:v>
                </c:pt>
                <c:pt idx="15">
                  <c:v>-0.74930355247665781</c:v>
                </c:pt>
                <c:pt idx="16">
                  <c:v>-0.79628818351595321</c:v>
                </c:pt>
                <c:pt idx="17">
                  <c:v>-0.74930355247665781</c:v>
                </c:pt>
                <c:pt idx="18">
                  <c:v>-0.74930355247665781</c:v>
                </c:pt>
                <c:pt idx="19">
                  <c:v>-0.79628818351595321</c:v>
                </c:pt>
                <c:pt idx="20">
                  <c:v>-0.74930355247665781</c:v>
                </c:pt>
              </c:numCache>
            </c:numRef>
          </c:yVal>
          <c:smooth val="0"/>
        </c:ser>
        <c:ser>
          <c:idx val="10"/>
          <c:order val="9"/>
          <c:tx>
            <c:v>labz</c:v>
          </c:tx>
          <c:spPr>
            <a:ln w="3175">
              <a:solidFill>
                <a:srgbClr val="C0C0C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plot!$AH$9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{F8C930FC-01C6-4420-A3B3-DFD35F75B0D7}</c15:txfldGUID>
                      <c15:f>plot!$AH$9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plot!$AH$10</c:f>
                  <c:strCache>
                    <c:ptCount val="1"/>
                    <c:pt idx="0">
                      <c:v>1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{1720E974-2FE8-4DC1-A265-951B4BC52F6C}</c15:txfldGUID>
                      <c15:f>plot!$AH$10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plot!$AH$11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{14926ED3-3347-46E6-83B6-42E0F8BF6846}</c15:txfldGUID>
                      <c15:f>plot!$AH$11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plot!$AH$12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{01CAC82E-962E-4CF3-B801-E8DEACABEDCE}</c15:txfldGUID>
                      <c15:f>plot!$AH$12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plot!$AH$13</c:f>
                  <c:strCache>
                    <c:ptCount val="1"/>
                    <c:pt idx="0">
                      <c:v>1,5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{CD66FE0C-88EF-4FB2-B696-02C4C525C41C}</c15:txfldGUID>
                      <c15:f>plot!$AH$13</c15:f>
                      <c15:dlblFieldTableCache>
                        <c:ptCount val="1"/>
                        <c:pt idx="0">
                          <c:v>1,5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plot!$AH$14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{8707CA5D-417B-4588-B126-B11B5D613319}</c15:txfldGUID>
                      <c15:f>plot!$AH$14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plot!$AH$15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{7495E2C5-9693-4FB0-B4D0-027E76DA3E1F}</c15:txfldGUID>
                      <c15:f>plot!$AH$15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plot!$AH$16</c:f>
                  <c:strCache>
                    <c:ptCount val="1"/>
                    <c:pt idx="0">
                      <c:v>2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{F901FE35-590F-445A-B300-9C3CF12C0192}</c15:txfldGUID>
                      <c15:f>plot!$AH$16</c15:f>
                      <c15:dlblFieldTableCache>
                        <c:ptCount val="1"/>
                        <c:pt idx="0">
                          <c:v>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plot!$AH$17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{78AAD41D-933D-4C40-AAF5-12CD9A64DCA4}</c15:txfldGUID>
                      <c15:f>plot!$AH$17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plot!$AH$18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{557694B8-93D2-4ECC-8BC4-154772FEBEE2}</c15:txfldGUID>
                      <c15:f>plot!$AH$18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plot!$AH$19</c:f>
                  <c:strCache>
                    <c:ptCount val="1"/>
                    <c:pt idx="0">
                      <c:v>2,5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{5A1F353D-529D-41DE-A074-1599FDC3E0A6}</c15:txfldGUID>
                      <c15:f>plot!$AH$19</c15:f>
                      <c15:dlblFieldTableCache>
                        <c:ptCount val="1"/>
                        <c:pt idx="0">
                          <c:v>2,5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plot!$AH$20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{2E233958-462A-4C42-BF57-E7934A27E39A}</c15:txfldGUID>
                      <c15:f>plot!$AH$20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2"/>
              <c:layout/>
              <c:tx>
                <c:strRef>
                  <c:f>plot!$AH$21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{26962A98-1839-41BE-8E86-3E9560B7E156}</c15:txfldGUID>
                      <c15:f>plot!$AH$21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3"/>
              <c:layout/>
              <c:tx>
                <c:strRef>
                  <c:f>plot!$AH$22</c:f>
                  <c:strCache>
                    <c:ptCount val="1"/>
                    <c:pt idx="0">
                      <c:v>2,5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{37E88A27-FD97-4CB7-A8BA-F78E108DA3A5}</c15:txfldGUID>
                      <c15:f>plot!$AH$22</c15:f>
                      <c15:dlblFieldTableCache>
                        <c:ptCount val="1"/>
                        <c:pt idx="0">
                          <c:v>2,5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4"/>
              <c:layout/>
              <c:tx>
                <c:strRef>
                  <c:f>plot!$AH$23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{C1702D4B-68C8-47F6-AFB2-4F947A3D4AC2}</c15:txfldGUID>
                      <c15:f>plot!$AH$23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5"/>
              <c:layout/>
              <c:tx>
                <c:strRef>
                  <c:f>plot!$AH$24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{7AC4B504-4C3B-4B14-B863-215EC7EB187D}</c15:txfldGUID>
                      <c15:f>plot!$AH$24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6"/>
              <c:layout/>
              <c:tx>
                <c:strRef>
                  <c:f>plot!$AH$25</c:f>
                  <c:strCache>
                    <c:ptCount val="1"/>
                    <c:pt idx="0">
                      <c:v>2,5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{C4764657-134A-456F-9670-BAAEEF4560A5}</c15:txfldGUID>
                      <c15:f>plot!$AH$25</c15:f>
                      <c15:dlblFieldTableCache>
                        <c:ptCount val="1"/>
                        <c:pt idx="0">
                          <c:v>2,5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7"/>
              <c:layout/>
              <c:tx>
                <c:strRef>
                  <c:f>plot!$AH$26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{ADDD8D84-6383-43B4-A5DC-BDDD44491E2F}</c15:txfldGUID>
                      <c15:f>plot!$AH$26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8"/>
              <c:layout/>
              <c:tx>
                <c:strRef>
                  <c:f>plot!$AH$27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{78CC1A1D-F3EC-445B-AF91-21738EB83A8A}</c15:txfldGUID>
                      <c15:f>plot!$AH$27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9"/>
              <c:layout/>
              <c:tx>
                <c:strRef>
                  <c:f>plot!$AH$28</c:f>
                  <c:strCache>
                    <c:ptCount val="1"/>
                    <c:pt idx="0">
                      <c:v>2,5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{D2FE9385-14CB-401F-961A-DC07D4D46105}</c15:txfldGUID>
                      <c15:f>plot!$AH$28</c15:f>
                      <c15:dlblFieldTableCache>
                        <c:ptCount val="1"/>
                        <c:pt idx="0">
                          <c:v>2,5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0"/>
              <c:layout/>
              <c:tx>
                <c:strRef>
                  <c:f>plot!$AH$29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de-D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{4A667B5A-96BF-44C6-B945-5F45F0E9F682}</c15:txfldGUID>
                      <c15:f>plot!$AH$29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plot!$AI$9:$AI$29</c:f>
              <c:numCache>
                <c:formatCode>General</c:formatCode>
                <c:ptCount val="21"/>
                <c:pt idx="0">
                  <c:v>0.64085638205578854</c:v>
                </c:pt>
                <c:pt idx="1">
                  <c:v>0.73482564413437945</c:v>
                </c:pt>
                <c:pt idx="2">
                  <c:v>0.64085638205578854</c:v>
                </c:pt>
                <c:pt idx="3">
                  <c:v>0.64085638205578854</c:v>
                </c:pt>
                <c:pt idx="4">
                  <c:v>0.73482564413437945</c:v>
                </c:pt>
                <c:pt idx="5">
                  <c:v>0.64085638205578854</c:v>
                </c:pt>
                <c:pt idx="6">
                  <c:v>0.64085638205578854</c:v>
                </c:pt>
                <c:pt idx="7">
                  <c:v>0.73482564413437945</c:v>
                </c:pt>
                <c:pt idx="8">
                  <c:v>0.64085638205578854</c:v>
                </c:pt>
                <c:pt idx="9">
                  <c:v>0.64085638205578854</c:v>
                </c:pt>
                <c:pt idx="10">
                  <c:v>0.73482564413437945</c:v>
                </c:pt>
                <c:pt idx="11">
                  <c:v>0.64085638205578854</c:v>
                </c:pt>
                <c:pt idx="12">
                  <c:v>0.64085638205578854</c:v>
                </c:pt>
                <c:pt idx="13">
                  <c:v>0.73482564413437945</c:v>
                </c:pt>
                <c:pt idx="14">
                  <c:v>0.64085638205578854</c:v>
                </c:pt>
                <c:pt idx="15">
                  <c:v>0.64085638205578854</c:v>
                </c:pt>
                <c:pt idx="16">
                  <c:v>0.73482564413437945</c:v>
                </c:pt>
                <c:pt idx="17">
                  <c:v>0.64085638205578854</c:v>
                </c:pt>
                <c:pt idx="18">
                  <c:v>0.64085638205578854</c:v>
                </c:pt>
                <c:pt idx="19">
                  <c:v>0.73482564413437945</c:v>
                </c:pt>
                <c:pt idx="20">
                  <c:v>0.64085638205578854</c:v>
                </c:pt>
              </c:numCache>
            </c:numRef>
          </c:xVal>
          <c:yVal>
            <c:numRef>
              <c:f>plot!$AJ$9:$AJ$29</c:f>
              <c:numCache>
                <c:formatCode>General</c:formatCode>
                <c:ptCount val="21"/>
                <c:pt idx="0">
                  <c:v>-0.16518133384356554</c:v>
                </c:pt>
                <c:pt idx="1">
                  <c:v>-0.18228234100984897</c:v>
                </c:pt>
                <c:pt idx="2">
                  <c:v>-0.16518133384356554</c:v>
                </c:pt>
                <c:pt idx="3">
                  <c:v>2.5611445012376388E-2</c:v>
                </c:pt>
                <c:pt idx="4">
                  <c:v>8.5104378460929553E-3</c:v>
                </c:pt>
                <c:pt idx="5">
                  <c:v>2.5611445012376388E-2</c:v>
                </c:pt>
                <c:pt idx="6">
                  <c:v>0.21640422386831831</c:v>
                </c:pt>
                <c:pt idx="7">
                  <c:v>0.19930321670203488</c:v>
                </c:pt>
                <c:pt idx="8">
                  <c:v>0.21640422386831831</c:v>
                </c:pt>
                <c:pt idx="9">
                  <c:v>0.40719700272426024</c:v>
                </c:pt>
                <c:pt idx="10">
                  <c:v>0.3900959955579768</c:v>
                </c:pt>
                <c:pt idx="11">
                  <c:v>0.40719700272426024</c:v>
                </c:pt>
                <c:pt idx="12">
                  <c:v>0.40719700272426024</c:v>
                </c:pt>
                <c:pt idx="13">
                  <c:v>0.3900959955579768</c:v>
                </c:pt>
                <c:pt idx="14">
                  <c:v>0.40719700272426024</c:v>
                </c:pt>
                <c:pt idx="15">
                  <c:v>0.40719700272426024</c:v>
                </c:pt>
                <c:pt idx="16">
                  <c:v>0.3900959955579768</c:v>
                </c:pt>
                <c:pt idx="17">
                  <c:v>0.40719700272426024</c:v>
                </c:pt>
                <c:pt idx="18">
                  <c:v>0.40719700272426024</c:v>
                </c:pt>
                <c:pt idx="19">
                  <c:v>0.3900959955579768</c:v>
                </c:pt>
                <c:pt idx="20">
                  <c:v>0.40719700272426024</c:v>
                </c:pt>
              </c:numCache>
            </c:numRef>
          </c:yVal>
          <c:smooth val="0"/>
        </c:ser>
        <c:ser>
          <c:idx val="2"/>
          <c:order val="10"/>
          <c:tx>
            <c:v>data</c:v>
          </c:tx>
          <c:spPr>
            <a:ln w="28575">
              <a:noFill/>
            </a:ln>
          </c:spPr>
          <c:marker>
            <c:symbol val="circle"/>
            <c:size val="12"/>
            <c:spPr>
              <a:solidFill>
                <a:srgbClr val="0000D4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/>
              <c:tx>
                <c:strRef>
                  <c:f>plot!$B$33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{E8EB3A28-BF64-4C5E-ACCA-2852B51FFE7D}</c15:txfldGUID>
                      <c15:f>plot!$B$33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plot!$B$34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{94BD6622-0C08-43C1-88CA-50315D8A22F7}</c15:txfldGUID>
                      <c15:f>plot!$B$34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plot!$B$35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{87F98C2B-9CE7-47E7-8E6D-2B123B4B338B}</c15:txfldGUID>
                      <c15:f>plot!$B$35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plot!$B$36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{1A809B5B-93E1-40D5-B02F-4A47184F594E}</c15:txfldGUID>
                      <c15:f>plot!$B$36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plot!$B$37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{93AE1251-6705-4829-8D9B-F3901B1ECFE6}</c15:txfldGUID>
                      <c15:f>plot!$B$37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plot!$B$38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{B3AB0C36-1944-4A70-BF88-BE91CB6385F8}</c15:txfldGUID>
                      <c15:f>plot!$B$38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plot!$B$39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de-DE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{B73EBD22-F9FC-4625-BCBD-3D7239216CB6}</c15:txfldGUID>
                      <c15:f>plot!$B$39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minus"/>
            <c:errValType val="cust"/>
            <c:noEndCap val="1"/>
            <c:minus>
              <c:numRef>
                <c:f>plot!$G$33:$G$280</c:f>
                <c:numCache>
                  <c:formatCode>General</c:formatCode>
                  <c:ptCount val="248"/>
                  <c:pt idx="0">
                    <c:v>0.16637225712627568</c:v>
                  </c:pt>
                  <c:pt idx="1">
                    <c:v>3.6788663619002737E-2</c:v>
                  </c:pt>
                  <c:pt idx="2">
                    <c:v>1.0960091181380083E-3</c:v>
                  </c:pt>
                  <c:pt idx="3">
                    <c:v>5.9594124475653709E-3</c:v>
                  </c:pt>
                  <c:pt idx="4">
                    <c:v>1.7859921235925891E-2</c:v>
                  </c:pt>
                  <c:pt idx="5">
                    <c:v>3.4145038875174838E-2</c:v>
                  </c:pt>
                  <c:pt idx="6">
                    <c:v>5.6792618707322273E-2</c:v>
                  </c:pt>
                  <c:pt idx="7">
                    <c:v>9.0739805470823443E-2</c:v>
                  </c:pt>
                  <c:pt idx="8">
                    <c:v>0.12493311491904879</c:v>
                  </c:pt>
                  <c:pt idx="9">
                    <c:v>0.15096841133256234</c:v>
                  </c:pt>
                  <c:pt idx="10">
                    <c:v>0.18700611457398805</c:v>
                  </c:pt>
                  <c:pt idx="11">
                    <c:v>0.22435198850363955</c:v>
                  </c:pt>
                  <c:pt idx="12">
                    <c:v>0.25865662553832736</c:v>
                  </c:pt>
                  <c:pt idx="13">
                    <c:v>0.28640352397095747</c:v>
                  </c:pt>
                  <c:pt idx="14">
                    <c:v>0.33564570924783471</c:v>
                  </c:pt>
                  <c:pt idx="15">
                    <c:v>0.36078046374514822</c:v>
                  </c:pt>
                  <c:pt idx="16">
                    <c:v>0.36862319171280056</c:v>
                  </c:pt>
                  <c:pt idx="17">
                    <c:v>0.37527804383929586</c:v>
                  </c:pt>
                  <c:pt idx="18">
                    <c:v>0.37966551458186715</c:v>
                  </c:pt>
                  <c:pt idx="19">
                    <c:v>0.38737220729819516</c:v>
                  </c:pt>
                  <c:pt idx="20">
                    <c:v>0.39149886431207037</c:v>
                  </c:pt>
                  <c:pt idx="21">
                    <c:v>0.39893310494019213</c:v>
                  </c:pt>
                  <c:pt idx="22">
                    <c:v>0.40555647625817609</c:v>
                  </c:pt>
                  <c:pt idx="23">
                    <c:v>0.41331210732228074</c:v>
                  </c:pt>
                  <c:pt idx="24">
                    <c:v>0.4220342946040696</c:v>
                  </c:pt>
                  <c:pt idx="25">
                    <c:v>0.42917147087551261</c:v>
                  </c:pt>
                  <c:pt idx="26">
                    <c:v>0.43647902509847408</c:v>
                  </c:pt>
                  <c:pt idx="27">
                    <c:v>0.44655412397513039</c:v>
                  </c:pt>
                  <c:pt idx="28">
                    <c:v>0.45476097996122922</c:v>
                  </c:pt>
                  <c:pt idx="29">
                    <c:v>0.46516853525504209</c:v>
                  </c:pt>
                  <c:pt idx="30">
                    <c:v>0.47131750032840086</c:v>
                  </c:pt>
                  <c:pt idx="31">
                    <c:v>0.47929244769180024</c:v>
                  </c:pt>
                  <c:pt idx="32">
                    <c:v>1.8636161656701289E-2</c:v>
                  </c:pt>
                  <c:pt idx="33">
                    <c:v>4.1216010052354535E-3</c:v>
                  </c:pt>
                  <c:pt idx="34">
                    <c:v>3.3729778391994814E-2</c:v>
                  </c:pt>
                  <c:pt idx="35">
                    <c:v>9.0607109093129135E-2</c:v>
                  </c:pt>
                  <c:pt idx="36">
                    <c:v>0.15059350352211043</c:v>
                  </c:pt>
                  <c:pt idx="37">
                    <c:v>0.22524880996065194</c:v>
                  </c:pt>
                  <c:pt idx="38">
                    <c:v>0.28424002925512065</c:v>
                  </c:pt>
                  <c:pt idx="39">
                    <c:v>0.36105367900447</c:v>
                  </c:pt>
                  <c:pt idx="40">
                    <c:v>0.37514258096630815</c:v>
                  </c:pt>
                  <c:pt idx="41">
                    <c:v>0.38792188129407912</c:v>
                  </c:pt>
                  <c:pt idx="42">
                    <c:v>0.3988443862980241</c:v>
                  </c:pt>
                  <c:pt idx="43">
                    <c:v>0.41402958356716851</c:v>
                  </c:pt>
                  <c:pt idx="44">
                    <c:v>0.42991871079390198</c:v>
                  </c:pt>
                  <c:pt idx="45">
                    <c:v>0.44577607102295586</c:v>
                  </c:pt>
                  <c:pt idx="46">
                    <c:v>0.464465273072179</c:v>
                  </c:pt>
                  <c:pt idx="47">
                    <c:v>0.4788460879856668</c:v>
                  </c:pt>
                  <c:pt idx="48">
                    <c:v>0.50016546388780869</c:v>
                  </c:pt>
                  <c:pt idx="49">
                    <c:v>0.52214631835424397</c:v>
                  </c:pt>
                  <c:pt idx="50">
                    <c:v>0.54169723598917008</c:v>
                  </c:pt>
                  <c:pt idx="51">
                    <c:v>0.55993444994528352</c:v>
                  </c:pt>
                  <c:pt idx="52">
                    <c:v>0.57818740430565274</c:v>
                  </c:pt>
                  <c:pt idx="53">
                    <c:v>0.60050643897261002</c:v>
                  </c:pt>
                  <c:pt idx="54">
                    <c:v>0.62295044290971835</c:v>
                  </c:pt>
                  <c:pt idx="55">
                    <c:v>0.65079521803790175</c:v>
                  </c:pt>
                  <c:pt idx="56">
                    <c:v>0.67521478580367367</c:v>
                  </c:pt>
                  <c:pt idx="57">
                    <c:v>0.6998868678122615</c:v>
                  </c:pt>
                  <c:pt idx="58">
                    <c:v>0.72606382786407564</c:v>
                  </c:pt>
                  <c:pt idx="59">
                    <c:v>0.75488479424527544</c:v>
                  </c:pt>
                  <c:pt idx="60">
                    <c:v>0.78272727986011237</c:v>
                  </c:pt>
                  <c:pt idx="61">
                    <c:v>0.81011300756236837</c:v>
                  </c:pt>
                  <c:pt idx="62">
                    <c:v>0.83800032948023651</c:v>
                  </c:pt>
                  <c:pt idx="63">
                    <c:v>0.86515386237062464</c:v>
                  </c:pt>
                  <c:pt idx="64">
                    <c:v>0</c:v>
                  </c:pt>
                  <c:pt idx="65">
                    <c:v>3.45727962853698E-2</c:v>
                  </c:pt>
                  <c:pt idx="66">
                    <c:v>0.12548221653659614</c:v>
                  </c:pt>
                  <c:pt idx="67">
                    <c:v>0.22433348160409056</c:v>
                  </c:pt>
                  <c:pt idx="68">
                    <c:v>0.33774671932859635</c:v>
                  </c:pt>
                  <c:pt idx="69">
                    <c:v>0.37464728291239813</c:v>
                  </c:pt>
                  <c:pt idx="70">
                    <c:v>0.39173296705172655</c:v>
                  </c:pt>
                  <c:pt idx="71">
                    <c:v>0.41327709684736064</c:v>
                  </c:pt>
                  <c:pt idx="72">
                    <c:v>0.43532425180444845</c:v>
                  </c:pt>
                  <c:pt idx="73">
                    <c:v>0.46483913152234724</c:v>
                  </c:pt>
                  <c:pt idx="74">
                    <c:v>0.4877603081993741</c:v>
                  </c:pt>
                  <c:pt idx="75">
                    <c:v>0.52080952874918984</c:v>
                  </c:pt>
                  <c:pt idx="76">
                    <c:v>0.54901728713914655</c:v>
                  </c:pt>
                  <c:pt idx="77">
                    <c:v>0.57831514007109663</c:v>
                  </c:pt>
                  <c:pt idx="78">
                    <c:v>0.61263589909559779</c:v>
                  </c:pt>
                  <c:pt idx="79">
                    <c:v>0.65048498897948193</c:v>
                  </c:pt>
                  <c:pt idx="80">
                    <c:v>0.6883343650525342</c:v>
                  </c:pt>
                  <c:pt idx="81">
                    <c:v>0.72811256072343078</c:v>
                  </c:pt>
                  <c:pt idx="82">
                    <c:v>0.77128782182185707</c:v>
                  </c:pt>
                  <c:pt idx="83">
                    <c:v>0.81235148384029543</c:v>
                  </c:pt>
                  <c:pt idx="84">
                    <c:v>0.8526431028790934</c:v>
                  </c:pt>
                  <c:pt idx="85">
                    <c:v>6.0217062898618168E-3</c:v>
                  </c:pt>
                  <c:pt idx="86">
                    <c:v>9.0698212645032805E-2</c:v>
                  </c:pt>
                  <c:pt idx="87">
                    <c:v>0.22313816484455809</c:v>
                  </c:pt>
                  <c:pt idx="88">
                    <c:v>0.36119095440885679</c:v>
                  </c:pt>
                  <c:pt idx="89">
                    <c:v>0.38804847230285</c:v>
                  </c:pt>
                  <c:pt idx="90">
                    <c:v>0.41330151832305423</c:v>
                  </c:pt>
                  <c:pt idx="91">
                    <c:v>0.4466102170521139</c:v>
                  </c:pt>
                  <c:pt idx="92">
                    <c:v>0.47973689947014519</c:v>
                  </c:pt>
                  <c:pt idx="93">
                    <c:v>0.52141147996648041</c:v>
                  </c:pt>
                  <c:pt idx="94">
                    <c:v>0.56045540962794971</c:v>
                  </c:pt>
                  <c:pt idx="95">
                    <c:v>0.60155856575161126</c:v>
                  </c:pt>
                  <c:pt idx="96">
                    <c:v>0.6514776838078693</c:v>
                  </c:pt>
                  <c:pt idx="97">
                    <c:v>0.69951825616351182</c:v>
                  </c:pt>
                  <c:pt idx="98">
                    <c:v>0.755001082443988</c:v>
                  </c:pt>
                  <c:pt idx="99">
                    <c:v>0.8100325884060805</c:v>
                  </c:pt>
                  <c:pt idx="100">
                    <c:v>0.86559211338365682</c:v>
                  </c:pt>
                  <c:pt idx="101">
                    <c:v>1.9032247465606278E-2</c:v>
                  </c:pt>
                  <c:pt idx="102">
                    <c:v>0.15094809190161412</c:v>
                  </c:pt>
                  <c:pt idx="103">
                    <c:v>0.33773546255464387</c:v>
                  </c:pt>
                  <c:pt idx="104">
                    <c:v>0.38808415055249612</c:v>
                  </c:pt>
                  <c:pt idx="105">
                    <c:v>0.4213727206433866</c:v>
                  </c:pt>
                  <c:pt idx="106">
                    <c:v>0.46519801273937522</c:v>
                  </c:pt>
                  <c:pt idx="107">
                    <c:v>0.51147451506171571</c:v>
                  </c:pt>
                  <c:pt idx="108">
                    <c:v>0.55962908610272455</c:v>
                  </c:pt>
                  <c:pt idx="109">
                    <c:v>0.61324424187098003</c:v>
                  </c:pt>
                  <c:pt idx="110">
                    <c:v>0.67748397971899676</c:v>
                  </c:pt>
                  <c:pt idx="111">
                    <c:v>0.74075000662012225</c:v>
                  </c:pt>
                  <c:pt idx="112">
                    <c:v>0.81089277764955248</c:v>
                  </c:pt>
                  <c:pt idx="113">
                    <c:v>3.4234234499289917E-2</c:v>
                  </c:pt>
                  <c:pt idx="114">
                    <c:v>0.22339525811406649</c:v>
                  </c:pt>
                  <c:pt idx="115">
                    <c:v>0.37466416807332686</c:v>
                  </c:pt>
                  <c:pt idx="116">
                    <c:v>0.41311291966115515</c:v>
                  </c:pt>
                  <c:pt idx="117">
                    <c:v>0.46519801273937522</c:v>
                  </c:pt>
                  <c:pt idx="118">
                    <c:v>0.52088107604126077</c:v>
                  </c:pt>
                  <c:pt idx="119">
                    <c:v>0.5787127522222324</c:v>
                  </c:pt>
                  <c:pt idx="120">
                    <c:v>0.65178037655152443</c:v>
                  </c:pt>
                  <c:pt idx="121">
                    <c:v>0.7275183366136837</c:v>
                  </c:pt>
                  <c:pt idx="122">
                    <c:v>0.81084851372485789</c:v>
                  </c:pt>
                  <c:pt idx="123">
                    <c:v>5.6312965661278414E-2</c:v>
                  </c:pt>
                  <c:pt idx="124">
                    <c:v>0.28546968871484713</c:v>
                  </c:pt>
                  <c:pt idx="125">
                    <c:v>0.39081725710960746</c:v>
                  </c:pt>
                  <c:pt idx="126">
                    <c:v>0.44633318593721505</c:v>
                  </c:pt>
                  <c:pt idx="127">
                    <c:v>0.51154424982238766</c:v>
                  </c:pt>
                  <c:pt idx="128">
                    <c:v>0.57907573548400582</c:v>
                  </c:pt>
                  <c:pt idx="129">
                    <c:v>0.6626179787688784</c:v>
                  </c:pt>
                  <c:pt idx="130">
                    <c:v>0.75520189184373399</c:v>
                  </c:pt>
                  <c:pt idx="131">
                    <c:v>0.85388917051780167</c:v>
                  </c:pt>
                  <c:pt idx="132">
                    <c:v>9.0468021157343148E-2</c:v>
                  </c:pt>
                  <c:pt idx="133">
                    <c:v>0.36107218590401896</c:v>
                  </c:pt>
                  <c:pt idx="134">
                    <c:v>0.4139236935749035</c:v>
                  </c:pt>
                  <c:pt idx="135">
                    <c:v>0.47967832608703648</c:v>
                  </c:pt>
                  <c:pt idx="136">
                    <c:v>0.55927755040768257</c:v>
                  </c:pt>
                  <c:pt idx="137">
                    <c:v>0.65072166742165272</c:v>
                  </c:pt>
                  <c:pt idx="138">
                    <c:v>0.75561305028216852</c:v>
                  </c:pt>
                  <c:pt idx="139">
                    <c:v>0.86555185610731811</c:v>
                  </c:pt>
                  <c:pt idx="140">
                    <c:v>0.1260321767216484</c:v>
                  </c:pt>
                  <c:pt idx="141">
                    <c:v>0.37478102865037621</c:v>
                  </c:pt>
                  <c:pt idx="142">
                    <c:v>0.4366278434659816</c:v>
                  </c:pt>
                  <c:pt idx="143">
                    <c:v>0.52109476395357945</c:v>
                  </c:pt>
                  <c:pt idx="144">
                    <c:v>0.61341958043474876</c:v>
                  </c:pt>
                  <c:pt idx="145">
                    <c:v>0.72790316564863633</c:v>
                  </c:pt>
                  <c:pt idx="146">
                    <c:v>0.85307725184738004</c:v>
                  </c:pt>
                  <c:pt idx="147">
                    <c:v>0.15146332780091465</c:v>
                  </c:pt>
                  <c:pt idx="148">
                    <c:v>0.38699634552384887</c:v>
                  </c:pt>
                  <c:pt idx="149">
                    <c:v>0.46490514582383147</c:v>
                  </c:pt>
                  <c:pt idx="150">
                    <c:v>0.55989629138951236</c:v>
                  </c:pt>
                  <c:pt idx="151">
                    <c:v>0.6775251909592297</c:v>
                  </c:pt>
                  <c:pt idx="152">
                    <c:v>0.81097815741809054</c:v>
                  </c:pt>
                  <c:pt idx="153">
                    <c:v>0.18638403471852827</c:v>
                  </c:pt>
                  <c:pt idx="154">
                    <c:v>0.39820341795745751</c:v>
                  </c:pt>
                  <c:pt idx="155">
                    <c:v>0.4879652196438653</c:v>
                  </c:pt>
                  <c:pt idx="156">
                    <c:v>0.60096081197545548</c:v>
                  </c:pt>
                  <c:pt idx="157">
                    <c:v>0.74166428561639997</c:v>
                  </c:pt>
                  <c:pt idx="158">
                    <c:v>0.22410348090917967</c:v>
                  </c:pt>
                  <c:pt idx="159">
                    <c:v>0.41373824299385553</c:v>
                  </c:pt>
                  <c:pt idx="160">
                    <c:v>0.52038262990649964</c:v>
                  </c:pt>
                  <c:pt idx="161">
                    <c:v>0.65205836163031738</c:v>
                  </c:pt>
                  <c:pt idx="162">
                    <c:v>0.81064455624426102</c:v>
                  </c:pt>
                  <c:pt idx="163">
                    <c:v>0.25831138600498749</c:v>
                  </c:pt>
                  <c:pt idx="164">
                    <c:v>0.42853603552553299</c:v>
                  </c:pt>
                  <c:pt idx="165">
                    <c:v>0.54915275001213426</c:v>
                  </c:pt>
                  <c:pt idx="166">
                    <c:v>0.70090503347662614</c:v>
                  </c:pt>
                  <c:pt idx="167">
                    <c:v>0.28603767881750131</c:v>
                  </c:pt>
                  <c:pt idx="168">
                    <c:v>0.44689583384206133</c:v>
                  </c:pt>
                  <c:pt idx="169">
                    <c:v>0.57793012024336543</c:v>
                  </c:pt>
                  <c:pt idx="170">
                    <c:v>0.75579582976431259</c:v>
                  </c:pt>
                  <c:pt idx="171">
                    <c:v>0.33863724462390643</c:v>
                  </c:pt>
                  <c:pt idx="172">
                    <c:v>0.46536667355588396</c:v>
                  </c:pt>
                  <c:pt idx="173">
                    <c:v>0.61320694188271352</c:v>
                  </c:pt>
                  <c:pt idx="174">
                    <c:v>0.81124755682183514</c:v>
                  </c:pt>
                  <c:pt idx="175">
                    <c:v>0.36120354673226129</c:v>
                  </c:pt>
                  <c:pt idx="176">
                    <c:v>0.4794972637399022</c:v>
                  </c:pt>
                  <c:pt idx="177">
                    <c:v>0.65144524903546386</c:v>
                  </c:pt>
                  <c:pt idx="178">
                    <c:v>0.86602540378443871</c:v>
                  </c:pt>
                  <c:pt idx="179">
                    <c:v>0.36785763568764113</c:v>
                  </c:pt>
                  <c:pt idx="180">
                    <c:v>0.49842944039299836</c:v>
                  </c:pt>
                  <c:pt idx="181">
                    <c:v>0.68838816861617147</c:v>
                  </c:pt>
                  <c:pt idx="182">
                    <c:v>0.37504899710827927</c:v>
                  </c:pt>
                  <c:pt idx="183">
                    <c:v>0.51985842674659299</c:v>
                  </c:pt>
                  <c:pt idx="184">
                    <c:v>0.72781845365482423</c:v>
                  </c:pt>
                  <c:pt idx="185">
                    <c:v>0.38056414857027854</c:v>
                  </c:pt>
                  <c:pt idx="186">
                    <c:v>0.54018014720809704</c:v>
                  </c:pt>
                  <c:pt idx="187">
                    <c:v>0.76953872902169551</c:v>
                  </c:pt>
                  <c:pt idx="188">
                    <c:v>0.38791921019517511</c:v>
                  </c:pt>
                  <c:pt idx="189">
                    <c:v>0.55909925455584153</c:v>
                  </c:pt>
                  <c:pt idx="190">
                    <c:v>0.81156427283473587</c:v>
                  </c:pt>
                  <c:pt idx="191">
                    <c:v>0.39072319626963148</c:v>
                  </c:pt>
                  <c:pt idx="192">
                    <c:v>0.57854065713570435</c:v>
                  </c:pt>
                  <c:pt idx="193">
                    <c:v>0.85241825358921153</c:v>
                  </c:pt>
                  <c:pt idx="194">
                    <c:v>0.39892261133735502</c:v>
                  </c:pt>
                  <c:pt idx="195">
                    <c:v>0.60129632107707387</c:v>
                  </c:pt>
                  <c:pt idx="196">
                    <c:v>0.40575289742400833</c:v>
                  </c:pt>
                  <c:pt idx="197">
                    <c:v>0.62445637031322843</c:v>
                  </c:pt>
                  <c:pt idx="198">
                    <c:v>0.41315222297359944</c:v>
                  </c:pt>
                  <c:pt idx="199">
                    <c:v>0.65160084054662093</c:v>
                  </c:pt>
                  <c:pt idx="200">
                    <c:v>0.42147479478007455</c:v>
                  </c:pt>
                  <c:pt idx="201">
                    <c:v>0.67569176775081363</c:v>
                  </c:pt>
                  <c:pt idx="202">
                    <c:v>0.42914256576951593</c:v>
                  </c:pt>
                  <c:pt idx="203">
                    <c:v>0.69964217607337875</c:v>
                  </c:pt>
                  <c:pt idx="204">
                    <c:v>0.43575372634965315</c:v>
                  </c:pt>
                  <c:pt idx="205">
                    <c:v>0.72734185329324208</c:v>
                  </c:pt>
                  <c:pt idx="206">
                    <c:v>0.44545172329890076</c:v>
                  </c:pt>
                  <c:pt idx="207">
                    <c:v>0.75597765528256211</c:v>
                  </c:pt>
                  <c:pt idx="208">
                    <c:v>0.45308515158814816</c:v>
                  </c:pt>
                  <c:pt idx="209">
                    <c:v>0.78134670331231071</c:v>
                  </c:pt>
                  <c:pt idx="210">
                    <c:v>0.46474154101596249</c:v>
                  </c:pt>
                  <c:pt idx="211">
                    <c:v>0.80989397745224156</c:v>
                  </c:pt>
                  <c:pt idx="212">
                    <c:v>0.47125720981028218</c:v>
                  </c:pt>
                  <c:pt idx="213">
                    <c:v>0.83763410274122263</c:v>
                  </c:pt>
                  <c:pt idx="214">
                    <c:v>0.47905471988934584</c:v>
                  </c:pt>
                  <c:pt idx="215">
                    <c:v>0.86525641348925963</c:v>
                  </c:pt>
                  <c:pt idx="216">
                    <c:v>0.48736784745326744</c:v>
                  </c:pt>
                  <c:pt idx="217">
                    <c:v>0.49802486430543436</c:v>
                  </c:pt>
                  <c:pt idx="218">
                    <c:v>0.51027948449135152</c:v>
                  </c:pt>
                  <c:pt idx="219">
                    <c:v>0.51950784501544511</c:v>
                  </c:pt>
                  <c:pt idx="220">
                    <c:v>0.52952961731041115</c:v>
                  </c:pt>
                  <c:pt idx="221">
                    <c:v>0.53860248171973724</c:v>
                  </c:pt>
                  <c:pt idx="222">
                    <c:v>0.54844805688342979</c:v>
                  </c:pt>
                  <c:pt idx="223">
                    <c:v>0.55827989496704489</c:v>
                  </c:pt>
                  <c:pt idx="224">
                    <c:v>0.56725679060860634</c:v>
                  </c:pt>
                  <c:pt idx="225">
                    <c:v>0.57719366011698137</c:v>
                  </c:pt>
                  <c:pt idx="226">
                    <c:v>0.58875398538064194</c:v>
                  </c:pt>
                  <c:pt idx="227">
                    <c:v>0.60014517284584645</c:v>
                  </c:pt>
                  <c:pt idx="228">
                    <c:v>0.61288373891533166</c:v>
                  </c:pt>
                  <c:pt idx="229">
                    <c:v>0.62279151252493126</c:v>
                  </c:pt>
                  <c:pt idx="230">
                    <c:v>0.63497162813070529</c:v>
                  </c:pt>
                  <c:pt idx="231">
                    <c:v>0.6509450857656931</c:v>
                  </c:pt>
                  <c:pt idx="232">
                    <c:v>0.66113752220134581</c:v>
                  </c:pt>
                  <c:pt idx="233">
                    <c:v>0.67646505088351661</c:v>
                  </c:pt>
                  <c:pt idx="234">
                    <c:v>0.68791051889430577</c:v>
                  </c:pt>
                  <c:pt idx="235">
                    <c:v>0.69927213347878769</c:v>
                  </c:pt>
                  <c:pt idx="236">
                    <c:v>0.71252631703313107</c:v>
                  </c:pt>
                  <c:pt idx="237">
                    <c:v>0.72631452957549225</c:v>
                  </c:pt>
                  <c:pt idx="238">
                    <c:v>0.74099145488176443</c:v>
                  </c:pt>
                  <c:pt idx="239">
                    <c:v>0.75472386053631035</c:v>
                  </c:pt>
                  <c:pt idx="240">
                    <c:v>0.76886694764734353</c:v>
                  </c:pt>
                  <c:pt idx="241">
                    <c:v>0.78235904979692061</c:v>
                  </c:pt>
                  <c:pt idx="242">
                    <c:v>0.80137813256078538</c:v>
                  </c:pt>
                  <c:pt idx="243">
                    <c:v>0.80965644044256613</c:v>
                  </c:pt>
                  <c:pt idx="244">
                    <c:v>0.82229016588007009</c:v>
                  </c:pt>
                  <c:pt idx="245">
                    <c:v>0.83720749008770035</c:v>
                  </c:pt>
                  <c:pt idx="246">
                    <c:v>0.85265998804002219</c:v>
                  </c:pt>
                  <c:pt idx="247">
                    <c:v>0.86480948140478975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plot!$K$33:$K$280</c:f>
              <c:numCache>
                <c:formatCode>General</c:formatCode>
                <c:ptCount val="248"/>
                <c:pt idx="0">
                  <c:v>-0.29883623873011983</c:v>
                </c:pt>
                <c:pt idx="1">
                  <c:v>-0.26852357354347761</c:v>
                </c:pt>
                <c:pt idx="2">
                  <c:v>-0.23821090835683542</c:v>
                </c:pt>
                <c:pt idx="3">
                  <c:v>-0.20789824317019315</c:v>
                </c:pt>
                <c:pt idx="4">
                  <c:v>-0.17758557798355099</c:v>
                </c:pt>
                <c:pt idx="5">
                  <c:v>-0.14727291279690882</c:v>
                </c:pt>
                <c:pt idx="6">
                  <c:v>-0.1169602476102666</c:v>
                </c:pt>
                <c:pt idx="7">
                  <c:v>-8.6647582423624317E-2</c:v>
                </c:pt>
                <c:pt idx="8">
                  <c:v>-5.6334917236982154E-2</c:v>
                </c:pt>
                <c:pt idx="9">
                  <c:v>-2.6022252050339936E-2</c:v>
                </c:pt>
                <c:pt idx="10">
                  <c:v>4.290413136302261E-3</c:v>
                </c:pt>
                <c:pt idx="11">
                  <c:v>3.4603078322944486E-2</c:v>
                </c:pt>
                <c:pt idx="12">
                  <c:v>6.4915743509586663E-2</c:v>
                </c:pt>
                <c:pt idx="13">
                  <c:v>9.5228408696228908E-2</c:v>
                </c:pt>
                <c:pt idx="14">
                  <c:v>0.12554107388287108</c:v>
                </c:pt>
                <c:pt idx="15">
                  <c:v>0.15585373906951333</c:v>
                </c:pt>
                <c:pt idx="16">
                  <c:v>0.18616640425615549</c:v>
                </c:pt>
                <c:pt idx="17">
                  <c:v>0.21647906944279768</c:v>
                </c:pt>
                <c:pt idx="18">
                  <c:v>0.24679173462943996</c:v>
                </c:pt>
                <c:pt idx="19">
                  <c:v>0.27710439981608215</c:v>
                </c:pt>
                <c:pt idx="20">
                  <c:v>0.30741706500272431</c:v>
                </c:pt>
                <c:pt idx="21">
                  <c:v>0.33772973018936647</c:v>
                </c:pt>
                <c:pt idx="22">
                  <c:v>0.3680423953760088</c:v>
                </c:pt>
                <c:pt idx="23">
                  <c:v>0.39835506056265091</c:v>
                </c:pt>
                <c:pt idx="24">
                  <c:v>0.42866772574929313</c:v>
                </c:pt>
                <c:pt idx="25">
                  <c:v>0.45898039093593535</c:v>
                </c:pt>
                <c:pt idx="26">
                  <c:v>0.48929305612257756</c:v>
                </c:pt>
                <c:pt idx="27">
                  <c:v>0.51960572130921978</c:v>
                </c:pt>
                <c:pt idx="28">
                  <c:v>0.54991838649586189</c:v>
                </c:pt>
                <c:pt idx="29">
                  <c:v>0.58023105168250411</c:v>
                </c:pt>
                <c:pt idx="30">
                  <c:v>0.61054371686914644</c:v>
                </c:pt>
                <c:pt idx="31">
                  <c:v>0.64085638205578854</c:v>
                </c:pt>
                <c:pt idx="32">
                  <c:v>-0.3330382530626867</c:v>
                </c:pt>
                <c:pt idx="33">
                  <c:v>-0.30272558787604448</c:v>
                </c:pt>
                <c:pt idx="34">
                  <c:v>-0.27241292268940226</c:v>
                </c:pt>
                <c:pt idx="35">
                  <c:v>-0.24210025750276001</c:v>
                </c:pt>
                <c:pt idx="36">
                  <c:v>-0.21178759231611782</c:v>
                </c:pt>
                <c:pt idx="37">
                  <c:v>-0.18147492712947566</c:v>
                </c:pt>
                <c:pt idx="38">
                  <c:v>-0.15116226194283344</c:v>
                </c:pt>
                <c:pt idx="39">
                  <c:v>-0.12084959675619115</c:v>
                </c:pt>
                <c:pt idx="40">
                  <c:v>-9.0536931569548992E-2</c:v>
                </c:pt>
                <c:pt idx="41">
                  <c:v>-6.0224266382906767E-2</c:v>
                </c:pt>
                <c:pt idx="42">
                  <c:v>-2.9911601196264574E-2</c:v>
                </c:pt>
                <c:pt idx="43">
                  <c:v>4.0106399037764535E-4</c:v>
                </c:pt>
                <c:pt idx="44">
                  <c:v>3.0713729177019825E-2</c:v>
                </c:pt>
                <c:pt idx="45">
                  <c:v>6.1026394363662056E-2</c:v>
                </c:pt>
                <c:pt idx="46">
                  <c:v>9.1339059550304219E-2</c:v>
                </c:pt>
                <c:pt idx="47">
                  <c:v>0.12165172473694646</c:v>
                </c:pt>
                <c:pt idx="48">
                  <c:v>0.15196438992358863</c:v>
                </c:pt>
                <c:pt idx="49">
                  <c:v>0.18227705511023082</c:v>
                </c:pt>
                <c:pt idx="50">
                  <c:v>0.21258972029687312</c:v>
                </c:pt>
                <c:pt idx="51">
                  <c:v>0.24290238548351531</c:v>
                </c:pt>
                <c:pt idx="52">
                  <c:v>0.27321505067015744</c:v>
                </c:pt>
                <c:pt idx="53">
                  <c:v>0.30352771585679961</c:v>
                </c:pt>
                <c:pt idx="54">
                  <c:v>0.33384038104344194</c:v>
                </c:pt>
                <c:pt idx="55">
                  <c:v>0.3641530462300841</c:v>
                </c:pt>
                <c:pt idx="56">
                  <c:v>0.39446571141672632</c:v>
                </c:pt>
                <c:pt idx="57">
                  <c:v>0.42477837660336853</c:v>
                </c:pt>
                <c:pt idx="58">
                  <c:v>0.45509104179001075</c:v>
                </c:pt>
                <c:pt idx="59">
                  <c:v>0.48540370697665297</c:v>
                </c:pt>
                <c:pt idx="60">
                  <c:v>0.51571637216329502</c:v>
                </c:pt>
                <c:pt idx="61">
                  <c:v>0.54602903734993724</c:v>
                </c:pt>
                <c:pt idx="62">
                  <c:v>0.57634170253657968</c:v>
                </c:pt>
                <c:pt idx="63">
                  <c:v>0.60665436772322179</c:v>
                </c:pt>
                <c:pt idx="64">
                  <c:v>-0.36724026739525356</c:v>
                </c:pt>
                <c:pt idx="65">
                  <c:v>-0.3369276022086114</c:v>
                </c:pt>
                <c:pt idx="66">
                  <c:v>-0.30661493702196918</c:v>
                </c:pt>
                <c:pt idx="67">
                  <c:v>-0.27630227183532691</c:v>
                </c:pt>
                <c:pt idx="68">
                  <c:v>-0.24598960664868469</c:v>
                </c:pt>
                <c:pt idx="69">
                  <c:v>-0.21567694146204253</c:v>
                </c:pt>
                <c:pt idx="70">
                  <c:v>-0.18536427627540031</c:v>
                </c:pt>
                <c:pt idx="71">
                  <c:v>-0.15505161108875803</c:v>
                </c:pt>
                <c:pt idx="72">
                  <c:v>-0.12473894590211589</c:v>
                </c:pt>
                <c:pt idx="73">
                  <c:v>-9.4426280715473668E-2</c:v>
                </c:pt>
                <c:pt idx="74">
                  <c:v>-6.4113615528831464E-2</c:v>
                </c:pt>
                <c:pt idx="75">
                  <c:v>-3.3800950342189245E-2</c:v>
                </c:pt>
                <c:pt idx="76">
                  <c:v>-3.4882851555470664E-3</c:v>
                </c:pt>
                <c:pt idx="77">
                  <c:v>2.682438003109517E-2</c:v>
                </c:pt>
                <c:pt idx="78">
                  <c:v>5.7137045217737346E-2</c:v>
                </c:pt>
                <c:pt idx="79">
                  <c:v>8.7449710404379571E-2</c:v>
                </c:pt>
                <c:pt idx="80">
                  <c:v>0.11776237559102178</c:v>
                </c:pt>
                <c:pt idx="81">
                  <c:v>0.14807504077766395</c:v>
                </c:pt>
                <c:pt idx="82">
                  <c:v>0.17838770596430625</c:v>
                </c:pt>
                <c:pt idx="83">
                  <c:v>0.20870037115094842</c:v>
                </c:pt>
                <c:pt idx="84">
                  <c:v>0.23901303633759058</c:v>
                </c:pt>
                <c:pt idx="85">
                  <c:v>-0.40144228172782043</c:v>
                </c:pt>
                <c:pt idx="86">
                  <c:v>-0.37112961654117826</c:v>
                </c:pt>
                <c:pt idx="87">
                  <c:v>-0.34081695135453605</c:v>
                </c:pt>
                <c:pt idx="88">
                  <c:v>-0.31050428616789372</c:v>
                </c:pt>
                <c:pt idx="89">
                  <c:v>-0.28019162098125155</c:v>
                </c:pt>
                <c:pt idx="90">
                  <c:v>-0.24987895579460939</c:v>
                </c:pt>
                <c:pt idx="91">
                  <c:v>-0.21956629060796717</c:v>
                </c:pt>
                <c:pt idx="92">
                  <c:v>-0.1892536254213249</c:v>
                </c:pt>
                <c:pt idx="93">
                  <c:v>-0.15894096023468274</c:v>
                </c:pt>
                <c:pt idx="94">
                  <c:v>-0.12862829504804049</c:v>
                </c:pt>
                <c:pt idx="95">
                  <c:v>-9.8315629861398315E-2</c:v>
                </c:pt>
                <c:pt idx="96">
                  <c:v>-6.8002964674756097E-2</c:v>
                </c:pt>
                <c:pt idx="97">
                  <c:v>-3.7690299488113914E-2</c:v>
                </c:pt>
                <c:pt idx="98">
                  <c:v>-7.3776343014716706E-3</c:v>
                </c:pt>
                <c:pt idx="99">
                  <c:v>2.2935030885170505E-2</c:v>
                </c:pt>
                <c:pt idx="100">
                  <c:v>5.3247696071812747E-2</c:v>
                </c:pt>
                <c:pt idx="101">
                  <c:v>-0.43564429606038735</c:v>
                </c:pt>
                <c:pt idx="102">
                  <c:v>-0.40533163087374519</c:v>
                </c:pt>
                <c:pt idx="103">
                  <c:v>-0.37501896568710291</c:v>
                </c:pt>
                <c:pt idx="104">
                  <c:v>-0.34470630050046064</c:v>
                </c:pt>
                <c:pt idx="105">
                  <c:v>-0.31439363531381848</c:v>
                </c:pt>
                <c:pt idx="106">
                  <c:v>-0.28408097012717631</c:v>
                </c:pt>
                <c:pt idx="107">
                  <c:v>-0.2537683049405341</c:v>
                </c:pt>
                <c:pt idx="108">
                  <c:v>-0.22345563975389179</c:v>
                </c:pt>
                <c:pt idx="109">
                  <c:v>-0.19314297456724963</c:v>
                </c:pt>
                <c:pt idx="110">
                  <c:v>-0.16283030938060741</c:v>
                </c:pt>
                <c:pt idx="111">
                  <c:v>-0.1325176441939652</c:v>
                </c:pt>
                <c:pt idx="112">
                  <c:v>-0.10220497900732298</c:v>
                </c:pt>
                <c:pt idx="113">
                  <c:v>-0.46984631039295421</c:v>
                </c:pt>
                <c:pt idx="114">
                  <c:v>-0.43953364520631205</c:v>
                </c:pt>
                <c:pt idx="115">
                  <c:v>-0.40922098001966978</c:v>
                </c:pt>
                <c:pt idx="116">
                  <c:v>-0.3789083148330275</c:v>
                </c:pt>
                <c:pt idx="117">
                  <c:v>-0.34859564964638534</c:v>
                </c:pt>
                <c:pt idx="118">
                  <c:v>-0.31828298445974318</c:v>
                </c:pt>
                <c:pt idx="119">
                  <c:v>-0.28797031927310096</c:v>
                </c:pt>
                <c:pt idx="120">
                  <c:v>-0.25765765408645863</c:v>
                </c:pt>
                <c:pt idx="121">
                  <c:v>-0.22734498889981647</c:v>
                </c:pt>
                <c:pt idx="122">
                  <c:v>-0.19703232371317425</c:v>
                </c:pt>
                <c:pt idx="123">
                  <c:v>-0.50404832472552108</c:v>
                </c:pt>
                <c:pt idx="124">
                  <c:v>-0.47373565953887886</c:v>
                </c:pt>
                <c:pt idx="125">
                  <c:v>-0.44342299435223664</c:v>
                </c:pt>
                <c:pt idx="126">
                  <c:v>-0.41311032916559437</c:v>
                </c:pt>
                <c:pt idx="127">
                  <c:v>-0.38279766397895221</c:v>
                </c:pt>
                <c:pt idx="128">
                  <c:v>-0.35248499879231004</c:v>
                </c:pt>
                <c:pt idx="129">
                  <c:v>-0.32217233360566777</c:v>
                </c:pt>
                <c:pt idx="130">
                  <c:v>-0.2918596684190255</c:v>
                </c:pt>
                <c:pt idx="131">
                  <c:v>-0.26154700323238333</c:v>
                </c:pt>
                <c:pt idx="132">
                  <c:v>-0.53825033905808795</c:v>
                </c:pt>
                <c:pt idx="133">
                  <c:v>-0.50793767387144573</c:v>
                </c:pt>
                <c:pt idx="134">
                  <c:v>-0.47762500868480351</c:v>
                </c:pt>
                <c:pt idx="135">
                  <c:v>-0.44731234349816124</c:v>
                </c:pt>
                <c:pt idx="136">
                  <c:v>-0.41699967831151907</c:v>
                </c:pt>
                <c:pt idx="137">
                  <c:v>-0.38668701312487685</c:v>
                </c:pt>
                <c:pt idx="138">
                  <c:v>-0.35637434793823464</c:v>
                </c:pt>
                <c:pt idx="139">
                  <c:v>-0.32606168275159236</c:v>
                </c:pt>
                <c:pt idx="140">
                  <c:v>-0.57245235339065481</c:v>
                </c:pt>
                <c:pt idx="141">
                  <c:v>-0.5421396882040127</c:v>
                </c:pt>
                <c:pt idx="142">
                  <c:v>-0.51182702301737049</c:v>
                </c:pt>
                <c:pt idx="143">
                  <c:v>-0.48151435783072816</c:v>
                </c:pt>
                <c:pt idx="144">
                  <c:v>-0.45120169264408599</c:v>
                </c:pt>
                <c:pt idx="145">
                  <c:v>-0.42088902745744378</c:v>
                </c:pt>
                <c:pt idx="146">
                  <c:v>-0.39057636227080156</c:v>
                </c:pt>
                <c:pt idx="147">
                  <c:v>-0.60665436772322168</c:v>
                </c:pt>
                <c:pt idx="148">
                  <c:v>-0.57634170253657957</c:v>
                </c:pt>
                <c:pt idx="149">
                  <c:v>-0.54602903734993735</c:v>
                </c:pt>
                <c:pt idx="150">
                  <c:v>-0.51571637216329502</c:v>
                </c:pt>
                <c:pt idx="151">
                  <c:v>-0.48540370697665286</c:v>
                </c:pt>
                <c:pt idx="152">
                  <c:v>-0.45509104179001064</c:v>
                </c:pt>
                <c:pt idx="153">
                  <c:v>-0.64085638205578854</c:v>
                </c:pt>
                <c:pt idx="154">
                  <c:v>-0.61054371686914644</c:v>
                </c:pt>
                <c:pt idx="155">
                  <c:v>-0.58023105168250422</c:v>
                </c:pt>
                <c:pt idx="156">
                  <c:v>-0.54991838649586189</c:v>
                </c:pt>
                <c:pt idx="157">
                  <c:v>-0.23187448962254592</c:v>
                </c:pt>
                <c:pt idx="158">
                  <c:v>-0.35855404153301434</c:v>
                </c:pt>
                <c:pt idx="159">
                  <c:v>-0.32824137634637213</c:v>
                </c:pt>
                <c:pt idx="160">
                  <c:v>-0.29792871115972991</c:v>
                </c:pt>
                <c:pt idx="161">
                  <c:v>-0.26761604597308758</c:v>
                </c:pt>
                <c:pt idx="162">
                  <c:v>-0.23730338078644542</c:v>
                </c:pt>
                <c:pt idx="163">
                  <c:v>-0.36398293269691379</c:v>
                </c:pt>
                <c:pt idx="164">
                  <c:v>-0.33367026751027162</c:v>
                </c:pt>
                <c:pt idx="165">
                  <c:v>-0.30335760232362941</c:v>
                </c:pt>
                <c:pt idx="166">
                  <c:v>-0.27304493713698708</c:v>
                </c:pt>
                <c:pt idx="167">
                  <c:v>-0.36941182386081328</c:v>
                </c:pt>
                <c:pt idx="168">
                  <c:v>-0.33909915867417117</c:v>
                </c:pt>
                <c:pt idx="169">
                  <c:v>-0.30878649348752896</c:v>
                </c:pt>
                <c:pt idx="170">
                  <c:v>-0.27847382830088657</c:v>
                </c:pt>
                <c:pt idx="171">
                  <c:v>-0.37484071502471283</c:v>
                </c:pt>
                <c:pt idx="172">
                  <c:v>-0.34452804983807067</c:v>
                </c:pt>
                <c:pt idx="173">
                  <c:v>-0.31421538465142845</c:v>
                </c:pt>
                <c:pt idx="174">
                  <c:v>-0.28390271946478612</c:v>
                </c:pt>
                <c:pt idx="175">
                  <c:v>-0.38026960618861233</c:v>
                </c:pt>
                <c:pt idx="176">
                  <c:v>-0.34995694100197017</c:v>
                </c:pt>
                <c:pt idx="177">
                  <c:v>-0.31964427581532789</c:v>
                </c:pt>
                <c:pt idx="178">
                  <c:v>-0.28933161062868562</c:v>
                </c:pt>
                <c:pt idx="179">
                  <c:v>-0.38569849735251183</c:v>
                </c:pt>
                <c:pt idx="180">
                  <c:v>-0.35538583216586966</c:v>
                </c:pt>
                <c:pt idx="181">
                  <c:v>-0.32507316697922739</c:v>
                </c:pt>
                <c:pt idx="182">
                  <c:v>-0.39112738851641132</c:v>
                </c:pt>
                <c:pt idx="183">
                  <c:v>-0.36081472332976916</c:v>
                </c:pt>
                <c:pt idx="184">
                  <c:v>-0.33050205814312689</c:v>
                </c:pt>
                <c:pt idx="185">
                  <c:v>-0.39655627968031082</c:v>
                </c:pt>
                <c:pt idx="186">
                  <c:v>-0.36624361449366866</c:v>
                </c:pt>
                <c:pt idx="187">
                  <c:v>-0.33593094930702638</c:v>
                </c:pt>
                <c:pt idx="188">
                  <c:v>-0.40198517084421037</c:v>
                </c:pt>
                <c:pt idx="189">
                  <c:v>-0.37167250565756815</c:v>
                </c:pt>
                <c:pt idx="190">
                  <c:v>-0.34135984047092588</c:v>
                </c:pt>
                <c:pt idx="191">
                  <c:v>-0.40741406200810987</c:v>
                </c:pt>
                <c:pt idx="192">
                  <c:v>-0.3771013968214677</c:v>
                </c:pt>
                <c:pt idx="193">
                  <c:v>-0.34678873163482543</c:v>
                </c:pt>
                <c:pt idx="194">
                  <c:v>-0.41284295317200936</c:v>
                </c:pt>
                <c:pt idx="195">
                  <c:v>-0.3825302879853672</c:v>
                </c:pt>
                <c:pt idx="196">
                  <c:v>-0.41827184433590886</c:v>
                </c:pt>
                <c:pt idx="197">
                  <c:v>-0.3879591791492667</c:v>
                </c:pt>
                <c:pt idx="198">
                  <c:v>-0.42370073549980836</c:v>
                </c:pt>
                <c:pt idx="199">
                  <c:v>-0.39338807031316614</c:v>
                </c:pt>
                <c:pt idx="200">
                  <c:v>-0.42912962666370785</c:v>
                </c:pt>
                <c:pt idx="201">
                  <c:v>-0.39881696147706563</c:v>
                </c:pt>
                <c:pt idx="202">
                  <c:v>-0.43455851782760735</c:v>
                </c:pt>
                <c:pt idx="203">
                  <c:v>-0.40424585264096513</c:v>
                </c:pt>
                <c:pt idx="204">
                  <c:v>-0.4399874089915069</c:v>
                </c:pt>
                <c:pt idx="205">
                  <c:v>-0.40967474380486463</c:v>
                </c:pt>
                <c:pt idx="206">
                  <c:v>-0.4454163001554064</c:v>
                </c:pt>
                <c:pt idx="207">
                  <c:v>-0.41510363496876418</c:v>
                </c:pt>
                <c:pt idx="208">
                  <c:v>-0.45084519131930589</c:v>
                </c:pt>
                <c:pt idx="209">
                  <c:v>-0.42053252613266368</c:v>
                </c:pt>
                <c:pt idx="210">
                  <c:v>-0.45627408248320539</c:v>
                </c:pt>
                <c:pt idx="211">
                  <c:v>-0.42596141729656317</c:v>
                </c:pt>
                <c:pt idx="212">
                  <c:v>-0.46170297364710489</c:v>
                </c:pt>
                <c:pt idx="213">
                  <c:v>-0.43139030846046267</c:v>
                </c:pt>
                <c:pt idx="214">
                  <c:v>-0.46713186481100438</c:v>
                </c:pt>
                <c:pt idx="215">
                  <c:v>-0.43681919962436216</c:v>
                </c:pt>
                <c:pt idx="216">
                  <c:v>-0.47256075597490388</c:v>
                </c:pt>
                <c:pt idx="217">
                  <c:v>-0.47798964713880343</c:v>
                </c:pt>
                <c:pt idx="218">
                  <c:v>-0.48341853830270293</c:v>
                </c:pt>
                <c:pt idx="219">
                  <c:v>-0.48884742946660242</c:v>
                </c:pt>
                <c:pt idx="220">
                  <c:v>-0.49427632063050192</c:v>
                </c:pt>
                <c:pt idx="221">
                  <c:v>-0.49970521179440142</c:v>
                </c:pt>
                <c:pt idx="222">
                  <c:v>-0.50513410295830097</c:v>
                </c:pt>
                <c:pt idx="223">
                  <c:v>-0.51056299412220041</c:v>
                </c:pt>
                <c:pt idx="224">
                  <c:v>-0.51599188528609996</c:v>
                </c:pt>
                <c:pt idx="225">
                  <c:v>-0.52142077644999951</c:v>
                </c:pt>
                <c:pt idx="226">
                  <c:v>-0.52684966761389895</c:v>
                </c:pt>
                <c:pt idx="227">
                  <c:v>-0.53227855877779851</c:v>
                </c:pt>
                <c:pt idx="228">
                  <c:v>-0.53770744994169795</c:v>
                </c:pt>
                <c:pt idx="229">
                  <c:v>-0.5431363411055975</c:v>
                </c:pt>
                <c:pt idx="230">
                  <c:v>-0.54856523226949694</c:v>
                </c:pt>
                <c:pt idx="231">
                  <c:v>-0.55399412343339649</c:v>
                </c:pt>
                <c:pt idx="232">
                  <c:v>-0.55942301459729593</c:v>
                </c:pt>
                <c:pt idx="233">
                  <c:v>-0.56485190576119548</c:v>
                </c:pt>
                <c:pt idx="234">
                  <c:v>-0.57028079692509503</c:v>
                </c:pt>
                <c:pt idx="235">
                  <c:v>-0.57570968808899448</c:v>
                </c:pt>
                <c:pt idx="236">
                  <c:v>-0.58113857925289403</c:v>
                </c:pt>
                <c:pt idx="237">
                  <c:v>-0.58656747041679358</c:v>
                </c:pt>
                <c:pt idx="238">
                  <c:v>-0.59199636158069302</c:v>
                </c:pt>
                <c:pt idx="239">
                  <c:v>-0.59742525274459257</c:v>
                </c:pt>
                <c:pt idx="240">
                  <c:v>-0.60285414390849201</c:v>
                </c:pt>
                <c:pt idx="241">
                  <c:v>-0.60828303507239156</c:v>
                </c:pt>
                <c:pt idx="242">
                  <c:v>-0.61371192623629101</c:v>
                </c:pt>
                <c:pt idx="243">
                  <c:v>-0.61914081740019056</c:v>
                </c:pt>
                <c:pt idx="244">
                  <c:v>-0.62456970856409</c:v>
                </c:pt>
                <c:pt idx="245">
                  <c:v>-0.62999859972798944</c:v>
                </c:pt>
                <c:pt idx="246">
                  <c:v>-0.63542749089188899</c:v>
                </c:pt>
                <c:pt idx="247">
                  <c:v>-0.64085638205578843</c:v>
                </c:pt>
              </c:numCache>
            </c:numRef>
          </c:xVal>
          <c:yVal>
            <c:numRef>
              <c:f>plot!$L$33:$L$280</c:f>
              <c:numCache>
                <c:formatCode>General</c:formatCode>
                <c:ptCount val="248"/>
                <c:pt idx="0">
                  <c:v>5.3787746261950486E-2</c:v>
                </c:pt>
                <c:pt idx="1">
                  <c:v>-8.1312301169930046E-2</c:v>
                </c:pt>
                <c:pt idx="2">
                  <c:v>-0.12252140959540231</c:v>
                </c:pt>
                <c:pt idx="3">
                  <c:v>-0.12317446019058254</c:v>
                </c:pt>
                <c:pt idx="4">
                  <c:v>-0.11679040532682955</c:v>
                </c:pt>
                <c:pt idx="5">
                  <c:v>-0.10602174161218819</c:v>
                </c:pt>
                <c:pt idx="6">
                  <c:v>-8.889061570464829E-2</c:v>
                </c:pt>
                <c:pt idx="7">
                  <c:v>-6.045988286575471E-2</c:v>
                </c:pt>
                <c:pt idx="8">
                  <c:v>-3.1783027342136894E-2</c:v>
                </c:pt>
                <c:pt idx="9">
                  <c:v>-1.1264184853230941E-2</c:v>
                </c:pt>
                <c:pt idx="10">
                  <c:v>1.9257064463587242E-2</c:v>
                </c:pt>
                <c:pt idx="11">
                  <c:v>5.1086484468631149E-2</c:v>
                </c:pt>
                <c:pt idx="12">
                  <c:v>7.9874667578711422E-2</c:v>
                </c:pt>
                <c:pt idx="13">
                  <c:v>0.10210511208673398</c:v>
                </c:pt>
                <c:pt idx="14">
                  <c:v>0.14583084343900365</c:v>
                </c:pt>
                <c:pt idx="15">
                  <c:v>0.16544914401170957</c:v>
                </c:pt>
                <c:pt idx="16">
                  <c:v>0.1677754180547544</c:v>
                </c:pt>
                <c:pt idx="17">
                  <c:v>0.16891381625664212</c:v>
                </c:pt>
                <c:pt idx="18">
                  <c:v>0.16778483307460579</c:v>
                </c:pt>
                <c:pt idx="19">
                  <c:v>0.16997507186632627</c:v>
                </c:pt>
                <c:pt idx="20">
                  <c:v>0.16858527495559392</c:v>
                </c:pt>
                <c:pt idx="21">
                  <c:v>0.17050306165910814</c:v>
                </c:pt>
                <c:pt idx="22">
                  <c:v>0.17160997905248451</c:v>
                </c:pt>
                <c:pt idx="23">
                  <c:v>0.17384915619198163</c:v>
                </c:pt>
                <c:pt idx="24">
                  <c:v>0.17705488954916287</c:v>
                </c:pt>
                <c:pt idx="25">
                  <c:v>0.17867561189599834</c:v>
                </c:pt>
                <c:pt idx="26">
                  <c:v>0.18046671219435223</c:v>
                </c:pt>
                <c:pt idx="27">
                  <c:v>0.18502535714640098</c:v>
                </c:pt>
                <c:pt idx="28">
                  <c:v>0.1877157592078923</c:v>
                </c:pt>
                <c:pt idx="29">
                  <c:v>0.19260686057709758</c:v>
                </c:pt>
                <c:pt idx="30">
                  <c:v>0.19323937172584876</c:v>
                </c:pt>
                <c:pt idx="31">
                  <c:v>0.19569786516464061</c:v>
                </c:pt>
                <c:pt idx="32">
                  <c:v>-0.14093298024691925</c:v>
                </c:pt>
                <c:pt idx="33">
                  <c:v>-0.16096399482299267</c:v>
                </c:pt>
                <c:pt idx="34">
                  <c:v>-0.1368722713608409</c:v>
                </c:pt>
                <c:pt idx="35">
                  <c:v>-8.5511394584314115E-2</c:v>
                </c:pt>
                <c:pt idx="36">
                  <c:v>-3.1041454079940356E-2</c:v>
                </c:pt>
                <c:pt idx="37">
                  <c:v>3.8097398433993568E-2</c:v>
                </c:pt>
                <c:pt idx="38">
                  <c:v>9.1572163803854717E-2</c:v>
                </c:pt>
                <c:pt idx="39">
                  <c:v>0.1628693596285965</c:v>
                </c:pt>
                <c:pt idx="40">
                  <c:v>0.17144180766582706</c:v>
                </c:pt>
                <c:pt idx="41">
                  <c:v>0.17870465406899053</c:v>
                </c:pt>
                <c:pt idx="42">
                  <c:v>0.18411070514832789</c:v>
                </c:pt>
                <c:pt idx="43">
                  <c:v>0.19377944849286477</c:v>
                </c:pt>
                <c:pt idx="44">
                  <c:v>0.20415212179499065</c:v>
                </c:pt>
                <c:pt idx="45">
                  <c:v>0.21449302809943699</c:v>
                </c:pt>
                <c:pt idx="46">
                  <c:v>0.2276657762240526</c:v>
                </c:pt>
                <c:pt idx="47">
                  <c:v>0.23653013721293278</c:v>
                </c:pt>
                <c:pt idx="48">
                  <c:v>0.25233305919046711</c:v>
                </c:pt>
                <c:pt idx="49">
                  <c:v>0.26879745973229485</c:v>
                </c:pt>
                <c:pt idx="50">
                  <c:v>0.28283192344261332</c:v>
                </c:pt>
                <c:pt idx="51">
                  <c:v>0.29555268347411923</c:v>
                </c:pt>
                <c:pt idx="52">
                  <c:v>0.30828918390988092</c:v>
                </c:pt>
                <c:pt idx="53">
                  <c:v>0.32509176465223072</c:v>
                </c:pt>
                <c:pt idx="54">
                  <c:v>0.3420193146647314</c:v>
                </c:pt>
                <c:pt idx="55">
                  <c:v>0.36434763586830715</c:v>
                </c:pt>
                <c:pt idx="56">
                  <c:v>0.38325074970947159</c:v>
                </c:pt>
                <c:pt idx="57">
                  <c:v>0.4024063777934519</c:v>
                </c:pt>
                <c:pt idx="58">
                  <c:v>0.4230668839206585</c:v>
                </c:pt>
                <c:pt idx="59">
                  <c:v>0.44637139637725065</c:v>
                </c:pt>
                <c:pt idx="60">
                  <c:v>0.46869742806748005</c:v>
                </c:pt>
                <c:pt idx="61">
                  <c:v>0.49056670184512846</c:v>
                </c:pt>
                <c:pt idx="62">
                  <c:v>0.51293756983838912</c:v>
                </c:pt>
                <c:pt idx="63">
                  <c:v>0.53457464880416961</c:v>
                </c:pt>
                <c:pt idx="64">
                  <c:v>-0.20655377294291596</c:v>
                </c:pt>
                <c:pt idx="65">
                  <c:v>-0.17749743058215373</c:v>
                </c:pt>
                <c:pt idx="66">
                  <c:v>-9.2104464255534951E-2</c:v>
                </c:pt>
                <c:pt idx="67">
                  <c:v>1.2303468873519074E-3</c:v>
                </c:pt>
                <c:pt idx="68">
                  <c:v>0.10912713068725015</c:v>
                </c:pt>
                <c:pt idx="69">
                  <c:v>0.14051124034644435</c:v>
                </c:pt>
                <c:pt idx="70">
                  <c:v>0.15208047056116522</c:v>
                </c:pt>
                <c:pt idx="71">
                  <c:v>0.16810814643219174</c:v>
                </c:pt>
                <c:pt idx="72">
                  <c:v>0.18463884746467199</c:v>
                </c:pt>
                <c:pt idx="73">
                  <c:v>0.20863727325796322</c:v>
                </c:pt>
                <c:pt idx="74">
                  <c:v>0.22604199601038258</c:v>
                </c:pt>
                <c:pt idx="75">
                  <c:v>0.25357476263559064</c:v>
                </c:pt>
                <c:pt idx="76">
                  <c:v>0.27626606710093987</c:v>
                </c:pt>
                <c:pt idx="77">
                  <c:v>0.30004746610828237</c:v>
                </c:pt>
                <c:pt idx="78">
                  <c:v>0.32885177120817599</c:v>
                </c:pt>
                <c:pt idx="79">
                  <c:v>0.36118440716745254</c:v>
                </c:pt>
                <c:pt idx="80">
                  <c:v>0.39351732931589722</c:v>
                </c:pt>
                <c:pt idx="81">
                  <c:v>0.42777907106218627</c:v>
                </c:pt>
                <c:pt idx="82">
                  <c:v>0.46543787823600491</c:v>
                </c:pt>
                <c:pt idx="83">
                  <c:v>0.50098508632983574</c:v>
                </c:pt>
                <c:pt idx="84">
                  <c:v>0.53576025144402617</c:v>
                </c:pt>
                <c:pt idx="85">
                  <c:v>-0.24751669769234952</c:v>
                </c:pt>
                <c:pt idx="86">
                  <c:v>-0.16835664526178612</c:v>
                </c:pt>
                <c:pt idx="87">
                  <c:v>-4.1433146986868369E-2</c:v>
                </c:pt>
                <c:pt idx="88">
                  <c:v>9.1103188652822742E-2</c:v>
                </c:pt>
                <c:pt idx="89">
                  <c:v>0.11244425262220845</c:v>
                </c:pt>
                <c:pt idx="90">
                  <c:v>0.13218084471780506</c:v>
                </c:pt>
                <c:pt idx="91">
                  <c:v>0.15997308952225719</c:v>
                </c:pt>
                <c:pt idx="92">
                  <c:v>0.1875833180156809</c:v>
                </c:pt>
                <c:pt idx="93">
                  <c:v>0.22374144458740847</c:v>
                </c:pt>
                <c:pt idx="94">
                  <c:v>0.25726892032427029</c:v>
                </c:pt>
                <c:pt idx="95">
                  <c:v>0.29285562252332431</c:v>
                </c:pt>
                <c:pt idx="96">
                  <c:v>0.33725828665497481</c:v>
                </c:pt>
                <c:pt idx="97">
                  <c:v>0.37978240508600969</c:v>
                </c:pt>
                <c:pt idx="98">
                  <c:v>0.42974877744187834</c:v>
                </c:pt>
                <c:pt idx="99">
                  <c:v>0.4792638294793633</c:v>
                </c:pt>
                <c:pt idx="100">
                  <c:v>0.52930690053233198</c:v>
                </c:pt>
                <c:pt idx="101">
                  <c:v>-0.28149078755590051</c:v>
                </c:pt>
                <c:pt idx="102">
                  <c:v>-0.1550913970445002</c:v>
                </c:pt>
                <c:pt idx="103">
                  <c:v>2.6179519683922015E-2</c:v>
                </c:pt>
                <c:pt idx="104">
                  <c:v>7.1011753757166646E-2</c:v>
                </c:pt>
                <c:pt idx="105">
                  <c:v>9.8783869923449549E-2</c:v>
                </c:pt>
                <c:pt idx="106">
                  <c:v>0.13709270809483068</c:v>
                </c:pt>
                <c:pt idx="107">
                  <c:v>0.17785275649256366</c:v>
                </c:pt>
                <c:pt idx="108">
                  <c:v>0.22049087360896485</c:v>
                </c:pt>
                <c:pt idx="109">
                  <c:v>0.26858957545261269</c:v>
                </c:pt>
                <c:pt idx="110">
                  <c:v>0.32731285937602195</c:v>
                </c:pt>
                <c:pt idx="111">
                  <c:v>0.3850624323525399</c:v>
                </c:pt>
                <c:pt idx="112">
                  <c:v>0.44968874945736259</c:v>
                </c:pt>
                <c:pt idx="113">
                  <c:v>-0.31327343156151222</c:v>
                </c:pt>
                <c:pt idx="114">
                  <c:v>-0.12962886187134323</c:v>
                </c:pt>
                <c:pt idx="115">
                  <c:v>1.6123594163309586E-2</c:v>
                </c:pt>
                <c:pt idx="116">
                  <c:v>4.9055891826530293E-2</c:v>
                </c:pt>
                <c:pt idx="117">
                  <c:v>9.5624530980142869E-2</c:v>
                </c:pt>
                <c:pt idx="118">
                  <c:v>0.1457911403574208</c:v>
                </c:pt>
                <c:pt idx="119">
                  <c:v>0.19810636261378495</c:v>
                </c:pt>
                <c:pt idx="120">
                  <c:v>0.26565753301846928</c:v>
                </c:pt>
                <c:pt idx="121">
                  <c:v>0.33587903915602113</c:v>
                </c:pt>
                <c:pt idx="122">
                  <c:v>0.41369276234258767</c:v>
                </c:pt>
                <c:pt idx="123">
                  <c:v>-0.33817933143881912</c:v>
                </c:pt>
                <c:pt idx="124">
                  <c:v>-0.11453906230985794</c:v>
                </c:pt>
                <c:pt idx="125">
                  <c:v>-1.4707947839705214E-2</c:v>
                </c:pt>
                <c:pt idx="126">
                  <c:v>3.5291527063294886E-2</c:v>
                </c:pt>
                <c:pt idx="127">
                  <c:v>9.4986137023859829E-2</c:v>
                </c:pt>
                <c:pt idx="128">
                  <c:v>0.15700116876087053</c:v>
                </c:pt>
                <c:pt idx="129">
                  <c:v>0.2350269581211355</c:v>
                </c:pt>
                <c:pt idx="130">
                  <c:v>0.32209441727138349</c:v>
                </c:pt>
                <c:pt idx="131">
                  <c:v>0.41526524202084364</c:v>
                </c:pt>
                <c:pt idx="132">
                  <c:v>-0.35100890698204973</c:v>
                </c:pt>
                <c:pt idx="133">
                  <c:v>-8.5921196159981492E-2</c:v>
                </c:pt>
                <c:pt idx="134">
                  <c:v>-3.8586142413704519E-2</c:v>
                </c:pt>
                <c:pt idx="135">
                  <c:v>2.1652036173820881E-2</c:v>
                </c:pt>
                <c:pt idx="136">
                  <c:v>9.5734806569859401E-2</c:v>
                </c:pt>
                <c:pt idx="137">
                  <c:v>0.181662469659222</c:v>
                </c:pt>
                <c:pt idx="138">
                  <c:v>0.28103739859513027</c:v>
                </c:pt>
                <c:pt idx="139">
                  <c:v>0.38545975049567227</c:v>
                </c:pt>
                <c:pt idx="140">
                  <c:v>-0.36242938245703993</c:v>
                </c:pt>
                <c:pt idx="141">
                  <c:v>-0.11919698445291971</c:v>
                </c:pt>
                <c:pt idx="142">
                  <c:v>-6.2866623561921839E-2</c:v>
                </c:pt>
                <c:pt idx="143">
                  <c:v>1.608384300106841E-2</c:v>
                </c:pt>
                <c:pt idx="144">
                  <c:v>0.10289220555763015</c:v>
                </c:pt>
                <c:pt idx="145">
                  <c:v>0.21185933684691019</c:v>
                </c:pt>
                <c:pt idx="146">
                  <c:v>0.33151696912104633</c:v>
                </c:pt>
                <c:pt idx="147">
                  <c:v>-0.38398286241706903</c:v>
                </c:pt>
                <c:pt idx="148">
                  <c:v>-0.15396629861874231</c:v>
                </c:pt>
                <c:pt idx="149">
                  <c:v>-8.1573952243367415E-2</c:v>
                </c:pt>
                <c:pt idx="150">
                  <c:v>7.9007393977059276E-3</c:v>
                </c:pt>
                <c:pt idx="151">
                  <c:v>0.12001318504281577</c:v>
                </c:pt>
                <c:pt idx="152">
                  <c:v>0.24794969757706903</c:v>
                </c:pt>
                <c:pt idx="153">
                  <c:v>-0.39604678653875081</c:v>
                </c:pt>
                <c:pt idx="154">
                  <c:v>-0.1897438572244291</c:v>
                </c:pt>
                <c:pt idx="155">
                  <c:v>-0.10549850946262881</c:v>
                </c:pt>
                <c:pt idx="156">
                  <c:v>1.9806289443537461E-3</c:v>
                </c:pt>
                <c:pt idx="157">
                  <c:v>0.53243517962619147</c:v>
                </c:pt>
                <c:pt idx="158">
                  <c:v>2.9482312674656175E-2</c:v>
                </c:pt>
                <c:pt idx="159">
                  <c:v>0.21360062083472448</c:v>
                </c:pt>
                <c:pt idx="160">
                  <c:v>0.31472855382276099</c:v>
                </c:pt>
                <c:pt idx="161">
                  <c:v>0.4408878316219712</c:v>
                </c:pt>
                <c:pt idx="162">
                  <c:v>0.5939575723113073</c:v>
                </c:pt>
                <c:pt idx="163">
                  <c:v>5.6232339827718691E-2</c:v>
                </c:pt>
                <c:pt idx="164">
                  <c:v>0.2209405354236566</c:v>
                </c:pt>
                <c:pt idx="165">
                  <c:v>0.33604079598565029</c:v>
                </c:pt>
                <c:pt idx="166">
                  <c:v>0.48227662552553463</c:v>
                </c:pt>
                <c:pt idx="167">
                  <c:v>7.6500754697487211E-2</c:v>
                </c:pt>
                <c:pt idx="168">
                  <c:v>0.23184245579743964</c:v>
                </c:pt>
                <c:pt idx="169">
                  <c:v>0.35736028827413624</c:v>
                </c:pt>
                <c:pt idx="170">
                  <c:v>0.52970954387047575</c:v>
                </c:pt>
                <c:pt idx="171">
                  <c:v>0.12164244256114706</c:v>
                </c:pt>
                <c:pt idx="172">
                  <c:v>0.242855417568517</c:v>
                </c:pt>
                <c:pt idx="173">
                  <c:v>0.38517923197073906</c:v>
                </c:pt>
                <c:pt idx="174">
                  <c:v>0.57770339298525308</c:v>
                </c:pt>
                <c:pt idx="175">
                  <c:v>0.13675086672675663</c:v>
                </c:pt>
                <c:pt idx="176">
                  <c:v>0.24952812980978994</c:v>
                </c:pt>
                <c:pt idx="177">
                  <c:v>0.41595966118074401</c:v>
                </c:pt>
                <c:pt idx="178">
                  <c:v>0.62502336200511133</c:v>
                </c:pt>
                <c:pt idx="179">
                  <c:v>0.13594707773939113</c:v>
                </c:pt>
                <c:pt idx="180">
                  <c:v>0.26100242852014083</c:v>
                </c:pt>
                <c:pt idx="181">
                  <c:v>0.44544470281870641</c:v>
                </c:pt>
                <c:pt idx="182">
                  <c:v>0.135680561217284</c:v>
                </c:pt>
                <c:pt idx="183">
                  <c:v>0.27497353693099014</c:v>
                </c:pt>
                <c:pt idx="184">
                  <c:v>0.47741710991461384</c:v>
                </c:pt>
                <c:pt idx="185">
                  <c:v>0.13373783473653794</c:v>
                </c:pt>
                <c:pt idx="186">
                  <c:v>0.28783737944974891</c:v>
                </c:pt>
                <c:pt idx="187">
                  <c:v>0.51167950733873979</c:v>
                </c:pt>
                <c:pt idx="188">
                  <c:v>0.13363501841868924</c:v>
                </c:pt>
                <c:pt idx="189">
                  <c:v>0.29929860885474813</c:v>
                </c:pt>
                <c:pt idx="190">
                  <c:v>0.54624717320903493</c:v>
                </c:pt>
                <c:pt idx="191">
                  <c:v>0.12898112655040031</c:v>
                </c:pt>
                <c:pt idx="192">
                  <c:v>0.31128213349186568</c:v>
                </c:pt>
                <c:pt idx="193">
                  <c:v>0.57964327602076526</c:v>
                </c:pt>
                <c:pt idx="194">
                  <c:v>0.12972266367537855</c:v>
                </c:pt>
                <c:pt idx="195">
                  <c:v>0.32657991949048976</c:v>
                </c:pt>
                <c:pt idx="196">
                  <c:v>0.12909507181928651</c:v>
                </c:pt>
                <c:pt idx="197">
                  <c:v>0.34228209078389904</c:v>
                </c:pt>
                <c:pt idx="198">
                  <c:v>0.12903651942613234</c:v>
                </c:pt>
                <c:pt idx="199">
                  <c:v>0.36196868307454622</c:v>
                </c:pt>
                <c:pt idx="200">
                  <c:v>0.12990121328986215</c:v>
                </c:pt>
                <c:pt idx="201">
                  <c:v>0.3786017323359937</c:v>
                </c:pt>
                <c:pt idx="202">
                  <c:v>0.13011110633655826</c:v>
                </c:pt>
                <c:pt idx="203">
                  <c:v>0.39509426271581349</c:v>
                </c:pt>
                <c:pt idx="204">
                  <c:v>0.12926438897395023</c:v>
                </c:pt>
                <c:pt idx="205">
                  <c:v>0.4153360619929316</c:v>
                </c:pt>
                <c:pt idx="206">
                  <c:v>0.13150450798045249</c:v>
                </c:pt>
                <c:pt idx="207">
                  <c:v>0.43651398603950631</c:v>
                </c:pt>
                <c:pt idx="208">
                  <c:v>0.13168005832695456</c:v>
                </c:pt>
                <c:pt idx="209">
                  <c:v>0.45442515612650952</c:v>
                </c:pt>
                <c:pt idx="210">
                  <c:v>0.13587856981202362</c:v>
                </c:pt>
                <c:pt idx="211">
                  <c:v>0.47551455232369511</c:v>
                </c:pt>
                <c:pt idx="212">
                  <c:v>0.13493636066359807</c:v>
                </c:pt>
                <c:pt idx="213">
                  <c:v>0.49579679966993084</c:v>
                </c:pt>
                <c:pt idx="214">
                  <c:v>0.13527599279991637</c:v>
                </c:pt>
                <c:pt idx="215">
                  <c:v>0.51596123247522263</c:v>
                </c:pt>
                <c:pt idx="216">
                  <c:v>0.13613124242109265</c:v>
                </c:pt>
                <c:pt idx="217">
                  <c:v>0.13933038133051423</c:v>
                </c:pt>
                <c:pt idx="218">
                  <c:v>0.14412712357368618</c:v>
                </c:pt>
                <c:pt idx="219">
                  <c:v>0.14589760615503439</c:v>
                </c:pt>
                <c:pt idx="220">
                  <c:v>0.14846150050725521</c:v>
                </c:pt>
                <c:pt idx="221">
                  <c:v>0.15007648697383599</c:v>
                </c:pt>
                <c:pt idx="222">
                  <c:v>0.15246418419478328</c:v>
                </c:pt>
                <c:pt idx="223">
                  <c:v>0.15483814433565299</c:v>
                </c:pt>
                <c:pt idx="224">
                  <c:v>0.15635716203446917</c:v>
                </c:pt>
                <c:pt idx="225">
                  <c:v>0.15883615360009895</c:v>
                </c:pt>
                <c:pt idx="226">
                  <c:v>0.1629386009210142</c:v>
                </c:pt>
                <c:pt idx="227">
                  <c:v>0.16687191044347338</c:v>
                </c:pt>
                <c:pt idx="228">
                  <c:v>0.17215259857021337</c:v>
                </c:pt>
                <c:pt idx="229">
                  <c:v>0.17460249423706764</c:v>
                </c:pt>
                <c:pt idx="230">
                  <c:v>0.17932473190009635</c:v>
                </c:pt>
                <c:pt idx="231">
                  <c:v>0.18784031159233883</c:v>
                </c:pt>
                <c:pt idx="232">
                  <c:v>0.19057487008524621</c:v>
                </c:pt>
                <c:pt idx="233">
                  <c:v>0.19844452082467176</c:v>
                </c:pt>
                <c:pt idx="234">
                  <c:v>0.20243211089271562</c:v>
                </c:pt>
                <c:pt idx="235">
                  <c:v>0.20633584753445217</c:v>
                </c:pt>
                <c:pt idx="236">
                  <c:v>0.21213215314605027</c:v>
                </c:pt>
                <c:pt idx="237">
                  <c:v>0.21846248774566623</c:v>
                </c:pt>
                <c:pt idx="238">
                  <c:v>0.22568153510919303</c:v>
                </c:pt>
                <c:pt idx="239">
                  <c:v>0.23195606282099368</c:v>
                </c:pt>
                <c:pt idx="240">
                  <c:v>0.23864127198928159</c:v>
                </c:pt>
                <c:pt idx="241">
                  <c:v>0.24467549619611323</c:v>
                </c:pt>
                <c:pt idx="242">
                  <c:v>0.25623670101723278</c:v>
                </c:pt>
                <c:pt idx="243">
                  <c:v>0.2570571309562682</c:v>
                </c:pt>
                <c:pt idx="244">
                  <c:v>0.26223297845102689</c:v>
                </c:pt>
                <c:pt idx="245">
                  <c:v>0.26969242471591193</c:v>
                </c:pt>
                <c:pt idx="246">
                  <c:v>0.27768704472548844</c:v>
                </c:pt>
                <c:pt idx="247">
                  <c:v>0.28237866014751067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111440"/>
        <c:axId val="207112000"/>
      </c:scatterChart>
      <c:valAx>
        <c:axId val="207111440"/>
        <c:scaling>
          <c:orientation val="minMax"/>
          <c:max val="1.1000000000000001"/>
          <c:min val="-1.1000000000000001"/>
        </c:scaling>
        <c:delete val="1"/>
        <c:axPos val="b"/>
        <c:numFmt formatCode="General" sourceLinked="1"/>
        <c:majorTickMark val="out"/>
        <c:minorTickMark val="none"/>
        <c:tickLblPos val="nextTo"/>
        <c:crossAx val="207112000"/>
        <c:crosses val="autoZero"/>
        <c:crossBetween val="midCat"/>
      </c:valAx>
      <c:valAx>
        <c:axId val="207112000"/>
        <c:scaling>
          <c:orientation val="minMax"/>
          <c:max val="1.1000000000000001"/>
          <c:min val="-1.1000000000000001"/>
        </c:scaling>
        <c:delete val="1"/>
        <c:axPos val="l"/>
        <c:numFmt formatCode="General" sourceLinked="1"/>
        <c:majorTickMark val="out"/>
        <c:minorTickMark val="none"/>
        <c:tickLblPos val="nextTo"/>
        <c:crossAx val="20711144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C0C0C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de-DE"/>
    </a:p>
  </c:txPr>
  <c:printSettings>
    <c:headerFooter/>
    <c:pageMargins b="1" l="0.75" r="0.75" t="1" header="0.5" footer="0.5"/>
    <c:pageSetup/>
  </c:printSettings>
  <c:userShapes r:id="rId1"/>
</c:chartSpace>
</file>

<file path=xl/ctrlProps/ctrlProp1.xml><?xml version="1.0" encoding="utf-8"?>
<formControlPr xmlns="http://schemas.microsoft.com/office/spreadsheetml/2009/9/main" objectType="Scroll" dx="16" fmlaLink="$C$13" horiz="1" max="360" page="10" val="120"/>
</file>

<file path=xl/ctrlProps/ctrlProp2.xml><?xml version="1.0" encoding="utf-8"?>
<formControlPr xmlns="http://schemas.microsoft.com/office/spreadsheetml/2009/9/main" objectType="Scroll" dx="16" fmlaLink="$D$13" horiz="1" max="360" page="10" val="180"/>
</file>

<file path=xl/ctrlProps/ctrlProp3.xml><?xml version="1.0" encoding="utf-8"?>
<formControlPr xmlns="http://schemas.microsoft.com/office/spreadsheetml/2009/9/main" objectType="Scroll" dx="16" fmlaLink="$E$13" horiz="1" max="360" page="10" val="70"/>
</file>

<file path=xl/ctrlProps/ctrlProp4.xml><?xml version="1.0" encoding="utf-8"?>
<formControlPr xmlns="http://schemas.microsoft.com/office/spreadsheetml/2009/9/main" objectType="Scroll" dx="16" fmlaLink="$C$14" horiz="1" max="100" page="10" val="0"/>
</file>

<file path=xl/ctrlProps/ctrlProp5.xml><?xml version="1.0" encoding="utf-8"?>
<formControlPr xmlns="http://schemas.microsoft.com/office/spreadsheetml/2009/9/main" objectType="Scroll" dx="16" fmlaLink="$D$14" horiz="1" max="100" page="10" val="0"/>
</file>

<file path=xl/ctrlProps/ctrlProp6.xml><?xml version="1.0" encoding="utf-8"?>
<formControlPr xmlns="http://schemas.microsoft.com/office/spreadsheetml/2009/9/main" objectType="Scroll" dx="16" fmlaLink="$E$14" horiz="1" max="100" page="10" val="0"/>
</file>

<file path=xl/ctrlProps/ctrlProp7.xml><?xml version="1.0" encoding="utf-8"?>
<formControlPr xmlns="http://schemas.microsoft.com/office/spreadsheetml/2009/9/main" objectType="Scroll" dx="16" fmlaLink="$C$26" horiz="1" max="100" page="10" val="0"/>
</file>

<file path=xl/ctrlProps/ctrlProp8.xml><?xml version="1.0" encoding="utf-8"?>
<formControlPr xmlns="http://schemas.microsoft.com/office/spreadsheetml/2009/9/main" objectType="Scroll" dx="16" fmlaLink="$D$26" horiz="1" max="100" page="10" val="50"/>
</file>

<file path=xl/ctrlProps/ctrlProp9.xml><?xml version="1.0" encoding="utf-8"?>
<formControlPr xmlns="http://schemas.microsoft.com/office/spreadsheetml/2009/9/main" objectType="Scroll" dx="16" fmlaLink="$E$26" horiz="1" max="100" page="10" val="50"/>
</file>

<file path=xl/ctrlProps/ctrlProp10.xml><?xml version="1.0" encoding="utf-8"?>
<formControlPr xmlns="http://schemas.microsoft.com/office/spreadsheetml/2009/9/main" objectType="CheckBox" fmlaLink="$D$23" lockText="1" noThreeD="1"/>
</file>

<file path=xl/ctrlProps/ctrlProp11.xml><?xml version="1.0" encoding="utf-8"?>
<formControlPr xmlns="http://schemas.microsoft.com/office/spreadsheetml/2009/9/main" objectType="CheckBox" checked="Checked" fmlaLink="$D$19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419100</xdr:colOff>
      <xdr:row>9</xdr:row>
      <xdr:rowOff>88900</xdr:rowOff>
    </xdr:from>
    <xdr:to>
      <xdr:col>0</xdr:col>
      <xdr:colOff>10922000</xdr:colOff>
      <xdr:row>71</xdr:row>
      <xdr:rowOff>25400</xdr:rowOff>
    </xdr:to>
    <xdr:graphicFrame macro="">
      <xdr:nvGraphicFramePr>
        <xdr:cNvPr id="44590" name="Diagramm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9525</xdr:rowOff>
        </xdr:from>
        <xdr:to>
          <xdr:col>5</xdr:col>
          <xdr:colOff>952500</xdr:colOff>
          <xdr:row>10</xdr:row>
          <xdr:rowOff>0</xdr:rowOff>
        </xdr:to>
        <xdr:sp macro="" textlink="">
          <xdr:nvSpPr>
            <xdr:cNvPr id="1069" name="Slider rot x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0</xdr:rowOff>
        </xdr:from>
        <xdr:to>
          <xdr:col>5</xdr:col>
          <xdr:colOff>952500</xdr:colOff>
          <xdr:row>10</xdr:row>
          <xdr:rowOff>190500</xdr:rowOff>
        </xdr:to>
        <xdr:sp macro="" textlink="">
          <xdr:nvSpPr>
            <xdr:cNvPr id="1070" name="Slider rot y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11</xdr:row>
          <xdr:rowOff>0</xdr:rowOff>
        </xdr:from>
        <xdr:to>
          <xdr:col>5</xdr:col>
          <xdr:colOff>952500</xdr:colOff>
          <xdr:row>11</xdr:row>
          <xdr:rowOff>190500</xdr:rowOff>
        </xdr:to>
        <xdr:sp macro="" textlink="">
          <xdr:nvSpPr>
            <xdr:cNvPr id="1071" name="Slider rot z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15</xdr:row>
          <xdr:rowOff>0</xdr:rowOff>
        </xdr:from>
        <xdr:to>
          <xdr:col>5</xdr:col>
          <xdr:colOff>952500</xdr:colOff>
          <xdr:row>15</xdr:row>
          <xdr:rowOff>190500</xdr:rowOff>
        </xdr:to>
        <xdr:sp macro="" textlink="">
          <xdr:nvSpPr>
            <xdr:cNvPr id="1072" name="Slider proj x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16</xdr:row>
          <xdr:rowOff>0</xdr:rowOff>
        </xdr:from>
        <xdr:to>
          <xdr:col>5</xdr:col>
          <xdr:colOff>952500</xdr:colOff>
          <xdr:row>16</xdr:row>
          <xdr:rowOff>190500</xdr:rowOff>
        </xdr:to>
        <xdr:sp macro="" textlink="">
          <xdr:nvSpPr>
            <xdr:cNvPr id="1073" name="Slider proj y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17</xdr:row>
          <xdr:rowOff>0</xdr:rowOff>
        </xdr:from>
        <xdr:to>
          <xdr:col>5</xdr:col>
          <xdr:colOff>952500</xdr:colOff>
          <xdr:row>17</xdr:row>
          <xdr:rowOff>190500</xdr:rowOff>
        </xdr:to>
        <xdr:sp macro="" textlink="">
          <xdr:nvSpPr>
            <xdr:cNvPr id="1074" name="Slider proj z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19</xdr:row>
          <xdr:rowOff>9525</xdr:rowOff>
        </xdr:from>
        <xdr:to>
          <xdr:col>5</xdr:col>
          <xdr:colOff>952500</xdr:colOff>
          <xdr:row>20</xdr:row>
          <xdr:rowOff>0</xdr:rowOff>
        </xdr:to>
        <xdr:sp macro="" textlink="">
          <xdr:nvSpPr>
            <xdr:cNvPr id="1125" name="Slider zoom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0</xdr:rowOff>
        </xdr:from>
        <xdr:to>
          <xdr:col>5</xdr:col>
          <xdr:colOff>952500</xdr:colOff>
          <xdr:row>20</xdr:row>
          <xdr:rowOff>190500</xdr:rowOff>
        </xdr:to>
        <xdr:sp macro="" textlink="">
          <xdr:nvSpPr>
            <xdr:cNvPr id="1126" name="Slider shift x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21</xdr:row>
          <xdr:rowOff>9525</xdr:rowOff>
        </xdr:from>
        <xdr:to>
          <xdr:col>5</xdr:col>
          <xdr:colOff>952500</xdr:colOff>
          <xdr:row>22</xdr:row>
          <xdr:rowOff>0</xdr:rowOff>
        </xdr:to>
        <xdr:sp macro="" textlink="">
          <xdr:nvSpPr>
            <xdr:cNvPr id="1128" name="Slider shift y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21</xdr:row>
          <xdr:rowOff>180975</xdr:rowOff>
        </xdr:from>
        <xdr:to>
          <xdr:col>3</xdr:col>
          <xdr:colOff>257175</xdr:colOff>
          <xdr:row>23</xdr:row>
          <xdr:rowOff>38100</xdr:rowOff>
        </xdr:to>
        <xdr:sp macro="" textlink="">
          <xdr:nvSpPr>
            <xdr:cNvPr id="1225" name="ToscaleSwitch" hidden="1">
              <a:extLst>
                <a:ext uri="{63B3BB69-23CF-44E3-9099-C40C66FF867C}">
                  <a14:compatExt spid="_x0000_s1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Geneva"/>
                </a:rPr>
                <a:t>to-scale axes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127000</xdr:colOff>
      <xdr:row>24</xdr:row>
      <xdr:rowOff>101600</xdr:rowOff>
    </xdr:from>
    <xdr:to>
      <xdr:col>1</xdr:col>
      <xdr:colOff>901700</xdr:colOff>
      <xdr:row>25</xdr:row>
      <xdr:rowOff>177800</xdr:rowOff>
    </xdr:to>
    <xdr:sp macro="[0]!RestoreView" textlink="">
      <xdr:nvSpPr>
        <xdr:cNvPr id="44103" name="AutoShape 71"/>
        <xdr:cNvSpPr>
          <a:spLocks noChangeArrowheads="1"/>
        </xdr:cNvSpPr>
      </xdr:nvSpPr>
      <xdr:spPr bwMode="auto">
        <a:xfrm>
          <a:off x="13220700" y="4635500"/>
          <a:ext cx="774700" cy="279400"/>
        </a:xfrm>
        <a:prstGeom prst="roundRect">
          <a:avLst>
            <a:gd name="adj" fmla="val 37931"/>
          </a:avLst>
        </a:prstGeom>
        <a:solidFill>
          <a:srgbClr val="7FB5F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blurRad="63500" dist="53882" dir="2700000" algn="ctr" rotWithShape="0">
            <a:srgbClr val="000000">
              <a:alpha val="74998"/>
            </a:srgbClr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l-PL" sz="1200" b="1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rPr>
            <a:t>reset view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17</xdr:row>
          <xdr:rowOff>190500</xdr:rowOff>
        </xdr:from>
        <xdr:to>
          <xdr:col>2</xdr:col>
          <xdr:colOff>904875</xdr:colOff>
          <xdr:row>19</xdr:row>
          <xdr:rowOff>0</xdr:rowOff>
        </xdr:to>
        <xdr:sp macro="" textlink="">
          <xdr:nvSpPr>
            <xdr:cNvPr id="44104" name="ZdropLines" hidden="1">
              <a:extLst>
                <a:ext uri="{63B3BB69-23CF-44E3-9099-C40C66FF867C}">
                  <a14:compatExt spid="_x0000_s4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Geneva"/>
                </a:rPr>
                <a:t>z drop lines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0.00483</cdr:x>
      <cdr:y>0.00463</cdr:y>
    </cdr:from>
    <cdr:to>
      <cdr:x>0.0338</cdr:x>
      <cdr:y>0.99537</cdr:y>
    </cdr:to>
    <cdr:sp macro="" textlink="">
      <cdr:nvSpPr>
        <cdr:cNvPr id="2049" name="Rectangle 1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50800"/>
          <a:ext cx="304610" cy="1087120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0.9662</cdr:x>
      <cdr:y>0.00463</cdr:y>
    </cdr:from>
    <cdr:to>
      <cdr:x>0.99517</cdr:x>
      <cdr:y>0.99537</cdr:y>
    </cdr:to>
    <cdr:sp macro="" textlink="">
      <cdr:nvSpPr>
        <cdr:cNvPr id="2050" name="Rectangle 2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160191" y="50800"/>
          <a:ext cx="304609" cy="1087120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0.01845</cdr:x>
      <cdr:y>0.00463</cdr:y>
    </cdr:from>
    <cdr:to>
      <cdr:x>0.99517</cdr:x>
      <cdr:y>0.03831</cdr:y>
    </cdr:to>
    <cdr:sp macro="" textlink="">
      <cdr:nvSpPr>
        <cdr:cNvPr id="2052" name="Rectangle 4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 rot="-5400000">
          <a:off x="5144586" y="-4899793"/>
          <a:ext cx="369621" cy="10270807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0.01449</cdr:x>
      <cdr:y>0.96193</cdr:y>
    </cdr:from>
    <cdr:to>
      <cdr:x>0.99393</cdr:x>
      <cdr:y>0.99537</cdr:y>
    </cdr:to>
    <cdr:sp macro="" textlink="">
      <cdr:nvSpPr>
        <cdr:cNvPr id="2053" name="Rectangle 5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 rot="-5400000">
          <a:off x="5118608" y="5588826"/>
          <a:ext cx="366903" cy="10299446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tables/table1.xml><?xml version="1.0" encoding="utf-8"?>
<table xmlns="http://schemas.openxmlformats.org/spreadsheetml/2006/main" id="1" name="scatterlist" displayName="scatterlist" ref="B32:R280" totalsRowShown="0">
  <tableColumns count="17">
    <tableColumn id="1" name="labels" dataDxfId="16"/>
    <tableColumn id="2" name="gridSize" dataDxfId="15"/>
    <tableColumn id="3" name="blockSize" dataDxfId="14"/>
    <tableColumn id="4" name="time" dataDxfId="13"/>
    <tableColumn id="5" name="4th dimension" dataDxfId="12"/>
    <tableColumn id="6" name="z drop lines" dataDxfId="11">
      <calculatedColumnFormula>D$19*(L33-R33)</calculatedColumnFormula>
    </tableColumn>
    <tableColumn id="7" name="x norm" dataDxfId="10">
      <calculatedColumnFormula>(C33-H$16)/H$17-0.5</calculatedColumnFormula>
    </tableColumn>
    <tableColumn id="8" name="y norm" dataDxfId="9">
      <calculatedColumnFormula>(D33-I$16)/I$17-0.5</calculatedColumnFormula>
    </tableColumn>
    <tableColumn id="9" name="z norm" dataDxfId="8">
      <calculatedColumnFormula>(E33-J$16)/J$17-0.5</calculatedColumnFormula>
    </tableColumn>
    <tableColumn id="10" name="xs" dataDxfId="7">
      <calculatedColumnFormula>(H33*$H$13+I33*$I$13+J33*$J$13+$D$27)*$C$27</calculatedColumnFormula>
    </tableColumn>
    <tableColumn id="11" name="ys" dataDxfId="6">
      <calculatedColumnFormula>(H33*$H$14+I33*$I$14+J33*$J$14+$E$27)*$C$27</calculatedColumnFormula>
    </tableColumn>
    <tableColumn id="12" name="_xs_cpx" dataDxfId="5">
      <calculatedColumnFormula>(H$27*$H$13+I33*$I$13+J33*$J$13+$D$27)*$C$27</calculatedColumnFormula>
    </tableColumn>
    <tableColumn id="13" name="_ys_cpx" dataDxfId="4">
      <calculatedColumnFormula>(H$27*$H$14+I33*$I$14+J33*$J$14+$E$27)*$C$27</calculatedColumnFormula>
    </tableColumn>
    <tableColumn id="14" name="_xs_cpy" dataDxfId="3">
      <calculatedColumnFormula>(H33*$H$13+I$27*$I$13+J33*$J$13+$D$27)*$C$27</calculatedColumnFormula>
    </tableColumn>
    <tableColumn id="15" name="_ys_cpy" dataDxfId="2">
      <calculatedColumnFormula>(H33*$H$14+I$27*$I$14+J33*$J$14+$E$27)*$C$27</calculatedColumnFormula>
    </tableColumn>
    <tableColumn id="16" name="_xs_cpz" dataDxfId="1">
      <calculatedColumnFormula>(H33*$H$13+I33*$I$13+J$27*$J$13+$D$27)*$C$27</calculatedColumnFormula>
    </tableColumn>
    <tableColumn id="17" name="_ys_cpz" dataDxfId="0">
      <calculatedColumnFormula>(H33*$H$14+I33*$I$14+J$27*$J$14+$E$27)*$C$27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AJ2023"/>
  <sheetViews>
    <sheetView tabSelected="1" topLeftCell="A13" zoomScale="85" zoomScaleNormal="85" workbookViewId="0">
      <selection activeCell="E33" sqref="E33:E280"/>
    </sheetView>
  </sheetViews>
  <sheetFormatPr baseColWidth="10" defaultRowHeight="12.75"/>
  <cols>
    <col min="1" max="1" width="147.25" style="80" customWidth="1"/>
    <col min="6" max="6" width="13.25" style="5" customWidth="1"/>
    <col min="7" max="7" width="20.75" style="5" customWidth="1"/>
    <col min="9" max="9" width="12.75" customWidth="1"/>
    <col min="10" max="10" width="12" customWidth="1"/>
    <col min="18" max="18" width="9.625" customWidth="1"/>
    <col min="19" max="21" width="10.75" style="10"/>
  </cols>
  <sheetData>
    <row r="1" spans="2:36">
      <c r="F1"/>
      <c r="G1" s="1"/>
      <c r="H1" s="14"/>
    </row>
    <row r="2" spans="2:36">
      <c r="F2"/>
      <c r="G2" s="1"/>
      <c r="H2" s="14"/>
    </row>
    <row r="3" spans="2:36">
      <c r="F3"/>
      <c r="G3" s="1"/>
      <c r="H3" s="14"/>
    </row>
    <row r="4" spans="2:36">
      <c r="B4" s="79"/>
      <c r="G4" s="1"/>
      <c r="H4" s="14"/>
      <c r="P4" s="10"/>
      <c r="Q4" s="10"/>
      <c r="R4" s="10"/>
      <c r="S4"/>
      <c r="T4"/>
      <c r="U4"/>
      <c r="V4" s="10"/>
      <c r="W4" s="10"/>
      <c r="X4" s="10"/>
    </row>
    <row r="5" spans="2:36">
      <c r="F5"/>
      <c r="G5" s="1"/>
      <c r="H5" s="14"/>
      <c r="P5" s="10"/>
      <c r="Q5" s="10"/>
      <c r="R5" s="10"/>
      <c r="S5"/>
      <c r="T5"/>
      <c r="U5"/>
      <c r="V5" s="17"/>
      <c r="W5" s="17"/>
      <c r="X5" s="11"/>
      <c r="Y5" s="17"/>
      <c r="Z5" s="17"/>
      <c r="AA5" s="11"/>
      <c r="AB5" s="11"/>
      <c r="AC5" s="11"/>
    </row>
    <row r="6" spans="2:36">
      <c r="F6"/>
      <c r="G6" s="1"/>
      <c r="H6" s="14"/>
      <c r="P6" s="10"/>
      <c r="Q6" s="10"/>
      <c r="R6" s="10"/>
      <c r="S6" s="2" t="s">
        <v>64</v>
      </c>
      <c r="T6" t="s">
        <v>75</v>
      </c>
      <c r="U6" t="s">
        <v>76</v>
      </c>
      <c r="V6" s="10"/>
      <c r="W6" s="10"/>
      <c r="X6" s="10"/>
    </row>
    <row r="7" spans="2:36">
      <c r="F7"/>
      <c r="G7" s="1"/>
      <c r="P7" s="10"/>
      <c r="Q7" s="10"/>
      <c r="R7" s="10"/>
      <c r="S7"/>
      <c r="T7" t="s">
        <v>79</v>
      </c>
      <c r="U7" t="s">
        <v>80</v>
      </c>
      <c r="V7" s="10"/>
      <c r="W7" s="10"/>
    </row>
    <row r="8" spans="2:36">
      <c r="F8"/>
      <c r="G8" s="26" t="s">
        <v>14</v>
      </c>
      <c r="H8" s="44">
        <f t="array" ref="H8">1+MAX(IF(H33:H65776&lt;&gt;0,ROW(H33:H65776),0))-ROW(H33)</f>
        <v>248</v>
      </c>
      <c r="I8" s="45" t="s">
        <v>5</v>
      </c>
      <c r="J8" s="6"/>
      <c r="K8" s="19" t="s">
        <v>63</v>
      </c>
      <c r="L8" s="6"/>
      <c r="M8" s="6"/>
      <c r="N8" s="20" t="s">
        <v>53</v>
      </c>
      <c r="O8" s="7"/>
      <c r="P8" s="10"/>
      <c r="Q8" s="10"/>
      <c r="R8" s="10"/>
      <c r="S8" s="3" t="s">
        <v>65</v>
      </c>
      <c r="T8" t="s">
        <v>11</v>
      </c>
      <c r="U8" t="s">
        <v>12</v>
      </c>
      <c r="V8" s="36" t="s">
        <v>73</v>
      </c>
      <c r="W8" s="37" t="s">
        <v>74</v>
      </c>
      <c r="X8" s="37" t="s">
        <v>66</v>
      </c>
      <c r="Y8" s="37" t="s">
        <v>67</v>
      </c>
      <c r="Z8" s="38" t="s">
        <v>68</v>
      </c>
      <c r="AA8" s="36" t="s">
        <v>77</v>
      </c>
      <c r="AB8" s="37" t="s">
        <v>78</v>
      </c>
      <c r="AC8" s="37" t="s">
        <v>81</v>
      </c>
      <c r="AD8" s="37" t="s">
        <v>69</v>
      </c>
      <c r="AE8" s="38" t="s">
        <v>70</v>
      </c>
      <c r="AF8" s="36" t="s">
        <v>8</v>
      </c>
      <c r="AG8" s="37" t="s">
        <v>7</v>
      </c>
      <c r="AH8" s="37" t="s">
        <v>6</v>
      </c>
      <c r="AI8" s="12" t="s">
        <v>71</v>
      </c>
      <c r="AJ8" s="13" t="s">
        <v>72</v>
      </c>
    </row>
    <row r="9" spans="2:36">
      <c r="F9"/>
      <c r="G9" s="1"/>
      <c r="H9" s="39"/>
      <c r="I9" s="39"/>
      <c r="J9" s="39"/>
      <c r="K9" s="61" t="s">
        <v>35</v>
      </c>
      <c r="L9" s="62" t="s">
        <v>36</v>
      </c>
      <c r="M9" s="62" t="s">
        <v>37</v>
      </c>
      <c r="N9" s="5" t="s">
        <v>9</v>
      </c>
      <c r="O9" s="4" t="s">
        <v>10</v>
      </c>
      <c r="P9" s="10"/>
      <c r="Q9" s="10"/>
      <c r="R9" s="10"/>
      <c r="S9" s="66">
        <v>0</v>
      </c>
      <c r="T9" s="67">
        <v>0.5</v>
      </c>
      <c r="U9" s="68">
        <v>-0.5</v>
      </c>
      <c r="V9" s="39">
        <f t="shared" ref="V9:V29" si="0">IF($S9&gt;H$23,H$23,$S9)</f>
        <v>0</v>
      </c>
      <c r="W9" s="39">
        <f t="shared" ref="W9:W29" si="1">H$24+V9*H$25</f>
        <v>-0.4</v>
      </c>
      <c r="X9" s="40"/>
      <c r="Y9" s="40">
        <f t="shared" ref="Y9:Y29" si="2">(W9*$H$13+T9*$I$13+U9*$J$13+$D$27)*$C$27</f>
        <v>0.60665436772322157</v>
      </c>
      <c r="Z9" s="41">
        <f t="shared" ref="Z9:Z29" si="3">(W9*$H$14+T9*$I$14+U9*$J$14+$E$27)*$C$27</f>
        <v>-0.33057921356645503</v>
      </c>
      <c r="AA9" s="39">
        <f t="shared" ref="AA9:AA29" si="4">IF($S9&gt;I$23,I$23,$S9)</f>
        <v>0</v>
      </c>
      <c r="AB9" s="39">
        <f t="shared" ref="AB9:AB29" si="5">I$24+AA9*I$25</f>
        <v>-0.33064516129032262</v>
      </c>
      <c r="AC9" s="40"/>
      <c r="AD9" s="40">
        <f t="shared" ref="AD9:AD29" si="6">(T9*$H$13+AB9*$I$13+U9*$J$13+$D$27)*$C$27</f>
        <v>-0.48171488982591709</v>
      </c>
      <c r="AE9" s="41">
        <f t="shared" ref="AE9:AE29" si="7">(T9*$H$14+AB9*$I$14+U9*$J$14+$E$27)*$C$27</f>
        <v>-0.61139220436146879</v>
      </c>
      <c r="AF9" s="39">
        <f t="shared" ref="AF9:AF29" si="8">IF($S9&gt;J$23,J$23,$S9)</f>
        <v>0</v>
      </c>
      <c r="AG9" s="39">
        <f t="shared" ref="AG9:AG29" si="9">J$24+AF9*J$25</f>
        <v>-0.36326815799381773</v>
      </c>
      <c r="AH9" s="39"/>
      <c r="AI9" s="40">
        <f t="shared" ref="AI9:AI29" si="10">(U9*$H$13+T9*$I$13+AG9*$J$13+$D$27)*$C$27</f>
        <v>0.64085638205578854</v>
      </c>
      <c r="AJ9" s="41">
        <f t="shared" ref="AJ9:AJ29" si="11">(U9*$H$14+T9*$I$14+AG9*$J$14+$E$27)*$C$27</f>
        <v>-0.16518133384356554</v>
      </c>
    </row>
    <row r="10" spans="2:36" ht="15.95" customHeight="1">
      <c r="B10" t="s">
        <v>44</v>
      </c>
      <c r="F10"/>
      <c r="G10" s="2" t="s">
        <v>25</v>
      </c>
      <c r="H10" s="39"/>
      <c r="I10" s="39"/>
      <c r="J10" s="39"/>
      <c r="K10" s="57">
        <v>0.5</v>
      </c>
      <c r="L10" s="63">
        <v>-0.5</v>
      </c>
      <c r="M10" s="63">
        <v>-0.5</v>
      </c>
      <c r="N10" s="50">
        <f t="shared" ref="N10:N20" si="12">(K10*$H$13+L10*$I$13+M10*$J$13+$D$27)*$C$27</f>
        <v>-0.64085638205578865</v>
      </c>
      <c r="O10" s="51">
        <f t="shared" ref="O10:O20" si="13">(K10*$H$14+L10*$I$14+M10*$J$14+$E$27)*$C$27</f>
        <v>-0.58243082125727907</v>
      </c>
      <c r="P10" s="15"/>
      <c r="Q10" s="15"/>
      <c r="R10" s="15"/>
      <c r="S10" s="69">
        <v>0</v>
      </c>
      <c r="T10" s="70">
        <v>0.6</v>
      </c>
      <c r="U10" s="71">
        <v>-0.5</v>
      </c>
      <c r="V10" s="39">
        <f t="shared" si="0"/>
        <v>0</v>
      </c>
      <c r="W10" s="39">
        <f t="shared" si="1"/>
        <v>-0.4</v>
      </c>
      <c r="X10" s="40">
        <f>H$22+V10*H$21</f>
        <v>4</v>
      </c>
      <c r="Y10" s="40">
        <f t="shared" si="2"/>
        <v>0.70062362980181248</v>
      </c>
      <c r="Z10" s="41">
        <f t="shared" si="3"/>
        <v>-0.34768022073273847</v>
      </c>
      <c r="AA10" s="39">
        <f t="shared" si="4"/>
        <v>0</v>
      </c>
      <c r="AB10" s="39">
        <f t="shared" si="5"/>
        <v>-0.33064516129032262</v>
      </c>
      <c r="AC10" s="40">
        <f>I$22+AA10*I$21</f>
        <v>200</v>
      </c>
      <c r="AD10" s="40">
        <f t="shared" si="6"/>
        <v>-0.51591690415848401</v>
      </c>
      <c r="AE10" s="41">
        <f t="shared" si="7"/>
        <v>-0.65837683540076419</v>
      </c>
      <c r="AF10" s="39">
        <f t="shared" si="8"/>
        <v>0</v>
      </c>
      <c r="AG10" s="39">
        <f t="shared" si="9"/>
        <v>-0.36326815799381773</v>
      </c>
      <c r="AH10" s="39">
        <f>J$22+AF10*J$21</f>
        <v>1</v>
      </c>
      <c r="AI10" s="40">
        <f t="shared" si="10"/>
        <v>0.73482564413437945</v>
      </c>
      <c r="AJ10" s="41">
        <f t="shared" si="11"/>
        <v>-0.18228234100984897</v>
      </c>
    </row>
    <row r="11" spans="2:36" ht="15.95" customHeight="1">
      <c r="B11" t="s">
        <v>45</v>
      </c>
      <c r="F11"/>
      <c r="G11" s="1" t="s">
        <v>40</v>
      </c>
      <c r="H11" s="46">
        <f>SIN(RADIANS(C13))</f>
        <v>0.86602540378443871</v>
      </c>
      <c r="I11" s="45">
        <f>SIN(RADIANS(D13))</f>
        <v>1.22514845490862E-16</v>
      </c>
      <c r="J11" s="47">
        <f>SIN(RADIANS(E13))</f>
        <v>0.93969262078590832</v>
      </c>
      <c r="K11" s="57">
        <v>-0.5</v>
      </c>
      <c r="L11" s="63">
        <v>-0.5</v>
      </c>
      <c r="M11" s="63">
        <v>-0.5</v>
      </c>
      <c r="N11" s="50">
        <f t="shared" si="12"/>
        <v>-0.29883623873011983</v>
      </c>
      <c r="O11" s="51">
        <f t="shared" si="13"/>
        <v>-0.11258451086432519</v>
      </c>
      <c r="P11" s="15"/>
      <c r="Q11" s="15"/>
      <c r="R11" s="15"/>
      <c r="S11" s="69">
        <v>0</v>
      </c>
      <c r="T11" s="70">
        <v>0.5</v>
      </c>
      <c r="U11" s="71">
        <v>-0.5</v>
      </c>
      <c r="V11" s="39">
        <f t="shared" si="0"/>
        <v>0</v>
      </c>
      <c r="W11" s="39">
        <f t="shared" si="1"/>
        <v>-0.4</v>
      </c>
      <c r="X11" s="40"/>
      <c r="Y11" s="40">
        <f t="shared" si="2"/>
        <v>0.60665436772322157</v>
      </c>
      <c r="Z11" s="41">
        <f t="shared" si="3"/>
        <v>-0.33057921356645503</v>
      </c>
      <c r="AA11" s="39">
        <f t="shared" si="4"/>
        <v>0</v>
      </c>
      <c r="AB11" s="39">
        <f t="shared" si="5"/>
        <v>-0.33064516129032262</v>
      </c>
      <c r="AC11" s="40"/>
      <c r="AD11" s="40">
        <f t="shared" si="6"/>
        <v>-0.48171488982591709</v>
      </c>
      <c r="AE11" s="41">
        <f t="shared" si="7"/>
        <v>-0.61139220436146879</v>
      </c>
      <c r="AF11" s="39">
        <f t="shared" si="8"/>
        <v>0</v>
      </c>
      <c r="AG11" s="39">
        <f t="shared" si="9"/>
        <v>-0.36326815799381773</v>
      </c>
      <c r="AH11" s="39"/>
      <c r="AI11" s="40">
        <f t="shared" si="10"/>
        <v>0.64085638205578854</v>
      </c>
      <c r="AJ11" s="41">
        <f t="shared" si="11"/>
        <v>-0.16518133384356554</v>
      </c>
    </row>
    <row r="12" spans="2:36" ht="15.95" customHeight="1">
      <c r="B12" t="s">
        <v>46</v>
      </c>
      <c r="F12"/>
      <c r="G12" s="1" t="s">
        <v>41</v>
      </c>
      <c r="H12" s="48">
        <f>COS(RADIANS(C13))</f>
        <v>-0.49999999999999978</v>
      </c>
      <c r="I12" s="42">
        <f>COS(RADIANS(D13))</f>
        <v>-1</v>
      </c>
      <c r="J12" s="43">
        <f>COS(RADIANS(E13))</f>
        <v>0.34202014332566882</v>
      </c>
      <c r="K12" s="57">
        <v>-0.5</v>
      </c>
      <c r="L12" s="63">
        <v>-0.5</v>
      </c>
      <c r="M12" s="63">
        <v>0.5</v>
      </c>
      <c r="N12" s="50">
        <f t="shared" si="12"/>
        <v>-0.29883623873011972</v>
      </c>
      <c r="O12" s="51">
        <f t="shared" si="13"/>
        <v>0.75344089292011351</v>
      </c>
      <c r="P12" s="15"/>
      <c r="Q12" s="15"/>
      <c r="R12" s="15"/>
      <c r="S12" s="69">
        <v>1</v>
      </c>
      <c r="T12" s="70">
        <v>0.5</v>
      </c>
      <c r="U12" s="71">
        <v>-0.5</v>
      </c>
      <c r="V12" s="39">
        <f t="shared" si="0"/>
        <v>1</v>
      </c>
      <c r="W12" s="39">
        <f t="shared" si="1"/>
        <v>-0.2</v>
      </c>
      <c r="X12" s="40"/>
      <c r="Y12" s="40">
        <f t="shared" si="2"/>
        <v>0.53825033905808783</v>
      </c>
      <c r="Z12" s="41">
        <f t="shared" si="3"/>
        <v>-0.42454847564504578</v>
      </c>
      <c r="AA12" s="39">
        <f t="shared" si="4"/>
        <v>1</v>
      </c>
      <c r="AB12" s="39">
        <f t="shared" si="5"/>
        <v>-0.12903225806451618</v>
      </c>
      <c r="AC12" s="40"/>
      <c r="AD12" s="40">
        <f t="shared" si="6"/>
        <v>-0.29226073240940331</v>
      </c>
      <c r="AE12" s="41">
        <f t="shared" si="7"/>
        <v>-0.64587004139026605</v>
      </c>
      <c r="AF12" s="39">
        <f t="shared" si="8"/>
        <v>1</v>
      </c>
      <c r="AG12" s="39">
        <f t="shared" si="9"/>
        <v>-0.14295963352998811</v>
      </c>
      <c r="AH12" s="39"/>
      <c r="AI12" s="40">
        <f t="shared" si="10"/>
        <v>0.64085638205578854</v>
      </c>
      <c r="AJ12" s="41">
        <f t="shared" si="11"/>
        <v>2.5611445012376388E-2</v>
      </c>
    </row>
    <row r="13" spans="2:36" ht="15.95" customHeight="1">
      <c r="B13" t="s">
        <v>50</v>
      </c>
      <c r="C13" s="27">
        <v>120</v>
      </c>
      <c r="D13" s="28">
        <v>180</v>
      </c>
      <c r="E13" s="21">
        <v>70</v>
      </c>
      <c r="F13"/>
      <c r="G13" s="1" t="s">
        <v>42</v>
      </c>
      <c r="H13" s="39">
        <f>I12*J12*H18</f>
        <v>-0.34202014332566882</v>
      </c>
      <c r="I13" s="39">
        <f>-J11*I12*I18</f>
        <v>0.93969262078590832</v>
      </c>
      <c r="J13" s="39">
        <f>I11*J18</f>
        <v>1.22514845490862E-16</v>
      </c>
      <c r="K13" s="57">
        <v>0.5</v>
      </c>
      <c r="L13" s="63">
        <v>-0.5</v>
      </c>
      <c r="M13" s="63">
        <v>0.5</v>
      </c>
      <c r="N13" s="50">
        <f t="shared" si="12"/>
        <v>-0.64085638205578843</v>
      </c>
      <c r="O13" s="51">
        <f t="shared" si="13"/>
        <v>0.28359458252715963</v>
      </c>
      <c r="P13" s="15"/>
      <c r="Q13" s="15"/>
      <c r="R13" s="15"/>
      <c r="S13" s="69">
        <v>1</v>
      </c>
      <c r="T13" s="70">
        <v>0.6</v>
      </c>
      <c r="U13" s="71">
        <v>-0.5</v>
      </c>
      <c r="V13" s="39">
        <f t="shared" si="0"/>
        <v>1</v>
      </c>
      <c r="W13" s="39">
        <f t="shared" si="1"/>
        <v>-0.2</v>
      </c>
      <c r="X13" s="40">
        <f>H$22+V13*H$21</f>
        <v>8</v>
      </c>
      <c r="Y13" s="40">
        <f t="shared" si="2"/>
        <v>0.63221960113667863</v>
      </c>
      <c r="Z13" s="41">
        <f t="shared" si="3"/>
        <v>-0.44164948281132921</v>
      </c>
      <c r="AA13" s="39">
        <f t="shared" si="4"/>
        <v>1</v>
      </c>
      <c r="AB13" s="39">
        <f t="shared" si="5"/>
        <v>-0.12903225806451618</v>
      </c>
      <c r="AC13" s="40">
        <f>I$22+AA13*I$21</f>
        <v>400</v>
      </c>
      <c r="AD13" s="40">
        <f t="shared" si="6"/>
        <v>-0.32646274674197018</v>
      </c>
      <c r="AE13" s="41">
        <f t="shared" si="7"/>
        <v>-0.69285467242956145</v>
      </c>
      <c r="AF13" s="39">
        <f t="shared" si="8"/>
        <v>1</v>
      </c>
      <c r="AG13" s="39">
        <f t="shared" si="9"/>
        <v>-0.14295963352998811</v>
      </c>
      <c r="AH13" s="39">
        <f>J$22+AF13*J$21</f>
        <v>1.5</v>
      </c>
      <c r="AI13" s="40">
        <f t="shared" si="10"/>
        <v>0.73482564413437945</v>
      </c>
      <c r="AJ13" s="41">
        <f t="shared" si="11"/>
        <v>8.5104378460929553E-3</v>
      </c>
    </row>
    <row r="14" spans="2:36" ht="15.95" customHeight="1">
      <c r="B14" t="s">
        <v>51</v>
      </c>
      <c r="C14" s="29">
        <v>0</v>
      </c>
      <c r="D14" s="30">
        <v>0</v>
      </c>
      <c r="E14" s="23">
        <v>0</v>
      </c>
      <c r="G14" s="1" t="s">
        <v>43</v>
      </c>
      <c r="H14" s="39">
        <f>(J12*I11*H11+J11*H12)*H18</f>
        <v>-0.46984631039295388</v>
      </c>
      <c r="I14" s="39">
        <f>(-J11*I11*H11+J12*H12)*I18</f>
        <v>-0.17101007166283444</v>
      </c>
      <c r="J14" s="39">
        <f>-I12*H11*J18</f>
        <v>0.86602540378443871</v>
      </c>
      <c r="K14" s="57">
        <v>0.5</v>
      </c>
      <c r="L14" s="63">
        <v>-0.5</v>
      </c>
      <c r="M14" s="63">
        <v>-0.5</v>
      </c>
      <c r="N14" s="50">
        <f t="shared" si="12"/>
        <v>-0.64085638205578865</v>
      </c>
      <c r="O14" s="51">
        <f t="shared" si="13"/>
        <v>-0.58243082125727907</v>
      </c>
      <c r="P14" s="15"/>
      <c r="Q14" s="15"/>
      <c r="R14" s="15"/>
      <c r="S14" s="69">
        <v>1</v>
      </c>
      <c r="T14" s="70">
        <v>0.5</v>
      </c>
      <c r="U14" s="71">
        <v>-0.5</v>
      </c>
      <c r="V14" s="39">
        <f t="shared" si="0"/>
        <v>1</v>
      </c>
      <c r="W14" s="39">
        <f t="shared" si="1"/>
        <v>-0.2</v>
      </c>
      <c r="X14" s="40"/>
      <c r="Y14" s="40">
        <f t="shared" si="2"/>
        <v>0.53825033905808783</v>
      </c>
      <c r="Z14" s="41">
        <f t="shared" si="3"/>
        <v>-0.42454847564504578</v>
      </c>
      <c r="AA14" s="39">
        <f t="shared" si="4"/>
        <v>1</v>
      </c>
      <c r="AB14" s="39">
        <f t="shared" si="5"/>
        <v>-0.12903225806451618</v>
      </c>
      <c r="AC14" s="40"/>
      <c r="AD14" s="40">
        <f t="shared" si="6"/>
        <v>-0.29226073240940331</v>
      </c>
      <c r="AE14" s="41">
        <f t="shared" si="7"/>
        <v>-0.64587004139026605</v>
      </c>
      <c r="AF14" s="39">
        <f t="shared" si="8"/>
        <v>1</v>
      </c>
      <c r="AG14" s="39">
        <f t="shared" si="9"/>
        <v>-0.14295963352998811</v>
      </c>
      <c r="AH14" s="39"/>
      <c r="AI14" s="40">
        <f t="shared" si="10"/>
        <v>0.64085638205578854</v>
      </c>
      <c r="AJ14" s="41">
        <f t="shared" si="11"/>
        <v>2.5611445012376388E-2</v>
      </c>
    </row>
    <row r="15" spans="2:36" ht="15.95" customHeight="1">
      <c r="G15" s="2" t="s">
        <v>13</v>
      </c>
      <c r="H15" s="39"/>
      <c r="I15" s="39"/>
      <c r="J15" s="39"/>
      <c r="K15" s="57">
        <v>0.5</v>
      </c>
      <c r="L15" s="63">
        <v>0.5</v>
      </c>
      <c r="M15" s="63">
        <v>-0.5</v>
      </c>
      <c r="N15" s="50">
        <f t="shared" si="12"/>
        <v>0.29883623873011972</v>
      </c>
      <c r="O15" s="51">
        <f t="shared" si="13"/>
        <v>-0.75344089292011351</v>
      </c>
      <c r="P15" s="15"/>
      <c r="Q15" s="15"/>
      <c r="R15" s="15"/>
      <c r="S15" s="69">
        <v>2</v>
      </c>
      <c r="T15" s="70">
        <v>0.5</v>
      </c>
      <c r="U15" s="71">
        <v>-0.5</v>
      </c>
      <c r="V15" s="39">
        <f t="shared" si="0"/>
        <v>2</v>
      </c>
      <c r="W15" s="39">
        <f t="shared" si="1"/>
        <v>0</v>
      </c>
      <c r="X15" s="40"/>
      <c r="Y15" s="40">
        <f t="shared" si="2"/>
        <v>0.4698463103929541</v>
      </c>
      <c r="Z15" s="41">
        <f t="shared" si="3"/>
        <v>-0.51851773772363652</v>
      </c>
      <c r="AA15" s="39">
        <f t="shared" si="4"/>
        <v>2</v>
      </c>
      <c r="AB15" s="39">
        <f t="shared" si="5"/>
        <v>7.2580645161290258E-2</v>
      </c>
      <c r="AC15" s="40"/>
      <c r="AD15" s="40">
        <f t="shared" si="6"/>
        <v>-0.10280657499288957</v>
      </c>
      <c r="AE15" s="41">
        <f t="shared" si="7"/>
        <v>-0.6803478784190633</v>
      </c>
      <c r="AF15" s="39">
        <f t="shared" si="8"/>
        <v>2</v>
      </c>
      <c r="AG15" s="39">
        <f t="shared" si="9"/>
        <v>7.7348890933841508E-2</v>
      </c>
      <c r="AH15" s="39"/>
      <c r="AI15" s="40">
        <f t="shared" si="10"/>
        <v>0.64085638205578854</v>
      </c>
      <c r="AJ15" s="41">
        <f t="shared" si="11"/>
        <v>0.21640422386831831</v>
      </c>
    </row>
    <row r="16" spans="2:36" ht="15.95" customHeight="1">
      <c r="B16" t="s">
        <v>47</v>
      </c>
      <c r="F16"/>
      <c r="G16" s="1" t="s">
        <v>38</v>
      </c>
      <c r="H16" s="82">
        <f>MIN(C33:C280)</f>
        <v>2</v>
      </c>
      <c r="I16" s="82">
        <f>MIN(D33:D280)</f>
        <v>32</v>
      </c>
      <c r="J16" s="82">
        <f>MIN(E33:E280)</f>
        <v>0.68968099999999999</v>
      </c>
      <c r="K16" s="57">
        <v>-0.5</v>
      </c>
      <c r="L16" s="63">
        <v>0.5</v>
      </c>
      <c r="M16" s="63">
        <v>-0.5</v>
      </c>
      <c r="N16" s="50">
        <f t="shared" si="12"/>
        <v>0.64085638205578843</v>
      </c>
      <c r="O16" s="51">
        <f t="shared" si="13"/>
        <v>-0.28359458252715963</v>
      </c>
      <c r="P16" s="15"/>
      <c r="Q16" s="15"/>
      <c r="R16" s="15"/>
      <c r="S16" s="69">
        <v>2</v>
      </c>
      <c r="T16" s="70">
        <v>0.6</v>
      </c>
      <c r="U16" s="71">
        <v>-0.5</v>
      </c>
      <c r="V16" s="39">
        <f t="shared" si="0"/>
        <v>2</v>
      </c>
      <c r="W16" s="39">
        <f t="shared" si="1"/>
        <v>0</v>
      </c>
      <c r="X16" s="40">
        <f>H$22+V16*H$21</f>
        <v>12</v>
      </c>
      <c r="Y16" s="40">
        <f t="shared" si="2"/>
        <v>0.5638155724715449</v>
      </c>
      <c r="Z16" s="41">
        <f t="shared" si="3"/>
        <v>-0.53561874488992001</v>
      </c>
      <c r="AA16" s="39">
        <f t="shared" si="4"/>
        <v>2</v>
      </c>
      <c r="AB16" s="39">
        <f t="shared" si="5"/>
        <v>7.2580645161290258E-2</v>
      </c>
      <c r="AC16" s="40">
        <f>I$22+AA16*I$21</f>
        <v>600</v>
      </c>
      <c r="AD16" s="40">
        <f t="shared" si="6"/>
        <v>-0.13700858932545645</v>
      </c>
      <c r="AE16" s="41">
        <f t="shared" si="7"/>
        <v>-0.7273325094583587</v>
      </c>
      <c r="AF16" s="39">
        <f t="shared" si="8"/>
        <v>2</v>
      </c>
      <c r="AG16" s="39">
        <f t="shared" si="9"/>
        <v>7.7348890933841508E-2</v>
      </c>
      <c r="AH16" s="39">
        <f>J$22+AF16*J$21</f>
        <v>2</v>
      </c>
      <c r="AI16" s="40">
        <f t="shared" si="10"/>
        <v>0.73482564413437945</v>
      </c>
      <c r="AJ16" s="41">
        <f t="shared" si="11"/>
        <v>0.19930321670203488</v>
      </c>
    </row>
    <row r="17" spans="2:36" ht="15.95" customHeight="1">
      <c r="B17" t="s">
        <v>48</v>
      </c>
      <c r="F17"/>
      <c r="G17" s="1" t="s">
        <v>39</v>
      </c>
      <c r="H17" s="82">
        <f>MAX(C33:C280)-H16</f>
        <v>126</v>
      </c>
      <c r="I17" s="82">
        <f>MAX(D33:D280)-I16</f>
        <v>992</v>
      </c>
      <c r="J17" s="82">
        <f>MAX(E33:E280)-J16</f>
        <v>2.2695445000000003</v>
      </c>
      <c r="K17" s="57">
        <v>-0.5</v>
      </c>
      <c r="L17" s="63">
        <v>0.5</v>
      </c>
      <c r="M17" s="63">
        <v>0.5</v>
      </c>
      <c r="N17" s="50">
        <f t="shared" si="12"/>
        <v>0.64085638205578865</v>
      </c>
      <c r="O17" s="51">
        <f t="shared" si="13"/>
        <v>0.58243082125727907</v>
      </c>
      <c r="P17" s="15"/>
      <c r="Q17" s="15"/>
      <c r="R17" s="15"/>
      <c r="S17" s="69">
        <v>2</v>
      </c>
      <c r="T17" s="70">
        <v>0.5</v>
      </c>
      <c r="U17" s="71">
        <v>-0.5</v>
      </c>
      <c r="V17" s="39">
        <f t="shared" si="0"/>
        <v>2</v>
      </c>
      <c r="W17" s="39">
        <f t="shared" si="1"/>
        <v>0</v>
      </c>
      <c r="X17" s="40"/>
      <c r="Y17" s="40">
        <f t="shared" si="2"/>
        <v>0.4698463103929541</v>
      </c>
      <c r="Z17" s="41">
        <f t="shared" si="3"/>
        <v>-0.51851773772363652</v>
      </c>
      <c r="AA17" s="39">
        <f t="shared" si="4"/>
        <v>2</v>
      </c>
      <c r="AB17" s="39">
        <f t="shared" si="5"/>
        <v>7.2580645161290258E-2</v>
      </c>
      <c r="AC17" s="40"/>
      <c r="AD17" s="40">
        <f t="shared" si="6"/>
        <v>-0.10280657499288957</v>
      </c>
      <c r="AE17" s="41">
        <f t="shared" si="7"/>
        <v>-0.6803478784190633</v>
      </c>
      <c r="AF17" s="39">
        <f t="shared" si="8"/>
        <v>2</v>
      </c>
      <c r="AG17" s="39">
        <f t="shared" si="9"/>
        <v>7.7348890933841508E-2</v>
      </c>
      <c r="AH17" s="39"/>
      <c r="AI17" s="40">
        <f t="shared" si="10"/>
        <v>0.64085638205578854</v>
      </c>
      <c r="AJ17" s="41">
        <f t="shared" si="11"/>
        <v>0.21640422386831831</v>
      </c>
    </row>
    <row r="18" spans="2:36" ht="15.95" customHeight="1">
      <c r="B18" t="s">
        <v>49</v>
      </c>
      <c r="F18"/>
      <c r="G18" s="1" t="s">
        <v>24</v>
      </c>
      <c r="H18" s="49">
        <f>IF(D23,H17/MAX($H17:$J17),1)</f>
        <v>1</v>
      </c>
      <c r="I18" s="49">
        <f>IF(D23,I17/MAX($H17:$J17),1)</f>
        <v>1</v>
      </c>
      <c r="J18" s="49">
        <f>IF(D23,J17/MAX($H17:$J17),1)</f>
        <v>1</v>
      </c>
      <c r="K18" s="57">
        <v>-0.5</v>
      </c>
      <c r="L18" s="63">
        <v>-0.5</v>
      </c>
      <c r="M18" s="63">
        <v>0.5</v>
      </c>
      <c r="N18" s="50">
        <f t="shared" si="12"/>
        <v>-0.29883623873011972</v>
      </c>
      <c r="O18" s="51">
        <f t="shared" si="13"/>
        <v>0.75344089292011351</v>
      </c>
      <c r="P18" s="15"/>
      <c r="Q18" s="15"/>
      <c r="R18" s="15"/>
      <c r="S18" s="69">
        <v>3</v>
      </c>
      <c r="T18" s="70">
        <v>0.5</v>
      </c>
      <c r="U18" s="71">
        <v>-0.5</v>
      </c>
      <c r="V18" s="39">
        <f t="shared" si="0"/>
        <v>3</v>
      </c>
      <c r="W18" s="39">
        <f t="shared" si="1"/>
        <v>0.20000000000000007</v>
      </c>
      <c r="X18" s="40"/>
      <c r="Y18" s="40">
        <f t="shared" si="2"/>
        <v>0.40144228172782032</v>
      </c>
      <c r="Z18" s="41">
        <f t="shared" si="3"/>
        <v>-0.61248699980222732</v>
      </c>
      <c r="AA18" s="39">
        <f t="shared" si="4"/>
        <v>3</v>
      </c>
      <c r="AB18" s="39">
        <f t="shared" si="5"/>
        <v>0.27419354838709664</v>
      </c>
      <c r="AC18" s="40"/>
      <c r="AD18" s="40">
        <f t="shared" si="6"/>
        <v>8.6647582423624164E-2</v>
      </c>
      <c r="AE18" s="41">
        <f t="shared" si="7"/>
        <v>-0.71482571544786055</v>
      </c>
      <c r="AF18" s="39">
        <f t="shared" si="8"/>
        <v>3</v>
      </c>
      <c r="AG18" s="39">
        <f t="shared" si="9"/>
        <v>0.2976574153976711</v>
      </c>
      <c r="AH18" s="39"/>
      <c r="AI18" s="40">
        <f t="shared" si="10"/>
        <v>0.64085638205578854</v>
      </c>
      <c r="AJ18" s="41">
        <f t="shared" si="11"/>
        <v>0.40719700272426024</v>
      </c>
    </row>
    <row r="19" spans="2:36" ht="15.95" customHeight="1">
      <c r="B19" s="32"/>
      <c r="D19" t="b">
        <v>1</v>
      </c>
      <c r="F19"/>
      <c r="G19" s="2" t="s">
        <v>62</v>
      </c>
      <c r="H19" s="39"/>
      <c r="I19" s="39"/>
      <c r="J19" s="39"/>
      <c r="K19" s="57">
        <v>-0.5</v>
      </c>
      <c r="L19" s="63">
        <v>-0.5</v>
      </c>
      <c r="M19" s="63">
        <v>-0.5</v>
      </c>
      <c r="N19" s="50">
        <f t="shared" si="12"/>
        <v>-0.29883623873011983</v>
      </c>
      <c r="O19" s="51">
        <f t="shared" si="13"/>
        <v>-0.11258451086432519</v>
      </c>
      <c r="P19" s="15"/>
      <c r="Q19" s="15"/>
      <c r="R19" s="15"/>
      <c r="S19" s="69">
        <v>3</v>
      </c>
      <c r="T19" s="70">
        <v>0.6</v>
      </c>
      <c r="U19" s="71">
        <v>-0.5</v>
      </c>
      <c r="V19" s="39">
        <f t="shared" si="0"/>
        <v>3</v>
      </c>
      <c r="W19" s="39">
        <f t="shared" si="1"/>
        <v>0.20000000000000007</v>
      </c>
      <c r="X19" s="40">
        <f>H$22+V19*H$21</f>
        <v>16</v>
      </c>
      <c r="Y19" s="40">
        <f t="shared" si="2"/>
        <v>0.49541154380641117</v>
      </c>
      <c r="Z19" s="41">
        <f t="shared" si="3"/>
        <v>-0.6295880069685108</v>
      </c>
      <c r="AA19" s="39">
        <f t="shared" si="4"/>
        <v>3</v>
      </c>
      <c r="AB19" s="39">
        <f t="shared" si="5"/>
        <v>0.27419354838709664</v>
      </c>
      <c r="AC19" s="40">
        <f>I$22+AA19*I$21</f>
        <v>800</v>
      </c>
      <c r="AD19" s="40">
        <f t="shared" si="6"/>
        <v>5.2445568091057292E-2</v>
      </c>
      <c r="AE19" s="41">
        <f t="shared" si="7"/>
        <v>-0.76181034648715595</v>
      </c>
      <c r="AF19" s="39">
        <f t="shared" si="8"/>
        <v>3</v>
      </c>
      <c r="AG19" s="39">
        <f t="shared" si="9"/>
        <v>0.2976574153976711</v>
      </c>
      <c r="AH19" s="39">
        <f>J$22+AF19*J$21</f>
        <v>2.5</v>
      </c>
      <c r="AI19" s="40">
        <f t="shared" si="10"/>
        <v>0.73482564413437945</v>
      </c>
      <c r="AJ19" s="41">
        <f t="shared" si="11"/>
        <v>0.3900959955579768</v>
      </c>
    </row>
    <row r="20" spans="2:36" ht="15.95" customHeight="1">
      <c r="B20" t="s">
        <v>22</v>
      </c>
      <c r="F20"/>
      <c r="G20" s="1" t="s">
        <v>56</v>
      </c>
      <c r="H20" s="39">
        <f>H17/5</f>
        <v>4</v>
      </c>
      <c r="I20" s="39">
        <f>I17/5</f>
        <v>198.4</v>
      </c>
      <c r="J20" s="39">
        <f>J17/5</f>
        <v>0.45390890000000006</v>
      </c>
      <c r="K20" s="59">
        <v>-0.5</v>
      </c>
      <c r="L20" s="64">
        <v>0.5</v>
      </c>
      <c r="M20" s="64">
        <v>-0.5</v>
      </c>
      <c r="N20" s="52">
        <f t="shared" si="12"/>
        <v>0.64085638205578843</v>
      </c>
      <c r="O20" s="53">
        <f t="shared" si="13"/>
        <v>-0.28359458252715963</v>
      </c>
      <c r="P20" s="15"/>
      <c r="Q20" s="15"/>
      <c r="R20" s="15"/>
      <c r="S20" s="69">
        <v>3</v>
      </c>
      <c r="T20" s="70">
        <v>0.5</v>
      </c>
      <c r="U20" s="71">
        <v>-0.5</v>
      </c>
      <c r="V20" s="39">
        <f t="shared" si="0"/>
        <v>3</v>
      </c>
      <c r="W20" s="39">
        <f t="shared" si="1"/>
        <v>0.20000000000000007</v>
      </c>
      <c r="X20" s="40"/>
      <c r="Y20" s="40">
        <f t="shared" si="2"/>
        <v>0.40144228172782032</v>
      </c>
      <c r="Z20" s="41">
        <f t="shared" si="3"/>
        <v>-0.61248699980222732</v>
      </c>
      <c r="AA20" s="39">
        <f t="shared" si="4"/>
        <v>3</v>
      </c>
      <c r="AB20" s="39">
        <f t="shared" si="5"/>
        <v>0.27419354838709664</v>
      </c>
      <c r="AC20" s="40"/>
      <c r="AD20" s="40">
        <f t="shared" si="6"/>
        <v>8.6647582423624164E-2</v>
      </c>
      <c r="AE20" s="41">
        <f t="shared" si="7"/>
        <v>-0.71482571544786055</v>
      </c>
      <c r="AF20" s="39">
        <f t="shared" si="8"/>
        <v>3</v>
      </c>
      <c r="AG20" s="39">
        <f t="shared" si="9"/>
        <v>0.2976574153976711</v>
      </c>
      <c r="AH20" s="39"/>
      <c r="AI20" s="40">
        <f t="shared" si="10"/>
        <v>0.64085638205578854</v>
      </c>
      <c r="AJ20" s="41">
        <f t="shared" si="11"/>
        <v>0.40719700272426024</v>
      </c>
    </row>
    <row r="21" spans="2:36" ht="15.95" customHeight="1">
      <c r="B21" t="s">
        <v>20</v>
      </c>
      <c r="F21"/>
      <c r="G21" s="1" t="s">
        <v>57</v>
      </c>
      <c r="H21" s="39">
        <f>ROUND(H20,1-INT(LOG(ABS(H20))+1))</f>
        <v>4</v>
      </c>
      <c r="I21" s="39">
        <f>ROUND(I20,1-INT(LOG(ABS(I20))+1))</f>
        <v>200</v>
      </c>
      <c r="J21" s="39">
        <f>ROUND(J20,1-INT(LOG(ABS(J20))+1))</f>
        <v>0.5</v>
      </c>
      <c r="K21" s="1"/>
      <c r="P21" s="10"/>
      <c r="Q21" s="10"/>
      <c r="R21" s="10"/>
      <c r="S21" s="69">
        <v>4</v>
      </c>
      <c r="T21" s="70">
        <v>0.5</v>
      </c>
      <c r="U21" s="71">
        <v>-0.5</v>
      </c>
      <c r="V21" s="39">
        <f t="shared" si="0"/>
        <v>4</v>
      </c>
      <c r="W21" s="39">
        <f t="shared" si="1"/>
        <v>0.4</v>
      </c>
      <c r="X21" s="40"/>
      <c r="Y21" s="40">
        <f t="shared" si="2"/>
        <v>0.33303825306268658</v>
      </c>
      <c r="Z21" s="41">
        <f t="shared" si="3"/>
        <v>-0.70645626188081811</v>
      </c>
      <c r="AA21" s="39">
        <f t="shared" si="4"/>
        <v>4</v>
      </c>
      <c r="AB21" s="39">
        <f t="shared" si="5"/>
        <v>0.47580645161290314</v>
      </c>
      <c r="AC21" s="40"/>
      <c r="AD21" s="40">
        <f t="shared" si="6"/>
        <v>0.27610173984013792</v>
      </c>
      <c r="AE21" s="41">
        <f t="shared" si="7"/>
        <v>-0.74930355247665781</v>
      </c>
      <c r="AF21" s="39">
        <f t="shared" si="8"/>
        <v>3</v>
      </c>
      <c r="AG21" s="39">
        <f t="shared" si="9"/>
        <v>0.2976574153976711</v>
      </c>
      <c r="AH21" s="39"/>
      <c r="AI21" s="40">
        <f t="shared" si="10"/>
        <v>0.64085638205578854</v>
      </c>
      <c r="AJ21" s="41">
        <f t="shared" si="11"/>
        <v>0.40719700272426024</v>
      </c>
    </row>
    <row r="22" spans="2:36" ht="15.95" customHeight="1">
      <c r="B22" t="s">
        <v>21</v>
      </c>
      <c r="F22"/>
      <c r="G22" s="1" t="s">
        <v>58</v>
      </c>
      <c r="H22" s="39">
        <f>H21*(INT(H16/H21)+1)</f>
        <v>4</v>
      </c>
      <c r="I22" s="39">
        <f>I21*(INT(I16/I21)+1)</f>
        <v>200</v>
      </c>
      <c r="J22" s="39">
        <f>J21*(INT(J16/J21)+1)</f>
        <v>1</v>
      </c>
      <c r="K22" s="19" t="s">
        <v>16</v>
      </c>
      <c r="L22" s="7"/>
      <c r="M22" s="19" t="s">
        <v>17</v>
      </c>
      <c r="N22" s="20"/>
      <c r="O22" s="19" t="s">
        <v>18</v>
      </c>
      <c r="P22" s="25"/>
      <c r="Q22" s="20" t="s">
        <v>19</v>
      </c>
      <c r="R22" s="21"/>
      <c r="S22" s="69">
        <v>4</v>
      </c>
      <c r="T22" s="70">
        <v>0.6</v>
      </c>
      <c r="U22" s="71">
        <v>-0.5</v>
      </c>
      <c r="V22" s="39">
        <f t="shared" si="0"/>
        <v>4</v>
      </c>
      <c r="W22" s="39">
        <f t="shared" si="1"/>
        <v>0.4</v>
      </c>
      <c r="X22" s="40">
        <f>H$22+V22*H$21</f>
        <v>20</v>
      </c>
      <c r="Y22" s="40">
        <f t="shared" si="2"/>
        <v>0.42700751514127738</v>
      </c>
      <c r="Z22" s="41">
        <f t="shared" si="3"/>
        <v>-0.7235572690471016</v>
      </c>
      <c r="AA22" s="39">
        <f t="shared" si="4"/>
        <v>4</v>
      </c>
      <c r="AB22" s="39">
        <f t="shared" si="5"/>
        <v>0.47580645161290314</v>
      </c>
      <c r="AC22" s="40">
        <f>I$22+AA22*I$21</f>
        <v>1000</v>
      </c>
      <c r="AD22" s="40">
        <f t="shared" si="6"/>
        <v>0.24189972550757108</v>
      </c>
      <c r="AE22" s="41">
        <f t="shared" si="7"/>
        <v>-0.79628818351595321</v>
      </c>
      <c r="AF22" s="39">
        <f t="shared" si="8"/>
        <v>3</v>
      </c>
      <c r="AG22" s="39">
        <f t="shared" si="9"/>
        <v>0.2976574153976711</v>
      </c>
      <c r="AH22" s="39">
        <f>J$22+AF22*J$21</f>
        <v>2.5</v>
      </c>
      <c r="AI22" s="40">
        <f t="shared" si="10"/>
        <v>0.73482564413437945</v>
      </c>
      <c r="AJ22" s="41">
        <f t="shared" si="11"/>
        <v>0.3900959955579768</v>
      </c>
    </row>
    <row r="23" spans="2:36" ht="15.95" customHeight="1">
      <c r="B23" s="32"/>
      <c r="D23" t="b">
        <v>0</v>
      </c>
      <c r="F23"/>
      <c r="G23" s="1" t="s">
        <v>59</v>
      </c>
      <c r="H23" s="39">
        <f>INT((H17+H16-H22)/H21)</f>
        <v>4</v>
      </c>
      <c r="I23" s="39">
        <f>INT((I17+I16-I22)/I21)</f>
        <v>4</v>
      </c>
      <c r="J23" s="39">
        <f>INT((J17+J16-J22)/J21)</f>
        <v>3</v>
      </c>
      <c r="K23" s="61" t="s">
        <v>32</v>
      </c>
      <c r="L23" s="65" t="s">
        <v>33</v>
      </c>
      <c r="M23" s="1"/>
      <c r="N23" s="5"/>
      <c r="O23" s="1"/>
      <c r="P23" s="22"/>
      <c r="Q23" s="16"/>
      <c r="R23" s="22"/>
      <c r="S23" s="69">
        <v>4</v>
      </c>
      <c r="T23" s="70">
        <v>0.5</v>
      </c>
      <c r="U23" s="71">
        <v>-0.5</v>
      </c>
      <c r="V23" s="39">
        <f t="shared" si="0"/>
        <v>4</v>
      </c>
      <c r="W23" s="39">
        <f t="shared" si="1"/>
        <v>0.4</v>
      </c>
      <c r="X23" s="40"/>
      <c r="Y23" s="40">
        <f t="shared" si="2"/>
        <v>0.33303825306268658</v>
      </c>
      <c r="Z23" s="41">
        <f t="shared" si="3"/>
        <v>-0.70645626188081811</v>
      </c>
      <c r="AA23" s="39">
        <f t="shared" si="4"/>
        <v>4</v>
      </c>
      <c r="AB23" s="39">
        <f t="shared" si="5"/>
        <v>0.47580645161290314</v>
      </c>
      <c r="AC23" s="40"/>
      <c r="AD23" s="40">
        <f t="shared" si="6"/>
        <v>0.27610173984013792</v>
      </c>
      <c r="AE23" s="41">
        <f t="shared" si="7"/>
        <v>-0.74930355247665781</v>
      </c>
      <c r="AF23" s="39">
        <f t="shared" si="8"/>
        <v>3</v>
      </c>
      <c r="AG23" s="39">
        <f t="shared" si="9"/>
        <v>0.2976574153976711</v>
      </c>
      <c r="AH23" s="39"/>
      <c r="AI23" s="40">
        <f t="shared" si="10"/>
        <v>0.64085638205578854</v>
      </c>
      <c r="AJ23" s="41">
        <f t="shared" si="11"/>
        <v>0.40719700272426024</v>
      </c>
    </row>
    <row r="24" spans="2:36" ht="15.95" customHeight="1">
      <c r="F24"/>
      <c r="G24" s="1" t="s">
        <v>60</v>
      </c>
      <c r="H24" s="39">
        <f>(H22-H16)/H17-0.5</f>
        <v>-0.4</v>
      </c>
      <c r="I24" s="39">
        <f>(I22-I16)/I17-0.5</f>
        <v>-0.33064516129032262</v>
      </c>
      <c r="J24" s="39">
        <f>(J22-J16)/J17-0.5</f>
        <v>-0.36326815799381773</v>
      </c>
      <c r="K24" s="57">
        <v>-0.5</v>
      </c>
      <c r="L24" s="58">
        <v>-0.5</v>
      </c>
      <c r="M24" s="54">
        <f>(H$27*$H$13+K24*$I$13+L24*$J$13+$D$27)*$C$27</f>
        <v>-0.29883623873011983</v>
      </c>
      <c r="N24" s="51">
        <f>(H$27*$H$14+K24*$I$14+L24*$J$14+$E$27)*$C$27</f>
        <v>-0.11258451086432519</v>
      </c>
      <c r="O24" s="54">
        <f>(K24*$H$13+I$27*$I$13+L24*$J$13+$D$27)*$C$27</f>
        <v>-0.29883623873011983</v>
      </c>
      <c r="P24" s="51">
        <f>(K24*$H$14+I$27*$I$14+L24*$J$14+$E$27)*$C$27</f>
        <v>-0.11258451086432519</v>
      </c>
      <c r="Q24" s="54">
        <f>(K24*$H$13+L24*$I$13+J$27*$J$13+$D$27)*$C$27</f>
        <v>-0.29883623873011983</v>
      </c>
      <c r="R24" s="51">
        <f>(K24*$H$14+L24*$I$14+J$27*$J$14+$E$27)*$C$27</f>
        <v>-0.11258451086432519</v>
      </c>
      <c r="S24" s="69">
        <v>5</v>
      </c>
      <c r="T24" s="70">
        <v>0.5</v>
      </c>
      <c r="U24" s="71">
        <v>-0.5</v>
      </c>
      <c r="V24" s="39">
        <f t="shared" si="0"/>
        <v>4</v>
      </c>
      <c r="W24" s="39">
        <f t="shared" si="1"/>
        <v>0.4</v>
      </c>
      <c r="X24" s="40"/>
      <c r="Y24" s="40">
        <f t="shared" si="2"/>
        <v>0.33303825306268658</v>
      </c>
      <c r="Z24" s="41">
        <f t="shared" si="3"/>
        <v>-0.70645626188081811</v>
      </c>
      <c r="AA24" s="39">
        <f t="shared" si="4"/>
        <v>4</v>
      </c>
      <c r="AB24" s="39">
        <f t="shared" si="5"/>
        <v>0.47580645161290314</v>
      </c>
      <c r="AC24" s="40"/>
      <c r="AD24" s="40">
        <f t="shared" si="6"/>
        <v>0.27610173984013792</v>
      </c>
      <c r="AE24" s="41">
        <f t="shared" si="7"/>
        <v>-0.74930355247665781</v>
      </c>
      <c r="AF24" s="39">
        <f t="shared" si="8"/>
        <v>3</v>
      </c>
      <c r="AG24" s="39">
        <f t="shared" si="9"/>
        <v>0.2976574153976711</v>
      </c>
      <c r="AH24" s="39"/>
      <c r="AI24" s="40">
        <f t="shared" si="10"/>
        <v>0.64085638205578854</v>
      </c>
      <c r="AJ24" s="41">
        <f t="shared" si="11"/>
        <v>0.40719700272426024</v>
      </c>
    </row>
    <row r="25" spans="2:36" ht="15.95" customHeight="1">
      <c r="B25" s="5"/>
      <c r="C25" s="26" t="s">
        <v>22</v>
      </c>
      <c r="D25" s="6" t="s">
        <v>20</v>
      </c>
      <c r="E25" s="7" t="s">
        <v>21</v>
      </c>
      <c r="F25"/>
      <c r="G25" s="1" t="s">
        <v>61</v>
      </c>
      <c r="H25" s="39">
        <f>H21/H17</f>
        <v>0.2</v>
      </c>
      <c r="I25" s="39">
        <f>I21/I17</f>
        <v>0.20161290322580644</v>
      </c>
      <c r="J25" s="39">
        <f>J21/J17</f>
        <v>0.22030852446382962</v>
      </c>
      <c r="K25" s="57">
        <v>0.5</v>
      </c>
      <c r="L25" s="58">
        <v>-0.5</v>
      </c>
      <c r="M25" s="54">
        <f>(H$27*$H$13+K25*$I$13+L25*$J$13+$D$27)*$C$27</f>
        <v>0.64085638205578843</v>
      </c>
      <c r="N25" s="51">
        <f>(H$27*$H$14+K25*$I$14+L25*$J$14+$E$27)*$C$27</f>
        <v>-0.28359458252715963</v>
      </c>
      <c r="O25" s="54">
        <f>(K25*$H$13+I$27*$I$13+L25*$J$13+$D$27)*$C$27</f>
        <v>-0.64085638205578865</v>
      </c>
      <c r="P25" s="51">
        <f>(K25*$H$14+I$27*$I$14+L25*$J$14+$E$27)*$C$27</f>
        <v>-0.58243082125727907</v>
      </c>
      <c r="Q25" s="54">
        <f>(K25*$H$13+L25*$I$13+J$27*$J$13+$D$27)*$C$27</f>
        <v>-0.64085638205578865</v>
      </c>
      <c r="R25" s="51">
        <f>(K25*$H$14+L25*$I$14+J$27*$J$14+$E$27)*$C$27</f>
        <v>-0.58243082125727907</v>
      </c>
      <c r="S25" s="69">
        <v>5</v>
      </c>
      <c r="T25" s="70">
        <v>0.6</v>
      </c>
      <c r="U25" s="71">
        <v>-0.5</v>
      </c>
      <c r="V25" s="39">
        <f t="shared" si="0"/>
        <v>4</v>
      </c>
      <c r="W25" s="39">
        <f t="shared" si="1"/>
        <v>0.4</v>
      </c>
      <c r="X25" s="40">
        <f>H$22+V25*H$21</f>
        <v>20</v>
      </c>
      <c r="Y25" s="40">
        <f t="shared" si="2"/>
        <v>0.42700751514127738</v>
      </c>
      <c r="Z25" s="41">
        <f t="shared" si="3"/>
        <v>-0.7235572690471016</v>
      </c>
      <c r="AA25" s="39">
        <f t="shared" si="4"/>
        <v>4</v>
      </c>
      <c r="AB25" s="39">
        <f t="shared" si="5"/>
        <v>0.47580645161290314</v>
      </c>
      <c r="AC25" s="40">
        <f>I$22+AA25*I$21</f>
        <v>1000</v>
      </c>
      <c r="AD25" s="40">
        <f t="shared" si="6"/>
        <v>0.24189972550757108</v>
      </c>
      <c r="AE25" s="41">
        <f t="shared" si="7"/>
        <v>-0.79628818351595321</v>
      </c>
      <c r="AF25" s="39">
        <f t="shared" si="8"/>
        <v>3</v>
      </c>
      <c r="AG25" s="39">
        <f t="shared" si="9"/>
        <v>0.2976574153976711</v>
      </c>
      <c r="AH25" s="39">
        <f>J$22+AF25*J$21</f>
        <v>2.5</v>
      </c>
      <c r="AI25" s="40">
        <f t="shared" si="10"/>
        <v>0.73482564413437945</v>
      </c>
      <c r="AJ25" s="41">
        <f t="shared" si="11"/>
        <v>0.3900959955579768</v>
      </c>
    </row>
    <row r="26" spans="2:36" ht="15.95" customHeight="1">
      <c r="B26" s="5"/>
      <c r="C26" s="31">
        <v>0</v>
      </c>
      <c r="D26" s="16">
        <v>50</v>
      </c>
      <c r="E26" s="22">
        <v>50</v>
      </c>
      <c r="F26"/>
      <c r="G26" s="2" t="s">
        <v>26</v>
      </c>
      <c r="H26" s="39"/>
      <c r="I26" s="39"/>
      <c r="J26" s="39"/>
      <c r="K26" s="57">
        <v>0.5</v>
      </c>
      <c r="L26" s="58">
        <v>0.5</v>
      </c>
      <c r="M26" s="54">
        <f>(H$27*$H$13+K26*$I$13+L26*$J$13+$D$27)*$C$27</f>
        <v>0.64085638205578865</v>
      </c>
      <c r="N26" s="51">
        <f>(H$27*$H$14+K26*$I$14+L26*$J$14+$E$27)*$C$27</f>
        <v>0.58243082125727907</v>
      </c>
      <c r="O26" s="54">
        <f>(K26*$H$13+I$27*$I$13+L26*$J$13+$D$27)*$C$27</f>
        <v>-0.64085638205578843</v>
      </c>
      <c r="P26" s="51">
        <f>(K26*$H$14+I$27*$I$14+L26*$J$14+$E$27)*$C$27</f>
        <v>0.28359458252715963</v>
      </c>
      <c r="Q26" s="54">
        <f>(K26*$H$13+L26*$I$13+J$27*$J$13+$D$27)*$C$27</f>
        <v>0.29883623873011972</v>
      </c>
      <c r="R26" s="51">
        <f>(K26*$H$14+L26*$I$14+J$27*$J$14+$E$27)*$C$27</f>
        <v>-0.75344089292011351</v>
      </c>
      <c r="S26" s="69">
        <v>5</v>
      </c>
      <c r="T26" s="70">
        <v>0.5</v>
      </c>
      <c r="U26" s="71">
        <v>-0.5</v>
      </c>
      <c r="V26" s="39">
        <f t="shared" si="0"/>
        <v>4</v>
      </c>
      <c r="W26" s="39">
        <f t="shared" si="1"/>
        <v>0.4</v>
      </c>
      <c r="X26" s="40"/>
      <c r="Y26" s="40">
        <f t="shared" si="2"/>
        <v>0.33303825306268658</v>
      </c>
      <c r="Z26" s="41">
        <f t="shared" si="3"/>
        <v>-0.70645626188081811</v>
      </c>
      <c r="AA26" s="39">
        <f t="shared" si="4"/>
        <v>4</v>
      </c>
      <c r="AB26" s="39">
        <f t="shared" si="5"/>
        <v>0.47580645161290314</v>
      </c>
      <c r="AC26" s="40"/>
      <c r="AD26" s="40">
        <f t="shared" si="6"/>
        <v>0.27610173984013792</v>
      </c>
      <c r="AE26" s="41">
        <f t="shared" si="7"/>
        <v>-0.74930355247665781</v>
      </c>
      <c r="AF26" s="39">
        <f t="shared" si="8"/>
        <v>3</v>
      </c>
      <c r="AG26" s="39">
        <f t="shared" si="9"/>
        <v>0.2976574153976711</v>
      </c>
      <c r="AH26" s="39"/>
      <c r="AI26" s="40">
        <f t="shared" si="10"/>
        <v>0.64085638205578854</v>
      </c>
      <c r="AJ26" s="41">
        <f t="shared" si="11"/>
        <v>0.40719700272426024</v>
      </c>
    </row>
    <row r="27" spans="2:36" ht="15.95" customHeight="1">
      <c r="B27" s="5"/>
      <c r="C27" s="48">
        <f>(1+C26/50)^2</f>
        <v>1</v>
      </c>
      <c r="D27" s="42">
        <f>D26/100-0.5</f>
        <v>0</v>
      </c>
      <c r="E27" s="43">
        <f>-E26/100+0.5</f>
        <v>0</v>
      </c>
      <c r="F27"/>
      <c r="G27" s="1" t="s">
        <v>15</v>
      </c>
      <c r="H27" s="39">
        <f>C14/100-0.5</f>
        <v>-0.5</v>
      </c>
      <c r="I27" s="39">
        <f>D14/100-0.5</f>
        <v>-0.5</v>
      </c>
      <c r="J27" s="39">
        <f>E14/100-0.5</f>
        <v>-0.5</v>
      </c>
      <c r="K27" s="57">
        <v>-0.5</v>
      </c>
      <c r="L27" s="58">
        <v>0.5</v>
      </c>
      <c r="M27" s="54">
        <f>(H$27*$H$13+K27*$I$13+L27*$J$13+$D$27)*$C$27</f>
        <v>-0.29883623873011972</v>
      </c>
      <c r="N27" s="51">
        <f>(H$27*$H$14+K27*$I$14+L27*$J$14+$E$27)*$C$27</f>
        <v>0.75344089292011351</v>
      </c>
      <c r="O27" s="54">
        <f>(K27*$H$13+I$27*$I$13+L27*$J$13+$D$27)*$C$27</f>
        <v>-0.29883623873011972</v>
      </c>
      <c r="P27" s="51">
        <f>(K27*$H$14+I$27*$I$14+L27*$J$14+$E$27)*$C$27</f>
        <v>0.75344089292011351</v>
      </c>
      <c r="Q27" s="54">
        <f>(K27*$H$13+L27*$I$13+J$27*$J$13+$D$27)*$C$27</f>
        <v>0.64085638205578843</v>
      </c>
      <c r="R27" s="51">
        <f>(K27*$H$14+L27*$I$14+J$27*$J$14+$E$27)*$C$27</f>
        <v>-0.28359458252715963</v>
      </c>
      <c r="S27" s="69">
        <v>6</v>
      </c>
      <c r="T27" s="70">
        <v>0.5</v>
      </c>
      <c r="U27" s="71">
        <v>-0.5</v>
      </c>
      <c r="V27" s="39">
        <f t="shared" si="0"/>
        <v>4</v>
      </c>
      <c r="W27" s="39">
        <f t="shared" si="1"/>
        <v>0.4</v>
      </c>
      <c r="X27" s="40"/>
      <c r="Y27" s="40">
        <f t="shared" si="2"/>
        <v>0.33303825306268658</v>
      </c>
      <c r="Z27" s="41">
        <f t="shared" si="3"/>
        <v>-0.70645626188081811</v>
      </c>
      <c r="AA27" s="39">
        <f t="shared" si="4"/>
        <v>4</v>
      </c>
      <c r="AB27" s="39">
        <f t="shared" si="5"/>
        <v>0.47580645161290314</v>
      </c>
      <c r="AC27" s="40"/>
      <c r="AD27" s="40">
        <f t="shared" si="6"/>
        <v>0.27610173984013792</v>
      </c>
      <c r="AE27" s="41">
        <f t="shared" si="7"/>
        <v>-0.74930355247665781</v>
      </c>
      <c r="AF27" s="39">
        <f t="shared" si="8"/>
        <v>3</v>
      </c>
      <c r="AG27" s="39">
        <f t="shared" si="9"/>
        <v>0.2976574153976711</v>
      </c>
      <c r="AH27" s="39"/>
      <c r="AI27" s="40">
        <f t="shared" si="10"/>
        <v>0.64085638205578854</v>
      </c>
      <c r="AJ27" s="41">
        <f t="shared" si="11"/>
        <v>0.40719700272426024</v>
      </c>
    </row>
    <row r="28" spans="2:36" ht="15.95" customHeight="1">
      <c r="K28" s="59">
        <v>-0.5</v>
      </c>
      <c r="L28" s="60">
        <v>-0.5</v>
      </c>
      <c r="M28" s="54">
        <f>(H$27*$H$13+K28*$I$13+L28*$J$13+$D$27)*$C$27</f>
        <v>-0.29883623873011983</v>
      </c>
      <c r="N28" s="51">
        <f>(H$27*$H$14+K28*$I$14+L28*$J$14+$E$27)*$C$27</f>
        <v>-0.11258451086432519</v>
      </c>
      <c r="O28" s="54">
        <f>(K28*$H$13+I$27*$I$13+L28*$J$13+$D$27)*$C$27</f>
        <v>-0.29883623873011983</v>
      </c>
      <c r="P28" s="51">
        <f>(K28*$H$14+I$27*$I$14+L28*$J$14+$E$27)*$C$27</f>
        <v>-0.11258451086432519</v>
      </c>
      <c r="Q28" s="54">
        <f>(K28*$H$13+L28*$I$13+J$27*$J$13+$D$27)*$C$27</f>
        <v>-0.29883623873011983</v>
      </c>
      <c r="R28" s="51">
        <f>(K28*$H$14+L28*$I$14+J$27*$J$14+$E$27)*$C$27</f>
        <v>-0.11258451086432519</v>
      </c>
      <c r="S28" s="69">
        <v>6</v>
      </c>
      <c r="T28" s="70">
        <v>0.6</v>
      </c>
      <c r="U28" s="71">
        <v>-0.5</v>
      </c>
      <c r="V28" s="39">
        <f t="shared" si="0"/>
        <v>4</v>
      </c>
      <c r="W28" s="39">
        <f t="shared" si="1"/>
        <v>0.4</v>
      </c>
      <c r="X28" s="40">
        <f>H$22+V28*H$21</f>
        <v>20</v>
      </c>
      <c r="Y28" s="40">
        <f t="shared" si="2"/>
        <v>0.42700751514127738</v>
      </c>
      <c r="Z28" s="41">
        <f t="shared" si="3"/>
        <v>-0.7235572690471016</v>
      </c>
      <c r="AA28" s="39">
        <f t="shared" si="4"/>
        <v>4</v>
      </c>
      <c r="AB28" s="39">
        <f t="shared" si="5"/>
        <v>0.47580645161290314</v>
      </c>
      <c r="AC28" s="40">
        <f>I$22+AA28*I$21</f>
        <v>1000</v>
      </c>
      <c r="AD28" s="40">
        <f t="shared" si="6"/>
        <v>0.24189972550757108</v>
      </c>
      <c r="AE28" s="41">
        <f t="shared" si="7"/>
        <v>-0.79628818351595321</v>
      </c>
      <c r="AF28" s="39">
        <f t="shared" si="8"/>
        <v>3</v>
      </c>
      <c r="AG28" s="39">
        <f t="shared" si="9"/>
        <v>0.2976574153976711</v>
      </c>
      <c r="AH28" s="39">
        <f>J$22+AF28*J$21</f>
        <v>2.5</v>
      </c>
      <c r="AI28" s="40">
        <f t="shared" si="10"/>
        <v>0.73482564413437945</v>
      </c>
      <c r="AJ28" s="41">
        <f t="shared" si="11"/>
        <v>0.3900959955579768</v>
      </c>
    </row>
    <row r="29" spans="2:36">
      <c r="K29" s="5"/>
      <c r="M29" s="1"/>
      <c r="N29" s="5"/>
      <c r="O29" s="1"/>
      <c r="P29" s="22"/>
      <c r="Q29" s="16"/>
      <c r="R29" s="22"/>
      <c r="S29" s="72">
        <v>6</v>
      </c>
      <c r="T29" s="73">
        <v>0.5</v>
      </c>
      <c r="U29" s="74">
        <v>-0.5</v>
      </c>
      <c r="V29" s="42">
        <f t="shared" si="0"/>
        <v>4</v>
      </c>
      <c r="W29" s="42">
        <f t="shared" si="1"/>
        <v>0.4</v>
      </c>
      <c r="X29" s="42"/>
      <c r="Y29" s="42">
        <f t="shared" si="2"/>
        <v>0.33303825306268658</v>
      </c>
      <c r="Z29" s="43">
        <f t="shared" si="3"/>
        <v>-0.70645626188081811</v>
      </c>
      <c r="AA29" s="42">
        <f t="shared" si="4"/>
        <v>4</v>
      </c>
      <c r="AB29" s="42">
        <f t="shared" si="5"/>
        <v>0.47580645161290314</v>
      </c>
      <c r="AC29" s="42"/>
      <c r="AD29" s="42">
        <f t="shared" si="6"/>
        <v>0.27610173984013792</v>
      </c>
      <c r="AE29" s="43">
        <f t="shared" si="7"/>
        <v>-0.74930355247665781</v>
      </c>
      <c r="AF29" s="42">
        <f t="shared" si="8"/>
        <v>3</v>
      </c>
      <c r="AG29" s="42">
        <f t="shared" si="9"/>
        <v>0.2976574153976711</v>
      </c>
      <c r="AH29" s="42"/>
      <c r="AI29" s="42">
        <f t="shared" si="10"/>
        <v>0.64085638205578854</v>
      </c>
      <c r="AJ29" s="43">
        <f t="shared" si="11"/>
        <v>0.40719700272426024</v>
      </c>
    </row>
    <row r="30" spans="2:36">
      <c r="F30"/>
      <c r="G30" s="1"/>
      <c r="K30" s="5"/>
      <c r="M30" s="1"/>
      <c r="N30" s="5"/>
      <c r="O30" s="1"/>
      <c r="P30" s="22"/>
      <c r="Q30" s="16"/>
      <c r="R30" s="22"/>
      <c r="S30"/>
      <c r="T30"/>
      <c r="U30"/>
      <c r="V30" s="10"/>
      <c r="W30" s="10"/>
      <c r="X30" s="10"/>
      <c r="AI30" s="5"/>
    </row>
    <row r="31" spans="2:36">
      <c r="F31"/>
      <c r="G31" s="1"/>
      <c r="H31" s="2" t="s">
        <v>52</v>
      </c>
      <c r="I31" s="3"/>
      <c r="J31" s="3"/>
      <c r="K31" s="18" t="s">
        <v>53</v>
      </c>
      <c r="L31" s="3"/>
      <c r="M31" s="2" t="s">
        <v>28</v>
      </c>
      <c r="N31" s="18"/>
      <c r="O31" s="2" t="s">
        <v>31</v>
      </c>
      <c r="P31" s="24"/>
      <c r="Q31" s="18" t="s">
        <v>30</v>
      </c>
      <c r="R31" s="22"/>
      <c r="AI31" s="5"/>
    </row>
    <row r="32" spans="2:36" ht="18">
      <c r="B32" s="55" t="s">
        <v>34</v>
      </c>
      <c r="C32" s="56" t="s">
        <v>86</v>
      </c>
      <c r="D32" s="56" t="s">
        <v>87</v>
      </c>
      <c r="E32" s="56" t="s">
        <v>85</v>
      </c>
      <c r="F32" s="55" t="s">
        <v>23</v>
      </c>
      <c r="G32" s="10" t="s">
        <v>0</v>
      </c>
      <c r="H32" s="33" t="s">
        <v>82</v>
      </c>
      <c r="I32" s="33" t="s">
        <v>83</v>
      </c>
      <c r="J32" s="33" t="s">
        <v>84</v>
      </c>
      <c r="K32" s="5" t="s">
        <v>54</v>
      </c>
      <c r="L32" t="s">
        <v>55</v>
      </c>
      <c r="M32" s="8" t="s">
        <v>27</v>
      </c>
      <c r="N32" s="9" t="s">
        <v>29</v>
      </c>
      <c r="O32" s="34" t="s">
        <v>1</v>
      </c>
      <c r="P32" s="35" t="s">
        <v>2</v>
      </c>
      <c r="Q32" s="34" t="s">
        <v>3</v>
      </c>
      <c r="R32" s="35" t="s">
        <v>4</v>
      </c>
      <c r="AI32" s="5"/>
    </row>
    <row r="33" spans="2:35">
      <c r="B33" s="79"/>
      <c r="C33">
        <v>2</v>
      </c>
      <c r="D33">
        <v>32</v>
      </c>
      <c r="E33">
        <v>1.1256835000000001</v>
      </c>
      <c r="F33" s="78"/>
      <c r="G33" s="76">
        <f t="shared" ref="G33:G39" si="14">D$19*(L33-R33)</f>
        <v>0.16637225712627568</v>
      </c>
      <c r="H33" s="76">
        <f t="shared" ref="H33:J39" si="15">(C33-H$16)/H$17-0.5</f>
        <v>-0.5</v>
      </c>
      <c r="I33" s="75">
        <f t="shared" si="15"/>
        <v>-0.5</v>
      </c>
      <c r="J33" s="75">
        <f t="shared" si="15"/>
        <v>-0.30788986512491823</v>
      </c>
      <c r="K33" s="76">
        <f t="shared" ref="K33:K39" si="16">(H33*$H$13+I33*$I$13+J33*$J$13+$D$27)*$C$27</f>
        <v>-0.29883623873011983</v>
      </c>
      <c r="L33" s="77">
        <f t="shared" ref="L33:L39" si="17">(H33*$H$14+I33*$I$14+J33*$J$14+$E$27)*$C$27</f>
        <v>5.3787746261950486E-2</v>
      </c>
      <c r="M33" s="76">
        <f t="shared" ref="M33:M39" si="18">(H$27*$H$13+I33*$I$13+J33*$J$13+$D$27)*$C$27</f>
        <v>-0.29883623873011983</v>
      </c>
      <c r="N33" s="77">
        <f t="shared" ref="N33:N39" si="19">(H$27*$H$14+I33*$I$14+J33*$J$14+$E$27)*$C$27</f>
        <v>5.3787746261950486E-2</v>
      </c>
      <c r="O33" s="76">
        <f t="shared" ref="O33:O39" si="20">(H33*$H$13+I$27*$I$13+J33*$J$13+$D$27)*$C$27</f>
        <v>-0.29883623873011983</v>
      </c>
      <c r="P33" s="77">
        <f t="shared" ref="P33:P39" si="21">(H33*$H$14+I$27*$I$14+J33*$J$14+$E$27)*$C$27</f>
        <v>5.3787746261950486E-2</v>
      </c>
      <c r="Q33" s="76">
        <f t="shared" ref="Q33:Q39" si="22">(H33*$H$13+I33*$I$13+J$27*$J$13+$D$27)*$C$27</f>
        <v>-0.29883623873011983</v>
      </c>
      <c r="R33" s="77">
        <f t="shared" ref="R33:R39" si="23">(H33*$H$14+I33*$I$14+J$27*$J$14+$E$27)*$C$27</f>
        <v>-0.11258451086432519</v>
      </c>
      <c r="AI33" s="5"/>
    </row>
    <row r="34" spans="2:35">
      <c r="B34" s="79"/>
      <c r="C34">
        <v>2</v>
      </c>
      <c r="D34">
        <v>64</v>
      </c>
      <c r="E34">
        <v>0.78609099999999998</v>
      </c>
      <c r="F34" s="78"/>
      <c r="G34" s="76">
        <f t="shared" si="14"/>
        <v>3.6788663619002737E-2</v>
      </c>
      <c r="H34" s="76">
        <f t="shared" si="15"/>
        <v>-0.5</v>
      </c>
      <c r="I34" s="75">
        <f t="shared" si="15"/>
        <v>-0.467741935483871</v>
      </c>
      <c r="J34" s="75">
        <f t="shared" si="15"/>
        <v>-0.45752011031288436</v>
      </c>
      <c r="K34" s="76">
        <f t="shared" si="16"/>
        <v>-0.26852357354347761</v>
      </c>
      <c r="L34" s="77">
        <f t="shared" si="17"/>
        <v>-8.1312301169930046E-2</v>
      </c>
      <c r="M34" s="76">
        <f t="shared" si="18"/>
        <v>-0.26852357354347761</v>
      </c>
      <c r="N34" s="77">
        <f t="shared" si="19"/>
        <v>-8.1312301169930046E-2</v>
      </c>
      <c r="O34" s="76">
        <f t="shared" si="20"/>
        <v>-0.29883623873011983</v>
      </c>
      <c r="P34" s="77">
        <f t="shared" si="21"/>
        <v>-7.5795847245322456E-2</v>
      </c>
      <c r="Q34" s="76">
        <f t="shared" si="22"/>
        <v>-0.26852357354347761</v>
      </c>
      <c r="R34" s="77">
        <f t="shared" si="23"/>
        <v>-0.11810096478893278</v>
      </c>
    </row>
    <row r="35" spans="2:35">
      <c r="B35" s="79"/>
      <c r="C35">
        <v>2</v>
      </c>
      <c r="D35">
        <v>96</v>
      </c>
      <c r="E35">
        <v>0.69255325000000001</v>
      </c>
      <c r="F35" s="78"/>
      <c r="G35" s="75">
        <f t="shared" si="14"/>
        <v>1.0960091181380083E-3</v>
      </c>
      <c r="H35" s="76">
        <f t="shared" si="15"/>
        <v>-0.5</v>
      </c>
      <c r="I35" s="75">
        <f t="shared" si="15"/>
        <v>-0.43548387096774194</v>
      </c>
      <c r="J35" s="75">
        <f t="shared" si="15"/>
        <v>-0.4987344376812175</v>
      </c>
      <c r="K35" s="76">
        <f t="shared" si="16"/>
        <v>-0.23821090835683542</v>
      </c>
      <c r="L35" s="77">
        <f t="shared" si="17"/>
        <v>-0.12252140959540231</v>
      </c>
      <c r="M35" s="76">
        <f t="shared" si="18"/>
        <v>-0.23821090835683542</v>
      </c>
      <c r="N35" s="77">
        <f t="shared" si="19"/>
        <v>-0.12252140959540231</v>
      </c>
      <c r="O35" s="76">
        <f t="shared" si="20"/>
        <v>-0.29883623873011983</v>
      </c>
      <c r="P35" s="77">
        <f t="shared" si="21"/>
        <v>-0.11148850174618719</v>
      </c>
      <c r="Q35" s="76">
        <f t="shared" si="22"/>
        <v>-0.23821090835683542</v>
      </c>
      <c r="R35" s="77">
        <f t="shared" si="23"/>
        <v>-0.12361741871354032</v>
      </c>
    </row>
    <row r="36" spans="2:35">
      <c r="B36" s="79"/>
      <c r="C36">
        <v>2</v>
      </c>
      <c r="D36">
        <v>128</v>
      </c>
      <c r="E36">
        <v>0.70529850000000005</v>
      </c>
      <c r="F36" s="78"/>
      <c r="G36" s="75">
        <f t="shared" si="14"/>
        <v>5.9594124475653709E-3</v>
      </c>
      <c r="H36" s="76">
        <f t="shared" si="15"/>
        <v>-0.5</v>
      </c>
      <c r="I36" s="75">
        <f t="shared" si="15"/>
        <v>-0.40322580645161288</v>
      </c>
      <c r="J36" s="75">
        <f t="shared" si="15"/>
        <v>-0.49311866323837228</v>
      </c>
      <c r="K36" s="76">
        <f t="shared" si="16"/>
        <v>-0.20789824317019315</v>
      </c>
      <c r="L36" s="77">
        <f t="shared" si="17"/>
        <v>-0.12317446019058254</v>
      </c>
      <c r="M36" s="76">
        <f t="shared" si="18"/>
        <v>-0.20789824317019315</v>
      </c>
      <c r="N36" s="77">
        <f t="shared" si="19"/>
        <v>-0.12317446019058254</v>
      </c>
      <c r="O36" s="76">
        <f t="shared" si="20"/>
        <v>-0.29883623873011983</v>
      </c>
      <c r="P36" s="77">
        <f t="shared" si="21"/>
        <v>-0.10662509841675982</v>
      </c>
      <c r="Q36" s="76">
        <f t="shared" si="22"/>
        <v>-0.20789824317019315</v>
      </c>
      <c r="R36" s="77">
        <f t="shared" si="23"/>
        <v>-0.12913387263814791</v>
      </c>
    </row>
    <row r="37" spans="2:35">
      <c r="B37" s="79"/>
      <c r="C37">
        <v>2</v>
      </c>
      <c r="D37">
        <v>160</v>
      </c>
      <c r="E37">
        <v>0.73648550000000002</v>
      </c>
      <c r="F37" s="78"/>
      <c r="G37" s="75">
        <f t="shared" si="14"/>
        <v>1.7859921235925891E-2</v>
      </c>
      <c r="H37" s="76">
        <f t="shared" si="15"/>
        <v>-0.5</v>
      </c>
      <c r="I37" s="75">
        <f t="shared" si="15"/>
        <v>-0.37096774193548387</v>
      </c>
      <c r="J37" s="75">
        <f t="shared" si="15"/>
        <v>-0.47937713933346537</v>
      </c>
      <c r="K37" s="76">
        <f t="shared" si="16"/>
        <v>-0.17758557798355099</v>
      </c>
      <c r="L37" s="77">
        <f t="shared" si="17"/>
        <v>-0.11679040532682955</v>
      </c>
      <c r="M37" s="76">
        <f t="shared" si="18"/>
        <v>-0.17758557798355099</v>
      </c>
      <c r="N37" s="77">
        <f t="shared" si="19"/>
        <v>-0.11679040532682955</v>
      </c>
      <c r="O37" s="76">
        <f t="shared" si="20"/>
        <v>-0.29883623873011983</v>
      </c>
      <c r="P37" s="77">
        <f t="shared" si="21"/>
        <v>-9.4724589628399303E-2</v>
      </c>
      <c r="Q37" s="76">
        <f t="shared" si="22"/>
        <v>-0.17758557798355099</v>
      </c>
      <c r="R37" s="77">
        <f t="shared" si="23"/>
        <v>-0.13465032656275544</v>
      </c>
    </row>
    <row r="38" spans="2:35">
      <c r="B38" s="79"/>
      <c r="C38">
        <v>2</v>
      </c>
      <c r="D38">
        <v>192</v>
      </c>
      <c r="E38">
        <v>0.77916300000000005</v>
      </c>
      <c r="F38" s="78"/>
      <c r="G38" s="75">
        <f t="shared" si="14"/>
        <v>3.4145038875174838E-2</v>
      </c>
      <c r="H38" s="76">
        <f t="shared" si="15"/>
        <v>-0.5</v>
      </c>
      <c r="I38" s="75">
        <f t="shared" si="15"/>
        <v>-0.33870967741935487</v>
      </c>
      <c r="J38" s="75">
        <f t="shared" si="15"/>
        <v>-0.46057270522785515</v>
      </c>
      <c r="K38" s="76">
        <f t="shared" si="16"/>
        <v>-0.14727291279690882</v>
      </c>
      <c r="L38" s="77">
        <f t="shared" si="17"/>
        <v>-0.10602174161218819</v>
      </c>
      <c r="M38" s="76">
        <f t="shared" si="18"/>
        <v>-0.14727291279690882</v>
      </c>
      <c r="N38" s="77">
        <f t="shared" si="19"/>
        <v>-0.10602174161218819</v>
      </c>
      <c r="O38" s="76">
        <f t="shared" si="20"/>
        <v>-0.29883623873011983</v>
      </c>
      <c r="P38" s="77">
        <f t="shared" si="21"/>
        <v>-7.8439471989150356E-2</v>
      </c>
      <c r="Q38" s="76">
        <f t="shared" si="22"/>
        <v>-0.14727291279690882</v>
      </c>
      <c r="R38" s="77">
        <f t="shared" si="23"/>
        <v>-0.14016678048736303</v>
      </c>
    </row>
    <row r="39" spans="2:35">
      <c r="B39" s="79"/>
      <c r="C39">
        <v>2</v>
      </c>
      <c r="D39">
        <v>224</v>
      </c>
      <c r="E39">
        <v>0.83851425000000002</v>
      </c>
      <c r="F39" s="78"/>
      <c r="G39" s="75">
        <f t="shared" si="14"/>
        <v>5.6792618707322273E-2</v>
      </c>
      <c r="H39" s="75">
        <f t="shared" si="15"/>
        <v>-0.5</v>
      </c>
      <c r="I39" s="75">
        <f t="shared" si="15"/>
        <v>-0.30645161290322581</v>
      </c>
      <c r="J39" s="75">
        <f t="shared" si="15"/>
        <v>-0.43442153260268745</v>
      </c>
      <c r="K39" s="75">
        <f t="shared" si="16"/>
        <v>-0.1169602476102666</v>
      </c>
      <c r="L39" s="75">
        <f t="shared" si="17"/>
        <v>-8.889061570464829E-2</v>
      </c>
      <c r="M39" s="75">
        <f t="shared" si="18"/>
        <v>-0.1169602476102666</v>
      </c>
      <c r="N39" s="75">
        <f t="shared" si="19"/>
        <v>-8.889061570464829E-2</v>
      </c>
      <c r="O39" s="75">
        <f t="shared" si="20"/>
        <v>-0.29883623873011983</v>
      </c>
      <c r="P39" s="75">
        <f t="shared" si="21"/>
        <v>-5.579189215700292E-2</v>
      </c>
      <c r="Q39" s="75">
        <f t="shared" si="22"/>
        <v>-0.1169602476102666</v>
      </c>
      <c r="R39" s="75">
        <f t="shared" si="23"/>
        <v>-0.14568323441197056</v>
      </c>
    </row>
    <row r="40" spans="2:35">
      <c r="B40" s="81"/>
      <c r="C40">
        <v>2</v>
      </c>
      <c r="D40">
        <v>256</v>
      </c>
      <c r="E40">
        <v>0.92747774999999999</v>
      </c>
      <c r="F40" s="78"/>
      <c r="G40" s="75">
        <f t="shared" ref="G40:G71" si="24">D$19*(L40-R40)</f>
        <v>9.0739805470823443E-2</v>
      </c>
      <c r="H40" s="76">
        <f t="shared" ref="H40:H71" si="25">(C40-H$16)/H$17-0.5</f>
        <v>-0.5</v>
      </c>
      <c r="I40" s="75">
        <f t="shared" ref="I40:I71" si="26">(D40-I$16)/I$17-0.5</f>
        <v>-0.27419354838709675</v>
      </c>
      <c r="J40" s="75">
        <f t="shared" ref="J40:J71" si="27">(E40-J$16)/J$17-0.5</f>
        <v>-0.39522269777041164</v>
      </c>
      <c r="K40" s="76">
        <f t="shared" ref="K40:K71" si="28">(H40*$H$13+I40*$I$13+J40*$J$13+$D$27)*$C$27</f>
        <v>-8.6647582423624317E-2</v>
      </c>
      <c r="L40" s="77">
        <f t="shared" ref="L40:L71" si="29">(H40*$H$14+I40*$I$14+J40*$J$14+$E$27)*$C$27</f>
        <v>-6.045988286575471E-2</v>
      </c>
      <c r="M40" s="76">
        <f t="shared" ref="M40:M71" si="30">(H$27*$H$13+I40*$I$13+J40*$J$13+$D$27)*$C$27</f>
        <v>-8.6647582423624317E-2</v>
      </c>
      <c r="N40" s="77">
        <f t="shared" ref="N40:N71" si="31">(H$27*$H$14+I40*$I$14+J40*$J$14+$E$27)*$C$27</f>
        <v>-6.045988286575471E-2</v>
      </c>
      <c r="O40" s="76">
        <f t="shared" ref="O40:O71" si="32">(H40*$H$13+I$27*$I$13+J40*$J$13+$D$27)*$C$27</f>
        <v>-0.29883623873011983</v>
      </c>
      <c r="P40" s="77">
        <f t="shared" ref="P40:P71" si="33">(H40*$H$14+I$27*$I$14+J40*$J$14+$E$27)*$C$27</f>
        <v>-2.1844705393501751E-2</v>
      </c>
      <c r="Q40" s="76">
        <f t="shared" ref="Q40:Q71" si="34">(H40*$H$13+I40*$I$13+J$27*$J$13+$D$27)*$C$27</f>
        <v>-8.6647582423624331E-2</v>
      </c>
      <c r="R40" s="75">
        <f t="shared" ref="R40:R71" si="35">(H40*$H$14+I40*$I$14+J$27*$J$14+$E$27)*$C$27</f>
        <v>-0.15119968833657815</v>
      </c>
    </row>
    <row r="41" spans="2:35">
      <c r="B41" s="81"/>
      <c r="C41">
        <v>2</v>
      </c>
      <c r="D41">
        <v>288</v>
      </c>
      <c r="E41">
        <v>1.01708625</v>
      </c>
      <c r="F41" s="78"/>
      <c r="G41" s="75">
        <f t="shared" si="24"/>
        <v>0.12493311491904879</v>
      </c>
      <c r="H41" s="76">
        <f t="shared" si="25"/>
        <v>-0.5</v>
      </c>
      <c r="I41" s="75">
        <f t="shared" si="26"/>
        <v>-0.24193548387096775</v>
      </c>
      <c r="J41" s="75">
        <f t="shared" si="27"/>
        <v>-0.35573966494157749</v>
      </c>
      <c r="K41" s="76">
        <f t="shared" si="28"/>
        <v>-5.6334917236982154E-2</v>
      </c>
      <c r="L41" s="77">
        <f t="shared" si="29"/>
        <v>-3.1783027342136894E-2</v>
      </c>
      <c r="M41" s="76">
        <f t="shared" si="30"/>
        <v>-5.6334917236982154E-2</v>
      </c>
      <c r="N41" s="77">
        <f t="shared" si="31"/>
        <v>-3.1783027342136894E-2</v>
      </c>
      <c r="O41" s="76">
        <f t="shared" si="32"/>
        <v>-0.29883623873011983</v>
      </c>
      <c r="P41" s="77">
        <f t="shared" si="33"/>
        <v>1.23486040547236E-2</v>
      </c>
      <c r="Q41" s="76">
        <f t="shared" si="34"/>
        <v>-5.6334917236982175E-2</v>
      </c>
      <c r="R41" s="75">
        <f t="shared" si="35"/>
        <v>-0.15671614226118569</v>
      </c>
    </row>
    <row r="42" spans="2:35">
      <c r="B42" s="81"/>
      <c r="C42">
        <v>2</v>
      </c>
      <c r="D42">
        <v>320</v>
      </c>
      <c r="E42">
        <v>1.0853155000000001</v>
      </c>
      <c r="F42" s="78"/>
      <c r="G42" s="75">
        <f t="shared" si="24"/>
        <v>0.15096841133256234</v>
      </c>
      <c r="H42" s="76">
        <f t="shared" si="25"/>
        <v>-0.5</v>
      </c>
      <c r="I42" s="75">
        <f t="shared" si="26"/>
        <v>-0.20967741935483869</v>
      </c>
      <c r="J42" s="75">
        <f t="shared" si="27"/>
        <v>-0.32567669415602996</v>
      </c>
      <c r="K42" s="76">
        <f t="shared" si="28"/>
        <v>-2.6022252050339936E-2</v>
      </c>
      <c r="L42" s="77">
        <f t="shared" si="29"/>
        <v>-1.1264184853230941E-2</v>
      </c>
      <c r="M42" s="76">
        <f t="shared" si="30"/>
        <v>-2.6022252050339936E-2</v>
      </c>
      <c r="N42" s="77">
        <f t="shared" si="31"/>
        <v>-1.1264184853230941E-2</v>
      </c>
      <c r="O42" s="76">
        <f t="shared" si="32"/>
        <v>-0.29883623873011983</v>
      </c>
      <c r="P42" s="77">
        <f t="shared" si="33"/>
        <v>3.8383900468237142E-2</v>
      </c>
      <c r="Q42" s="76">
        <f t="shared" si="34"/>
        <v>-2.6022252050339957E-2</v>
      </c>
      <c r="R42" s="75">
        <f t="shared" si="35"/>
        <v>-0.16223259618579328</v>
      </c>
    </row>
    <row r="43" spans="2:35">
      <c r="B43" s="81"/>
      <c r="C43">
        <v>2</v>
      </c>
      <c r="D43">
        <v>352</v>
      </c>
      <c r="E43">
        <v>1.1797575</v>
      </c>
      <c r="F43" s="78"/>
      <c r="G43" s="75">
        <f t="shared" si="24"/>
        <v>0.18700611457398805</v>
      </c>
      <c r="H43" s="76">
        <f t="shared" si="25"/>
        <v>-0.5</v>
      </c>
      <c r="I43" s="75">
        <f t="shared" si="26"/>
        <v>-0.17741935483870969</v>
      </c>
      <c r="J43" s="75">
        <f t="shared" si="27"/>
        <v>-0.28406393882120401</v>
      </c>
      <c r="K43" s="76">
        <f t="shared" si="28"/>
        <v>4.290413136302261E-3</v>
      </c>
      <c r="L43" s="77">
        <f t="shared" si="29"/>
        <v>1.9257064463587242E-2</v>
      </c>
      <c r="M43" s="76">
        <f t="shared" si="30"/>
        <v>4.290413136302261E-3</v>
      </c>
      <c r="N43" s="77">
        <f t="shared" si="31"/>
        <v>1.9257064463587242E-2</v>
      </c>
      <c r="O43" s="76">
        <f t="shared" si="32"/>
        <v>-0.29883623873011983</v>
      </c>
      <c r="P43" s="77">
        <f t="shared" si="33"/>
        <v>7.4421603709662859E-2</v>
      </c>
      <c r="Q43" s="76">
        <f t="shared" si="34"/>
        <v>4.2904131363022341E-3</v>
      </c>
      <c r="R43" s="75">
        <f t="shared" si="35"/>
        <v>-0.16774905011040081</v>
      </c>
    </row>
    <row r="44" spans="2:35">
      <c r="B44" s="81"/>
      <c r="C44">
        <v>2</v>
      </c>
      <c r="D44">
        <v>384</v>
      </c>
      <c r="E44">
        <v>1.27762775</v>
      </c>
      <c r="F44" s="78"/>
      <c r="G44" s="75">
        <f t="shared" si="24"/>
        <v>0.22435198850363955</v>
      </c>
      <c r="H44" s="76">
        <f t="shared" si="25"/>
        <v>-0.5</v>
      </c>
      <c r="I44" s="75">
        <f t="shared" si="26"/>
        <v>-0.14516129032258063</v>
      </c>
      <c r="J44" s="75">
        <f t="shared" si="27"/>
        <v>-0.24094063808839178</v>
      </c>
      <c r="K44" s="76">
        <f t="shared" si="28"/>
        <v>3.4603078322944486E-2</v>
      </c>
      <c r="L44" s="77">
        <f t="shared" si="29"/>
        <v>5.1086484468631149E-2</v>
      </c>
      <c r="M44" s="76">
        <f t="shared" si="30"/>
        <v>3.4603078322944486E-2</v>
      </c>
      <c r="N44" s="77">
        <f t="shared" si="31"/>
        <v>5.1086484468631149E-2</v>
      </c>
      <c r="O44" s="76">
        <f t="shared" si="32"/>
        <v>-0.29883623873011983</v>
      </c>
      <c r="P44" s="77">
        <f t="shared" si="33"/>
        <v>0.11176747763931436</v>
      </c>
      <c r="Q44" s="76">
        <f t="shared" si="34"/>
        <v>3.4603078322944451E-2</v>
      </c>
      <c r="R44" s="75">
        <f t="shared" si="35"/>
        <v>-0.1732655040350084</v>
      </c>
    </row>
    <row r="45" spans="2:35">
      <c r="B45" s="81"/>
      <c r="C45">
        <v>2</v>
      </c>
      <c r="D45">
        <v>416</v>
      </c>
      <c r="E45">
        <v>1.3675280000000001</v>
      </c>
      <c r="F45" s="78"/>
      <c r="G45" s="75">
        <f t="shared" si="24"/>
        <v>0.25865662553832736</v>
      </c>
      <c r="H45" s="76">
        <f t="shared" si="25"/>
        <v>-0.5</v>
      </c>
      <c r="I45" s="75">
        <f t="shared" si="26"/>
        <v>-0.11290322580645162</v>
      </c>
      <c r="J45" s="75">
        <f t="shared" si="27"/>
        <v>-0.20132905523553296</v>
      </c>
      <c r="K45" s="76">
        <f t="shared" si="28"/>
        <v>6.4915743509586663E-2</v>
      </c>
      <c r="L45" s="77">
        <f t="shared" si="29"/>
        <v>7.9874667578711422E-2</v>
      </c>
      <c r="M45" s="76">
        <f t="shared" si="30"/>
        <v>6.4915743509586663E-2</v>
      </c>
      <c r="N45" s="77">
        <f t="shared" si="31"/>
        <v>7.9874667578711422E-2</v>
      </c>
      <c r="O45" s="76">
        <f t="shared" si="32"/>
        <v>-0.29883623873011977</v>
      </c>
      <c r="P45" s="77">
        <f t="shared" si="33"/>
        <v>0.14607211467400216</v>
      </c>
      <c r="Q45" s="76">
        <f t="shared" si="34"/>
        <v>6.4915743509586635E-2</v>
      </c>
      <c r="R45" s="75">
        <f t="shared" si="35"/>
        <v>-0.17878195795961593</v>
      </c>
    </row>
    <row r="46" spans="2:35">
      <c r="B46" s="81"/>
      <c r="C46">
        <v>2</v>
      </c>
      <c r="D46">
        <v>448</v>
      </c>
      <c r="E46">
        <v>1.4402427499999999</v>
      </c>
      <c r="F46" s="78"/>
      <c r="G46" s="75">
        <f t="shared" si="24"/>
        <v>0.28640352397095747</v>
      </c>
      <c r="H46" s="76">
        <f t="shared" si="25"/>
        <v>-0.5</v>
      </c>
      <c r="I46" s="75">
        <f t="shared" si="26"/>
        <v>-8.0645161290322565E-2</v>
      </c>
      <c r="J46" s="75">
        <f t="shared" si="27"/>
        <v>-0.16928969667702054</v>
      </c>
      <c r="K46" s="76">
        <f t="shared" si="28"/>
        <v>9.5228408696228908E-2</v>
      </c>
      <c r="L46" s="77">
        <f t="shared" si="29"/>
        <v>0.10210511208673398</v>
      </c>
      <c r="M46" s="76">
        <f t="shared" si="30"/>
        <v>9.5228408696228908E-2</v>
      </c>
      <c r="N46" s="77">
        <f t="shared" si="31"/>
        <v>0.10210511208673398</v>
      </c>
      <c r="O46" s="76">
        <f t="shared" si="32"/>
        <v>-0.29883623873011977</v>
      </c>
      <c r="P46" s="77">
        <f t="shared" si="33"/>
        <v>0.17381901310663231</v>
      </c>
      <c r="Q46" s="76">
        <f t="shared" si="34"/>
        <v>9.5228408696228867E-2</v>
      </c>
      <c r="R46" s="75">
        <f t="shared" si="35"/>
        <v>-0.18429841188422352</v>
      </c>
    </row>
    <row r="47" spans="2:35">
      <c r="B47" s="81"/>
      <c r="C47">
        <v>2</v>
      </c>
      <c r="D47">
        <v>480</v>
      </c>
      <c r="E47">
        <v>1.5692889999999999</v>
      </c>
      <c r="F47" s="78"/>
      <c r="G47" s="75">
        <f t="shared" si="24"/>
        <v>0.33564570924783471</v>
      </c>
      <c r="H47" s="76">
        <f t="shared" si="25"/>
        <v>-0.5</v>
      </c>
      <c r="I47" s="75">
        <f t="shared" si="26"/>
        <v>-4.8387096774193561E-2</v>
      </c>
      <c r="J47" s="75">
        <f t="shared" si="27"/>
        <v>-0.11242971882683955</v>
      </c>
      <c r="K47" s="76">
        <f t="shared" si="28"/>
        <v>0.12554107388287108</v>
      </c>
      <c r="L47" s="77">
        <f t="shared" si="29"/>
        <v>0.14583084343900365</v>
      </c>
      <c r="M47" s="76">
        <f t="shared" si="30"/>
        <v>0.12554107388287108</v>
      </c>
      <c r="N47" s="77">
        <f t="shared" si="31"/>
        <v>0.14583084343900365</v>
      </c>
      <c r="O47" s="76">
        <f t="shared" si="32"/>
        <v>-0.29883623873011977</v>
      </c>
      <c r="P47" s="77">
        <f t="shared" si="33"/>
        <v>0.22306119838350952</v>
      </c>
      <c r="Q47" s="76">
        <f t="shared" si="34"/>
        <v>0.12554107388287103</v>
      </c>
      <c r="R47" s="75">
        <f t="shared" si="35"/>
        <v>-0.18981486580883106</v>
      </c>
    </row>
    <row r="48" spans="2:35">
      <c r="B48" s="81"/>
      <c r="C48">
        <v>2</v>
      </c>
      <c r="D48">
        <v>512</v>
      </c>
      <c r="E48">
        <v>1.6351582499999999</v>
      </c>
      <c r="F48" s="78"/>
      <c r="G48" s="75">
        <f t="shared" si="24"/>
        <v>0.36078046374514822</v>
      </c>
      <c r="H48" s="76">
        <f t="shared" si="25"/>
        <v>-0.5</v>
      </c>
      <c r="I48" s="75">
        <f t="shared" si="26"/>
        <v>-1.6129032258064502E-2</v>
      </c>
      <c r="J48" s="75">
        <f t="shared" si="27"/>
        <v>-8.3406604276761331E-2</v>
      </c>
      <c r="K48" s="76">
        <f t="shared" si="28"/>
        <v>0.15585373906951333</v>
      </c>
      <c r="L48" s="77">
        <f t="shared" si="29"/>
        <v>0.16544914401170957</v>
      </c>
      <c r="M48" s="76">
        <f t="shared" si="30"/>
        <v>0.15585373906951333</v>
      </c>
      <c r="N48" s="77">
        <f t="shared" si="31"/>
        <v>0.16544914401170957</v>
      </c>
      <c r="O48" s="76">
        <f t="shared" si="32"/>
        <v>-0.29883623873011977</v>
      </c>
      <c r="P48" s="77">
        <f t="shared" si="33"/>
        <v>0.24819595288082302</v>
      </c>
      <c r="Q48" s="76">
        <f t="shared" si="34"/>
        <v>0.15585373906951328</v>
      </c>
      <c r="R48" s="75">
        <f t="shared" si="35"/>
        <v>-0.19533131973343865</v>
      </c>
    </row>
    <row r="49" spans="2:18">
      <c r="B49" s="81"/>
      <c r="C49">
        <v>2</v>
      </c>
      <c r="D49">
        <v>544</v>
      </c>
      <c r="E49">
        <v>1.65571125</v>
      </c>
      <c r="F49" s="78"/>
      <c r="G49" s="75">
        <f t="shared" si="24"/>
        <v>0.36862319171280056</v>
      </c>
      <c r="H49" s="76">
        <f t="shared" si="25"/>
        <v>-0.5</v>
      </c>
      <c r="I49" s="75">
        <f t="shared" si="26"/>
        <v>1.6129032258064502E-2</v>
      </c>
      <c r="J49" s="75">
        <f t="shared" si="27"/>
        <v>-7.4350602070151151E-2</v>
      </c>
      <c r="K49" s="76">
        <f t="shared" si="28"/>
        <v>0.18616640425615549</v>
      </c>
      <c r="L49" s="77">
        <f t="shared" si="29"/>
        <v>0.1677754180547544</v>
      </c>
      <c r="M49" s="76">
        <f t="shared" si="30"/>
        <v>0.18616640425615549</v>
      </c>
      <c r="N49" s="77">
        <f t="shared" si="31"/>
        <v>0.1677754180547544</v>
      </c>
      <c r="O49" s="76">
        <f t="shared" si="32"/>
        <v>-0.29883623873011977</v>
      </c>
      <c r="P49" s="77">
        <f t="shared" si="33"/>
        <v>0.25603868084847536</v>
      </c>
      <c r="Q49" s="76">
        <f t="shared" si="34"/>
        <v>0.18616640425615544</v>
      </c>
      <c r="R49" s="75">
        <f t="shared" si="35"/>
        <v>-0.20084777365804618</v>
      </c>
    </row>
    <row r="50" spans="2:18">
      <c r="B50" s="81"/>
      <c r="C50">
        <v>2</v>
      </c>
      <c r="D50">
        <v>576</v>
      </c>
      <c r="E50">
        <v>1.6731512500000001</v>
      </c>
      <c r="F50" s="78"/>
      <c r="G50" s="75">
        <f t="shared" si="24"/>
        <v>0.37527804383929586</v>
      </c>
      <c r="H50" s="76">
        <f t="shared" si="25"/>
        <v>-0.5</v>
      </c>
      <c r="I50" s="75">
        <f t="shared" si="26"/>
        <v>4.8387096774193505E-2</v>
      </c>
      <c r="J50" s="75">
        <f t="shared" si="27"/>
        <v>-6.6666240736852733E-2</v>
      </c>
      <c r="K50" s="76">
        <f t="shared" si="28"/>
        <v>0.21647906944279768</v>
      </c>
      <c r="L50" s="77">
        <f t="shared" si="29"/>
        <v>0.16891381625664212</v>
      </c>
      <c r="M50" s="76">
        <f t="shared" si="30"/>
        <v>0.21647906944279768</v>
      </c>
      <c r="N50" s="77">
        <f t="shared" si="31"/>
        <v>0.16891381625664212</v>
      </c>
      <c r="O50" s="76">
        <f t="shared" si="32"/>
        <v>-0.29883623873011977</v>
      </c>
      <c r="P50" s="77">
        <f t="shared" si="33"/>
        <v>0.26269353297497067</v>
      </c>
      <c r="Q50" s="76">
        <f t="shared" si="34"/>
        <v>0.21647906944279763</v>
      </c>
      <c r="R50" s="75">
        <f t="shared" si="35"/>
        <v>-0.20636422758265374</v>
      </c>
    </row>
    <row r="51" spans="2:18">
      <c r="B51" s="81"/>
      <c r="C51">
        <v>2</v>
      </c>
      <c r="D51">
        <v>608</v>
      </c>
      <c r="E51">
        <v>1.6846492500000001</v>
      </c>
      <c r="F51" s="78"/>
      <c r="G51" s="75">
        <f t="shared" si="24"/>
        <v>0.37966551458186715</v>
      </c>
      <c r="H51" s="76">
        <f t="shared" si="25"/>
        <v>-0.5</v>
      </c>
      <c r="I51" s="75">
        <f t="shared" si="26"/>
        <v>8.064516129032262E-2</v>
      </c>
      <c r="J51" s="75">
        <f t="shared" si="27"/>
        <v>-6.1600025908282507E-2</v>
      </c>
      <c r="K51" s="76">
        <f t="shared" si="28"/>
        <v>0.24679173462943996</v>
      </c>
      <c r="L51" s="77">
        <f t="shared" si="29"/>
        <v>0.16778483307460579</v>
      </c>
      <c r="M51" s="76">
        <f t="shared" si="30"/>
        <v>0.24679173462943996</v>
      </c>
      <c r="N51" s="77">
        <f t="shared" si="31"/>
        <v>0.16778483307460579</v>
      </c>
      <c r="O51" s="76">
        <f t="shared" si="32"/>
        <v>-0.29883623873011977</v>
      </c>
      <c r="P51" s="77">
        <f t="shared" si="33"/>
        <v>0.2670810037175419</v>
      </c>
      <c r="Q51" s="76">
        <f t="shared" si="34"/>
        <v>0.2467917346294399</v>
      </c>
      <c r="R51" s="75">
        <f t="shared" si="35"/>
        <v>-0.21188068150726133</v>
      </c>
    </row>
    <row r="52" spans="2:18">
      <c r="B52" s="81"/>
      <c r="C52">
        <v>2</v>
      </c>
      <c r="D52">
        <v>640</v>
      </c>
      <c r="E52">
        <v>1.70484575</v>
      </c>
      <c r="F52" s="78"/>
      <c r="G52" s="75">
        <f t="shared" si="24"/>
        <v>0.38737220729819516</v>
      </c>
      <c r="H52" s="76">
        <f t="shared" si="25"/>
        <v>-0.5</v>
      </c>
      <c r="I52" s="75">
        <f t="shared" si="26"/>
        <v>0.11290322580645162</v>
      </c>
      <c r="J52" s="75">
        <f t="shared" si="27"/>
        <v>-5.2701103679615058E-2</v>
      </c>
      <c r="K52" s="76">
        <f t="shared" si="28"/>
        <v>0.27710439981608215</v>
      </c>
      <c r="L52" s="77">
        <f t="shared" si="29"/>
        <v>0.16997507186632627</v>
      </c>
      <c r="M52" s="76">
        <f t="shared" si="30"/>
        <v>0.27710439981608215</v>
      </c>
      <c r="N52" s="77">
        <f t="shared" si="31"/>
        <v>0.16997507186632627</v>
      </c>
      <c r="O52" s="76">
        <f t="shared" si="32"/>
        <v>-0.29883623873011977</v>
      </c>
      <c r="P52" s="77">
        <f t="shared" si="33"/>
        <v>0.27478769643386997</v>
      </c>
      <c r="Q52" s="76">
        <f t="shared" si="34"/>
        <v>0.27710439981608209</v>
      </c>
      <c r="R52" s="75">
        <f t="shared" si="35"/>
        <v>-0.21739713543186889</v>
      </c>
    </row>
    <row r="53" spans="2:18">
      <c r="B53" s="81"/>
      <c r="C53">
        <v>2</v>
      </c>
      <c r="D53">
        <v>672</v>
      </c>
      <c r="E53">
        <v>1.71566025</v>
      </c>
      <c r="F53" s="78"/>
      <c r="G53" s="75">
        <f t="shared" si="24"/>
        <v>0.39149886431207037</v>
      </c>
      <c r="H53" s="76">
        <f t="shared" si="25"/>
        <v>-0.5</v>
      </c>
      <c r="I53" s="75">
        <f t="shared" si="26"/>
        <v>0.14516129032258063</v>
      </c>
      <c r="J53" s="75">
        <f t="shared" si="27"/>
        <v>-4.7936050603986868E-2</v>
      </c>
      <c r="K53" s="76">
        <f t="shared" si="28"/>
        <v>0.30741706500272431</v>
      </c>
      <c r="L53" s="77">
        <f t="shared" si="29"/>
        <v>0.16858527495559392</v>
      </c>
      <c r="M53" s="76">
        <f t="shared" si="30"/>
        <v>0.30741706500272431</v>
      </c>
      <c r="N53" s="77">
        <f t="shared" si="31"/>
        <v>0.16858527495559392</v>
      </c>
      <c r="O53" s="76">
        <f t="shared" si="32"/>
        <v>-0.29883623873011977</v>
      </c>
      <c r="P53" s="77">
        <f t="shared" si="33"/>
        <v>0.27891435344774512</v>
      </c>
      <c r="Q53" s="76">
        <f t="shared" si="34"/>
        <v>0.30741706500272425</v>
      </c>
      <c r="R53" s="75">
        <f t="shared" si="35"/>
        <v>-0.22291358935647643</v>
      </c>
    </row>
    <row r="54" spans="2:18">
      <c r="B54" s="81"/>
      <c r="C54">
        <v>2</v>
      </c>
      <c r="D54">
        <v>704</v>
      </c>
      <c r="E54">
        <v>1.7351427500000001</v>
      </c>
      <c r="F54" s="78"/>
      <c r="G54" s="75">
        <f t="shared" si="24"/>
        <v>0.39893310494019213</v>
      </c>
      <c r="H54" s="76">
        <f t="shared" si="25"/>
        <v>-0.5</v>
      </c>
      <c r="I54" s="75">
        <f t="shared" si="26"/>
        <v>0.17741935483870963</v>
      </c>
      <c r="J54" s="75">
        <f t="shared" si="27"/>
        <v>-3.9351728948253728E-2</v>
      </c>
      <c r="K54" s="76">
        <f t="shared" si="28"/>
        <v>0.33772973018936647</v>
      </c>
      <c r="L54" s="77">
        <f t="shared" si="29"/>
        <v>0.17050306165910814</v>
      </c>
      <c r="M54" s="76">
        <f t="shared" si="30"/>
        <v>0.33772973018936647</v>
      </c>
      <c r="N54" s="77">
        <f t="shared" si="31"/>
        <v>0.17050306165910814</v>
      </c>
      <c r="O54" s="76">
        <f t="shared" si="32"/>
        <v>-0.29883623873011977</v>
      </c>
      <c r="P54" s="77">
        <f t="shared" si="33"/>
        <v>0.28634859407586694</v>
      </c>
      <c r="Q54" s="76">
        <f t="shared" si="34"/>
        <v>0.33772973018936642</v>
      </c>
      <c r="R54" s="75">
        <f t="shared" si="35"/>
        <v>-0.22843004328108399</v>
      </c>
    </row>
    <row r="55" spans="2:18">
      <c r="B55" s="81"/>
      <c r="C55">
        <v>2</v>
      </c>
      <c r="D55">
        <v>736</v>
      </c>
      <c r="E55">
        <v>1.75250025</v>
      </c>
      <c r="F55" s="78"/>
      <c r="G55" s="75">
        <f t="shared" si="24"/>
        <v>0.40555647625817609</v>
      </c>
      <c r="H55" s="76">
        <f t="shared" si="25"/>
        <v>-0.5</v>
      </c>
      <c r="I55" s="75">
        <f t="shared" si="26"/>
        <v>0.20967741935483875</v>
      </c>
      <c r="J55" s="75">
        <f t="shared" si="27"/>
        <v>-3.1703718521491953E-2</v>
      </c>
      <c r="K55" s="76">
        <f t="shared" si="28"/>
        <v>0.3680423953760088</v>
      </c>
      <c r="L55" s="77">
        <f t="shared" si="29"/>
        <v>0.17160997905248451</v>
      </c>
      <c r="M55" s="76">
        <f t="shared" si="30"/>
        <v>0.3680423953760088</v>
      </c>
      <c r="N55" s="77">
        <f t="shared" si="31"/>
        <v>0.17160997905248451</v>
      </c>
      <c r="O55" s="76">
        <f t="shared" si="32"/>
        <v>-0.29883623873011977</v>
      </c>
      <c r="P55" s="77">
        <f t="shared" si="33"/>
        <v>0.2929719653938509</v>
      </c>
      <c r="Q55" s="76">
        <f t="shared" si="34"/>
        <v>0.36804239537600875</v>
      </c>
      <c r="R55" s="75">
        <f t="shared" si="35"/>
        <v>-0.23394649720569158</v>
      </c>
    </row>
    <row r="56" spans="2:18">
      <c r="B56" s="81"/>
      <c r="C56">
        <v>2</v>
      </c>
      <c r="D56">
        <v>768</v>
      </c>
      <c r="E56">
        <v>1.7728250000000001</v>
      </c>
      <c r="F56" s="78"/>
      <c r="G56" s="75">
        <f t="shared" si="24"/>
        <v>0.41331210732228074</v>
      </c>
      <c r="H56" s="76">
        <f t="shared" si="25"/>
        <v>-0.5</v>
      </c>
      <c r="I56" s="75">
        <f t="shared" si="26"/>
        <v>0.24193548387096775</v>
      </c>
      <c r="J56" s="75">
        <f t="shared" si="27"/>
        <v>-2.2748287156299452E-2</v>
      </c>
      <c r="K56" s="76">
        <f t="shared" si="28"/>
        <v>0.39835506056265091</v>
      </c>
      <c r="L56" s="77">
        <f t="shared" si="29"/>
        <v>0.17384915619198163</v>
      </c>
      <c r="M56" s="76">
        <f t="shared" si="30"/>
        <v>0.39835506056265091</v>
      </c>
      <c r="N56" s="77">
        <f t="shared" si="31"/>
        <v>0.17384915619198163</v>
      </c>
      <c r="O56" s="76">
        <f t="shared" si="32"/>
        <v>-0.29883623873011977</v>
      </c>
      <c r="P56" s="77">
        <f t="shared" si="33"/>
        <v>0.30072759645795555</v>
      </c>
      <c r="Q56" s="76">
        <f t="shared" si="34"/>
        <v>0.39835506056265085</v>
      </c>
      <c r="R56" s="75">
        <f t="shared" si="35"/>
        <v>-0.23946295113029914</v>
      </c>
    </row>
    <row r="57" spans="2:18">
      <c r="B57" s="81"/>
      <c r="C57">
        <v>2</v>
      </c>
      <c r="D57">
        <v>800</v>
      </c>
      <c r="E57">
        <v>1.7956827500000001</v>
      </c>
      <c r="F57" s="78"/>
      <c r="G57" s="75">
        <f t="shared" si="24"/>
        <v>0.4220342946040696</v>
      </c>
      <c r="H57" s="76">
        <f t="shared" si="25"/>
        <v>-0.5</v>
      </c>
      <c r="I57" s="75">
        <f t="shared" si="26"/>
        <v>0.27419354838709675</v>
      </c>
      <c r="J57" s="75">
        <f t="shared" si="27"/>
        <v>-1.2676772806173242E-2</v>
      </c>
      <c r="K57" s="76">
        <f t="shared" si="28"/>
        <v>0.42866772574929313</v>
      </c>
      <c r="L57" s="77">
        <f t="shared" si="29"/>
        <v>0.17705488954916287</v>
      </c>
      <c r="M57" s="76">
        <f t="shared" si="30"/>
        <v>0.42866772574929313</v>
      </c>
      <c r="N57" s="77">
        <f t="shared" si="31"/>
        <v>0.17705488954916287</v>
      </c>
      <c r="O57" s="76">
        <f t="shared" si="32"/>
        <v>-0.29883623873011977</v>
      </c>
      <c r="P57" s="77">
        <f t="shared" si="33"/>
        <v>0.30944978373974441</v>
      </c>
      <c r="Q57" s="76">
        <f t="shared" si="34"/>
        <v>0.42866772574929307</v>
      </c>
      <c r="R57" s="75">
        <f t="shared" si="35"/>
        <v>-0.2449794050549067</v>
      </c>
    </row>
    <row r="58" spans="2:18">
      <c r="B58" s="81"/>
      <c r="C58">
        <v>2</v>
      </c>
      <c r="D58">
        <v>832</v>
      </c>
      <c r="E58">
        <v>1.8143867499999999</v>
      </c>
      <c r="F58" s="78"/>
      <c r="G58" s="75">
        <f t="shared" si="24"/>
        <v>0.42917147087551261</v>
      </c>
      <c r="H58" s="76">
        <f t="shared" si="25"/>
        <v>-0.5</v>
      </c>
      <c r="I58" s="75">
        <f t="shared" si="26"/>
        <v>0.30645161290322576</v>
      </c>
      <c r="J58" s="75">
        <f t="shared" si="27"/>
        <v>-4.4354715230303654E-3</v>
      </c>
      <c r="K58" s="76">
        <f t="shared" si="28"/>
        <v>0.45898039093593535</v>
      </c>
      <c r="L58" s="77">
        <f t="shared" si="29"/>
        <v>0.17867561189599834</v>
      </c>
      <c r="M58" s="76">
        <f t="shared" si="30"/>
        <v>0.45898039093593535</v>
      </c>
      <c r="N58" s="77">
        <f t="shared" si="31"/>
        <v>0.17867561189599834</v>
      </c>
      <c r="O58" s="76">
        <f t="shared" si="32"/>
        <v>-0.29883623873011977</v>
      </c>
      <c r="P58" s="77">
        <f t="shared" si="33"/>
        <v>0.31658696001118741</v>
      </c>
      <c r="Q58" s="76">
        <f t="shared" si="34"/>
        <v>0.45898039093593529</v>
      </c>
      <c r="R58" s="75">
        <f t="shared" si="35"/>
        <v>-0.25049585897951426</v>
      </c>
    </row>
    <row r="59" spans="2:18">
      <c r="B59" s="81"/>
      <c r="C59">
        <v>2</v>
      </c>
      <c r="D59">
        <v>864</v>
      </c>
      <c r="E59">
        <v>1.83353725</v>
      </c>
      <c r="F59" s="78"/>
      <c r="G59" s="75">
        <f t="shared" si="24"/>
        <v>0.43647902509847408</v>
      </c>
      <c r="H59" s="76">
        <f t="shared" si="25"/>
        <v>-0.5</v>
      </c>
      <c r="I59" s="75">
        <f t="shared" si="26"/>
        <v>0.33870967741935487</v>
      </c>
      <c r="J59" s="75">
        <f t="shared" si="27"/>
        <v>4.0025652724587912E-3</v>
      </c>
      <c r="K59" s="76">
        <f t="shared" si="28"/>
        <v>0.48929305612257756</v>
      </c>
      <c r="L59" s="77">
        <f t="shared" si="29"/>
        <v>0.18046671219435223</v>
      </c>
      <c r="M59" s="76">
        <f t="shared" si="30"/>
        <v>0.48929305612257756</v>
      </c>
      <c r="N59" s="77">
        <f t="shared" si="31"/>
        <v>0.18046671219435223</v>
      </c>
      <c r="O59" s="76">
        <f t="shared" si="32"/>
        <v>-0.29883623873011977</v>
      </c>
      <c r="P59" s="77">
        <f t="shared" si="33"/>
        <v>0.32389451423414883</v>
      </c>
      <c r="Q59" s="76">
        <f t="shared" si="34"/>
        <v>0.48929305612257751</v>
      </c>
      <c r="R59" s="75">
        <f t="shared" si="35"/>
        <v>-0.25601231290412185</v>
      </c>
    </row>
    <row r="60" spans="2:18">
      <c r="B60" s="81"/>
      <c r="C60">
        <v>2</v>
      </c>
      <c r="D60">
        <v>896</v>
      </c>
      <c r="E60">
        <v>1.8599405</v>
      </c>
      <c r="F60" s="78"/>
      <c r="G60" s="75">
        <f t="shared" si="24"/>
        <v>0.44655412397513039</v>
      </c>
      <c r="H60" s="76">
        <f t="shared" si="25"/>
        <v>-0.5</v>
      </c>
      <c r="I60" s="75">
        <f t="shared" si="26"/>
        <v>0.37096774193548387</v>
      </c>
      <c r="J60" s="75">
        <f t="shared" si="27"/>
        <v>1.5636287369558022E-2</v>
      </c>
      <c r="K60" s="76">
        <f t="shared" si="28"/>
        <v>0.51960572130921978</v>
      </c>
      <c r="L60" s="77">
        <f t="shared" si="29"/>
        <v>0.18502535714640098</v>
      </c>
      <c r="M60" s="76">
        <f t="shared" si="30"/>
        <v>0.51960572130921978</v>
      </c>
      <c r="N60" s="77">
        <f t="shared" si="31"/>
        <v>0.18502535714640098</v>
      </c>
      <c r="O60" s="76">
        <f t="shared" si="32"/>
        <v>-0.29883623873011977</v>
      </c>
      <c r="P60" s="77">
        <f t="shared" si="33"/>
        <v>0.33396961311080514</v>
      </c>
      <c r="Q60" s="76">
        <f t="shared" si="34"/>
        <v>0.51960572130921967</v>
      </c>
      <c r="R60" s="75">
        <f t="shared" si="35"/>
        <v>-0.26152876682872939</v>
      </c>
    </row>
    <row r="61" spans="2:18">
      <c r="B61" s="81"/>
      <c r="C61">
        <v>2</v>
      </c>
      <c r="D61">
        <v>928</v>
      </c>
      <c r="E61">
        <v>1.88144775</v>
      </c>
      <c r="F61" s="78"/>
      <c r="G61" s="75">
        <f t="shared" si="24"/>
        <v>0.45476097996122922</v>
      </c>
      <c r="H61" s="76">
        <f t="shared" si="25"/>
        <v>-0.5</v>
      </c>
      <c r="I61" s="75">
        <f t="shared" si="26"/>
        <v>0.40322580645161288</v>
      </c>
      <c r="J61" s="75">
        <f t="shared" si="27"/>
        <v>2.5112748395107354E-2</v>
      </c>
      <c r="K61" s="76">
        <f t="shared" si="28"/>
        <v>0.54991838649586189</v>
      </c>
      <c r="L61" s="77">
        <f t="shared" si="29"/>
        <v>0.1877157592078923</v>
      </c>
      <c r="M61" s="76">
        <f t="shared" si="30"/>
        <v>0.54991838649586189</v>
      </c>
      <c r="N61" s="77">
        <f t="shared" si="31"/>
        <v>0.1877157592078923</v>
      </c>
      <c r="O61" s="76">
        <f t="shared" si="32"/>
        <v>-0.29883623873011977</v>
      </c>
      <c r="P61" s="77">
        <f t="shared" si="33"/>
        <v>0.34217646909690402</v>
      </c>
      <c r="Q61" s="76">
        <f t="shared" si="34"/>
        <v>0.54991838649586178</v>
      </c>
      <c r="R61" s="75">
        <f t="shared" si="35"/>
        <v>-0.26704522075333692</v>
      </c>
    </row>
    <row r="62" spans="2:18">
      <c r="B62" s="81"/>
      <c r="C62">
        <v>2</v>
      </c>
      <c r="D62">
        <v>960</v>
      </c>
      <c r="E62">
        <v>1.9087222500000001</v>
      </c>
      <c r="F62" s="78"/>
      <c r="G62" s="75">
        <f t="shared" si="24"/>
        <v>0.46516853525504209</v>
      </c>
      <c r="H62" s="76">
        <f t="shared" si="25"/>
        <v>-0.5</v>
      </c>
      <c r="I62" s="75">
        <f t="shared" si="26"/>
        <v>0.43548387096774188</v>
      </c>
      <c r="J62" s="75">
        <f t="shared" si="27"/>
        <v>3.7130358096084892E-2</v>
      </c>
      <c r="K62" s="76">
        <f t="shared" si="28"/>
        <v>0.58023105168250411</v>
      </c>
      <c r="L62" s="77">
        <f t="shared" si="29"/>
        <v>0.19260686057709758</v>
      </c>
      <c r="M62" s="76">
        <f t="shared" si="30"/>
        <v>0.58023105168250411</v>
      </c>
      <c r="N62" s="77">
        <f t="shared" si="31"/>
        <v>0.19260686057709758</v>
      </c>
      <c r="O62" s="76">
        <f t="shared" si="32"/>
        <v>-0.29883623873011977</v>
      </c>
      <c r="P62" s="77">
        <f t="shared" si="33"/>
        <v>0.3525840243907169</v>
      </c>
      <c r="Q62" s="76">
        <f t="shared" si="34"/>
        <v>0.580231051682504</v>
      </c>
      <c r="R62" s="75">
        <f t="shared" si="35"/>
        <v>-0.27256167467794451</v>
      </c>
    </row>
    <row r="63" spans="2:18">
      <c r="B63" s="81"/>
      <c r="C63">
        <v>2</v>
      </c>
      <c r="D63">
        <v>992</v>
      </c>
      <c r="E63">
        <v>1.9248365000000001</v>
      </c>
      <c r="F63" s="78"/>
      <c r="G63" s="75">
        <f t="shared" si="24"/>
        <v>0.47131750032840086</v>
      </c>
      <c r="H63" s="76">
        <f t="shared" si="25"/>
        <v>-0.5</v>
      </c>
      <c r="I63" s="75">
        <f t="shared" si="26"/>
        <v>0.467741935483871</v>
      </c>
      <c r="J63" s="75">
        <f t="shared" si="27"/>
        <v>4.4230571376767447E-2</v>
      </c>
      <c r="K63" s="76">
        <f t="shared" si="28"/>
        <v>0.61054371686914644</v>
      </c>
      <c r="L63" s="77">
        <f t="shared" si="29"/>
        <v>0.19323937172584876</v>
      </c>
      <c r="M63" s="76">
        <f t="shared" si="30"/>
        <v>0.61054371686914644</v>
      </c>
      <c r="N63" s="77">
        <f t="shared" si="31"/>
        <v>0.19323937172584876</v>
      </c>
      <c r="O63" s="76">
        <f t="shared" si="32"/>
        <v>-0.29883623873011977</v>
      </c>
      <c r="P63" s="77">
        <f t="shared" si="33"/>
        <v>0.35873298946407561</v>
      </c>
      <c r="Q63" s="76">
        <f t="shared" si="34"/>
        <v>0.61054371686914632</v>
      </c>
      <c r="R63" s="75">
        <f t="shared" si="35"/>
        <v>-0.2780781286025521</v>
      </c>
    </row>
    <row r="64" spans="2:18">
      <c r="B64" s="81"/>
      <c r="C64">
        <v>2</v>
      </c>
      <c r="D64">
        <v>1024</v>
      </c>
      <c r="E64">
        <v>1.9457359999999999</v>
      </c>
      <c r="F64" s="78"/>
      <c r="G64" s="75">
        <f t="shared" si="24"/>
        <v>0.47929244769180024</v>
      </c>
      <c r="H64" s="76">
        <f t="shared" si="25"/>
        <v>-0.5</v>
      </c>
      <c r="I64" s="75">
        <f t="shared" si="26"/>
        <v>0.5</v>
      </c>
      <c r="J64" s="75">
        <f t="shared" si="27"/>
        <v>5.3439247390830946E-2</v>
      </c>
      <c r="K64" s="76">
        <f t="shared" si="28"/>
        <v>0.64085638205578854</v>
      </c>
      <c r="L64" s="77">
        <f t="shared" si="29"/>
        <v>0.19569786516464061</v>
      </c>
      <c r="M64" s="76">
        <f t="shared" si="30"/>
        <v>0.64085638205578854</v>
      </c>
      <c r="N64" s="77">
        <f t="shared" si="31"/>
        <v>0.19569786516464061</v>
      </c>
      <c r="O64" s="76">
        <f t="shared" si="32"/>
        <v>-0.29883623873011977</v>
      </c>
      <c r="P64" s="77">
        <f t="shared" si="33"/>
        <v>0.36670793682747505</v>
      </c>
      <c r="Q64" s="76">
        <f t="shared" si="34"/>
        <v>0.64085638205578843</v>
      </c>
      <c r="R64" s="75">
        <f t="shared" si="35"/>
        <v>-0.28359458252715963</v>
      </c>
    </row>
    <row r="65" spans="2:18">
      <c r="B65" s="81"/>
      <c r="C65">
        <v>4</v>
      </c>
      <c r="D65">
        <v>32</v>
      </c>
      <c r="E65">
        <v>0.73851975000000003</v>
      </c>
      <c r="F65" s="78"/>
      <c r="G65" s="75">
        <f t="shared" si="24"/>
        <v>1.8636161656701289E-2</v>
      </c>
      <c r="H65" s="76">
        <f t="shared" si="25"/>
        <v>-0.4</v>
      </c>
      <c r="I65" s="75">
        <f t="shared" si="26"/>
        <v>-0.5</v>
      </c>
      <c r="J65" s="75">
        <f t="shared" si="27"/>
        <v>-0.47848081410168425</v>
      </c>
      <c r="K65" s="76">
        <f t="shared" si="28"/>
        <v>-0.3330382530626867</v>
      </c>
      <c r="L65" s="77">
        <f t="shared" si="29"/>
        <v>-0.14093298024691925</v>
      </c>
      <c r="M65" s="76">
        <f t="shared" si="30"/>
        <v>-0.29883623873011983</v>
      </c>
      <c r="N65" s="77">
        <f t="shared" si="31"/>
        <v>-9.3948349207623905E-2</v>
      </c>
      <c r="O65" s="76">
        <f t="shared" si="32"/>
        <v>-0.3330382530626867</v>
      </c>
      <c r="P65" s="77">
        <f t="shared" si="33"/>
        <v>-0.14093298024691925</v>
      </c>
      <c r="Q65" s="76">
        <f t="shared" si="34"/>
        <v>-0.3330382530626867</v>
      </c>
      <c r="R65" s="75">
        <f t="shared" si="35"/>
        <v>-0.15956914190362054</v>
      </c>
    </row>
    <row r="66" spans="2:18">
      <c r="B66" s="81"/>
      <c r="C66">
        <v>4</v>
      </c>
      <c r="D66">
        <v>64</v>
      </c>
      <c r="E66">
        <v>0.70048224999999997</v>
      </c>
      <c r="F66" s="78"/>
      <c r="G66" s="75">
        <f t="shared" si="24"/>
        <v>4.1216010052354535E-3</v>
      </c>
      <c r="H66" s="76">
        <f t="shared" si="25"/>
        <v>-0.4</v>
      </c>
      <c r="I66" s="75">
        <f t="shared" si="26"/>
        <v>-0.467741935483871</v>
      </c>
      <c r="J66" s="75">
        <f t="shared" si="27"/>
        <v>-0.49524078510027014</v>
      </c>
      <c r="K66" s="76">
        <f t="shared" si="28"/>
        <v>-0.30272558787604448</v>
      </c>
      <c r="L66" s="77">
        <f t="shared" si="29"/>
        <v>-0.16096399482299267</v>
      </c>
      <c r="M66" s="76">
        <f t="shared" si="30"/>
        <v>-0.26852357354347761</v>
      </c>
      <c r="N66" s="77">
        <f t="shared" si="31"/>
        <v>-0.11397936378369733</v>
      </c>
      <c r="O66" s="76">
        <f t="shared" si="32"/>
        <v>-0.3330382530626867</v>
      </c>
      <c r="P66" s="77">
        <f t="shared" si="33"/>
        <v>-0.15544754089838508</v>
      </c>
      <c r="Q66" s="76">
        <f t="shared" si="34"/>
        <v>-0.30272558787604448</v>
      </c>
      <c r="R66" s="75">
        <f t="shared" si="35"/>
        <v>-0.16508559582822813</v>
      </c>
    </row>
    <row r="67" spans="2:18">
      <c r="B67" s="81"/>
      <c r="C67">
        <v>4</v>
      </c>
      <c r="D67">
        <v>96</v>
      </c>
      <c r="E67">
        <v>0.77807475000000004</v>
      </c>
      <c r="F67" s="78"/>
      <c r="G67" s="75">
        <f t="shared" si="24"/>
        <v>3.3729778391994814E-2</v>
      </c>
      <c r="H67" s="76">
        <f t="shared" si="25"/>
        <v>-0.4</v>
      </c>
      <c r="I67" s="75">
        <f t="shared" si="26"/>
        <v>-0.43548387096774194</v>
      </c>
      <c r="J67" s="75">
        <f t="shared" si="27"/>
        <v>-0.46105220673135072</v>
      </c>
      <c r="K67" s="76">
        <f t="shared" si="28"/>
        <v>-0.27241292268940226</v>
      </c>
      <c r="L67" s="77">
        <f t="shared" si="29"/>
        <v>-0.1368722713608409</v>
      </c>
      <c r="M67" s="76">
        <f t="shared" si="30"/>
        <v>-0.23821090835683542</v>
      </c>
      <c r="N67" s="77">
        <f t="shared" si="31"/>
        <v>-8.9887640321545503E-2</v>
      </c>
      <c r="O67" s="76">
        <f t="shared" si="32"/>
        <v>-0.3330382530626867</v>
      </c>
      <c r="P67" s="77">
        <f t="shared" si="33"/>
        <v>-0.12583936351162572</v>
      </c>
      <c r="Q67" s="76">
        <f t="shared" si="34"/>
        <v>-0.27241292268940226</v>
      </c>
      <c r="R67" s="75">
        <f t="shared" si="35"/>
        <v>-0.17060204975283572</v>
      </c>
    </row>
    <row r="68" spans="2:18">
      <c r="B68" s="81"/>
      <c r="C68">
        <v>4</v>
      </c>
      <c r="D68">
        <v>128</v>
      </c>
      <c r="E68">
        <v>0.92713000000000001</v>
      </c>
      <c r="F68" s="78"/>
      <c r="G68" s="75">
        <f t="shared" si="24"/>
        <v>9.0607109093129135E-2</v>
      </c>
      <c r="H68" s="76">
        <f t="shared" si="25"/>
        <v>-0.4</v>
      </c>
      <c r="I68" s="75">
        <f t="shared" si="26"/>
        <v>-0.40322580645161288</v>
      </c>
      <c r="J68" s="75">
        <f t="shared" si="27"/>
        <v>-0.39537592234917623</v>
      </c>
      <c r="K68" s="76">
        <f t="shared" si="28"/>
        <v>-0.24210025750276001</v>
      </c>
      <c r="L68" s="77">
        <f t="shared" si="29"/>
        <v>-8.5511394584314115E-2</v>
      </c>
      <c r="M68" s="76">
        <f t="shared" si="30"/>
        <v>-0.20789824317019315</v>
      </c>
      <c r="N68" s="77">
        <f t="shared" si="31"/>
        <v>-3.8526763545018772E-2</v>
      </c>
      <c r="O68" s="76">
        <f t="shared" si="32"/>
        <v>-0.3330382530626867</v>
      </c>
      <c r="P68" s="77">
        <f t="shared" si="33"/>
        <v>-6.8962032810491403E-2</v>
      </c>
      <c r="Q68" s="76">
        <f t="shared" si="34"/>
        <v>-0.24210025750276001</v>
      </c>
      <c r="R68" s="75">
        <f t="shared" si="35"/>
        <v>-0.17611850367744325</v>
      </c>
    </row>
    <row r="69" spans="2:18">
      <c r="B69" s="81"/>
      <c r="C69">
        <v>4</v>
      </c>
      <c r="D69">
        <v>160</v>
      </c>
      <c r="E69">
        <v>1.084333</v>
      </c>
      <c r="F69" s="78"/>
      <c r="G69" s="75">
        <f t="shared" si="24"/>
        <v>0.15059350352211043</v>
      </c>
      <c r="H69" s="76">
        <f t="shared" si="25"/>
        <v>-0.4</v>
      </c>
      <c r="I69" s="75">
        <f t="shared" si="26"/>
        <v>-0.37096774193548387</v>
      </c>
      <c r="J69" s="75">
        <f t="shared" si="27"/>
        <v>-0.32610960040660142</v>
      </c>
      <c r="K69" s="76">
        <f t="shared" si="28"/>
        <v>-0.21178759231611782</v>
      </c>
      <c r="L69" s="77">
        <f t="shared" si="29"/>
        <v>-3.1041454079940356E-2</v>
      </c>
      <c r="M69" s="76">
        <f t="shared" si="30"/>
        <v>-0.17758557798355096</v>
      </c>
      <c r="N69" s="77">
        <f t="shared" si="31"/>
        <v>1.5943176959354988E-2</v>
      </c>
      <c r="O69" s="76">
        <f t="shared" si="32"/>
        <v>-0.3330382530626867</v>
      </c>
      <c r="P69" s="77">
        <f t="shared" si="33"/>
        <v>-8.9756383815101093E-3</v>
      </c>
      <c r="Q69" s="76">
        <f t="shared" si="34"/>
        <v>-0.21178759231611785</v>
      </c>
      <c r="R69" s="75">
        <f t="shared" si="35"/>
        <v>-0.18163495760205078</v>
      </c>
    </row>
    <row r="70" spans="2:18">
      <c r="B70" s="81"/>
      <c r="C70">
        <v>4</v>
      </c>
      <c r="D70">
        <v>192</v>
      </c>
      <c r="E70">
        <v>1.2799780000000001</v>
      </c>
      <c r="F70" s="78"/>
      <c r="G70" s="75">
        <f t="shared" si="24"/>
        <v>0.22524880996065194</v>
      </c>
      <c r="H70" s="76">
        <f t="shared" si="25"/>
        <v>-0.4</v>
      </c>
      <c r="I70" s="75">
        <f t="shared" si="26"/>
        <v>-0.33870967741935487</v>
      </c>
      <c r="J70" s="75">
        <f t="shared" si="27"/>
        <v>-0.2399050778691495</v>
      </c>
      <c r="K70" s="76">
        <f t="shared" si="28"/>
        <v>-0.18147492712947566</v>
      </c>
      <c r="L70" s="77">
        <f t="shared" si="29"/>
        <v>3.8097398433993568E-2</v>
      </c>
      <c r="M70" s="76">
        <f t="shared" si="30"/>
        <v>-0.14727291279690879</v>
      </c>
      <c r="N70" s="77">
        <f t="shared" si="31"/>
        <v>8.5082029473288912E-2</v>
      </c>
      <c r="O70" s="76">
        <f t="shared" si="32"/>
        <v>-0.3330382530626867</v>
      </c>
      <c r="P70" s="77">
        <f t="shared" si="33"/>
        <v>6.5679668057031404E-2</v>
      </c>
      <c r="Q70" s="76">
        <f t="shared" si="34"/>
        <v>-0.18147492712947569</v>
      </c>
      <c r="R70" s="75">
        <f t="shared" si="35"/>
        <v>-0.18715141152665837</v>
      </c>
    </row>
    <row r="71" spans="2:18">
      <c r="B71" s="81"/>
      <c r="C71">
        <v>4</v>
      </c>
      <c r="D71">
        <v>224</v>
      </c>
      <c r="E71">
        <v>1.4345730000000001</v>
      </c>
      <c r="F71" s="78"/>
      <c r="G71" s="75">
        <f t="shared" si="24"/>
        <v>0.28424002925512065</v>
      </c>
      <c r="H71" s="76">
        <f t="shared" si="25"/>
        <v>-0.4</v>
      </c>
      <c r="I71" s="75">
        <f t="shared" si="26"/>
        <v>-0.30645161290322581</v>
      </c>
      <c r="J71" s="75">
        <f t="shared" si="27"/>
        <v>-0.17178788519017801</v>
      </c>
      <c r="K71" s="76">
        <f t="shared" si="28"/>
        <v>-0.15116226194283344</v>
      </c>
      <c r="L71" s="77">
        <f t="shared" si="29"/>
        <v>9.1572163803854717E-2</v>
      </c>
      <c r="M71" s="76">
        <f t="shared" si="30"/>
        <v>-0.11696024761026658</v>
      </c>
      <c r="N71" s="77">
        <f t="shared" si="31"/>
        <v>0.13855679484315009</v>
      </c>
      <c r="O71" s="76">
        <f t="shared" si="32"/>
        <v>-0.33303825306268664</v>
      </c>
      <c r="P71" s="77">
        <f t="shared" si="33"/>
        <v>0.12467088735150011</v>
      </c>
      <c r="Q71" s="76">
        <f t="shared" si="34"/>
        <v>-0.15116226194283347</v>
      </c>
      <c r="R71" s="75">
        <f t="shared" si="35"/>
        <v>-0.19266786545126593</v>
      </c>
    </row>
    <row r="72" spans="2:18">
      <c r="B72" s="81"/>
      <c r="C72">
        <v>4</v>
      </c>
      <c r="D72">
        <v>256</v>
      </c>
      <c r="E72">
        <v>1.6358742500000001</v>
      </c>
      <c r="F72" s="78"/>
      <c r="G72" s="75">
        <f t="shared" ref="G72:G103" si="36">D$19*(L72-R72)</f>
        <v>0.36105367900447</v>
      </c>
      <c r="H72" s="76">
        <f t="shared" ref="H72:H103" si="37">(C72-H$16)/H$17-0.5</f>
        <v>-0.4</v>
      </c>
      <c r="I72" s="75">
        <f t="shared" ref="I72:I103" si="38">(D72-I$16)/I$17-0.5</f>
        <v>-0.27419354838709675</v>
      </c>
      <c r="J72" s="75">
        <f t="shared" ref="J72:J103" si="39">(E72-J$16)/J$17-0.5</f>
        <v>-8.3091122469729051E-2</v>
      </c>
      <c r="K72" s="76">
        <f t="shared" ref="K72:K103" si="40">(H72*$H$13+I72*$I$13+J72*$J$13+$D$27)*$C$27</f>
        <v>-0.12084959675619115</v>
      </c>
      <c r="L72" s="77">
        <f t="shared" ref="L72:L103" si="41">(H72*$H$14+I72*$I$14+J72*$J$14+$E$27)*$C$27</f>
        <v>0.1628693596285965</v>
      </c>
      <c r="M72" s="76">
        <f t="shared" ref="M72:M103" si="42">(H$27*$H$13+I72*$I$13+J72*$J$13+$D$27)*$C$27</f>
        <v>-8.6647582423624289E-2</v>
      </c>
      <c r="N72" s="77">
        <f t="shared" ref="N72:N103" si="43">(H$27*$H$14+I72*$I$14+J72*$J$14+$E$27)*$C$27</f>
        <v>0.20985399066789184</v>
      </c>
      <c r="O72" s="76">
        <f t="shared" ref="O72:O103" si="44">(H72*$H$13+I$27*$I$13+J72*$J$13+$D$27)*$C$27</f>
        <v>-0.33303825306268664</v>
      </c>
      <c r="P72" s="77">
        <f t="shared" ref="P72:P103" si="45">(H72*$H$14+I$27*$I$14+J72*$J$14+$E$27)*$C$27</f>
        <v>0.20148453710084946</v>
      </c>
      <c r="Q72" s="76">
        <f t="shared" ref="Q72:Q103" si="46">(H72*$H$13+I72*$I$13+J$27*$J$13+$D$27)*$C$27</f>
        <v>-0.1208495967561912</v>
      </c>
      <c r="R72" s="75">
        <f t="shared" ref="R72:R103" si="47">(H72*$H$14+I72*$I$14+J$27*$J$14+$E$27)*$C$27</f>
        <v>-0.1981843193758735</v>
      </c>
    </row>
    <row r="73" spans="2:18">
      <c r="B73" s="81"/>
      <c r="C73">
        <v>4</v>
      </c>
      <c r="D73">
        <v>288</v>
      </c>
      <c r="E73">
        <v>1.67279625</v>
      </c>
      <c r="F73" s="78"/>
      <c r="G73" s="75">
        <f t="shared" si="36"/>
        <v>0.37514258096630815</v>
      </c>
      <c r="H73" s="76">
        <f t="shared" si="37"/>
        <v>-0.4</v>
      </c>
      <c r="I73" s="75">
        <f t="shared" si="38"/>
        <v>-0.24193548387096775</v>
      </c>
      <c r="J73" s="75">
        <f t="shared" si="39"/>
        <v>-6.6822659789222083E-2</v>
      </c>
      <c r="K73" s="76">
        <f t="shared" si="40"/>
        <v>-9.0536931569548992E-2</v>
      </c>
      <c r="L73" s="77">
        <f t="shared" si="41"/>
        <v>0.17144180766582706</v>
      </c>
      <c r="M73" s="76">
        <f t="shared" si="42"/>
        <v>-5.633491723698212E-2</v>
      </c>
      <c r="N73" s="77">
        <f t="shared" si="43"/>
        <v>0.21842643870512243</v>
      </c>
      <c r="O73" s="76">
        <f t="shared" si="44"/>
        <v>-0.33303825306268664</v>
      </c>
      <c r="P73" s="77">
        <f t="shared" si="45"/>
        <v>0.21557343906268758</v>
      </c>
      <c r="Q73" s="76">
        <f t="shared" si="46"/>
        <v>-9.0536931569549034E-2</v>
      </c>
      <c r="R73" s="75">
        <f t="shared" si="47"/>
        <v>-0.20370077330048106</v>
      </c>
    </row>
    <row r="74" spans="2:18">
      <c r="B74" s="81"/>
      <c r="C74">
        <v>4</v>
      </c>
      <c r="D74">
        <v>320</v>
      </c>
      <c r="E74">
        <v>1.70628625</v>
      </c>
      <c r="F74" s="78"/>
      <c r="G74" s="75">
        <f t="shared" si="36"/>
        <v>0.38792188129407912</v>
      </c>
      <c r="H74" s="76">
        <f t="shared" si="37"/>
        <v>-0.4</v>
      </c>
      <c r="I74" s="75">
        <f t="shared" si="38"/>
        <v>-0.20967741935483869</v>
      </c>
      <c r="J74" s="75">
        <f t="shared" si="39"/>
        <v>-5.2066394820634743E-2</v>
      </c>
      <c r="K74" s="76">
        <f t="shared" si="40"/>
        <v>-6.0224266382906767E-2</v>
      </c>
      <c r="L74" s="77">
        <f t="shared" si="41"/>
        <v>0.17870465406899053</v>
      </c>
      <c r="M74" s="76">
        <f t="shared" si="42"/>
        <v>-2.6022252050339902E-2</v>
      </c>
      <c r="N74" s="77">
        <f t="shared" si="43"/>
        <v>0.22568928510828587</v>
      </c>
      <c r="O74" s="76">
        <f t="shared" si="44"/>
        <v>-0.33303825306268664</v>
      </c>
      <c r="P74" s="77">
        <f t="shared" si="45"/>
        <v>0.22835273939045861</v>
      </c>
      <c r="Q74" s="76">
        <f t="shared" si="46"/>
        <v>-6.0224266382906823E-2</v>
      </c>
      <c r="R74" s="75">
        <f t="shared" si="47"/>
        <v>-0.20921722722508862</v>
      </c>
    </row>
    <row r="75" spans="2:18">
      <c r="B75" s="81"/>
      <c r="C75">
        <v>4</v>
      </c>
      <c r="D75">
        <v>352</v>
      </c>
      <c r="E75">
        <v>1.73491025</v>
      </c>
      <c r="F75" s="78"/>
      <c r="G75" s="75">
        <f t="shared" si="36"/>
        <v>0.3988443862980241</v>
      </c>
      <c r="H75" s="76">
        <f t="shared" si="37"/>
        <v>-0.4</v>
      </c>
      <c r="I75" s="75">
        <f t="shared" si="38"/>
        <v>-0.17741935483870969</v>
      </c>
      <c r="J75" s="75">
        <f t="shared" si="39"/>
        <v>-3.9454172412129451E-2</v>
      </c>
      <c r="K75" s="76">
        <f t="shared" si="40"/>
        <v>-2.9911601196264574E-2</v>
      </c>
      <c r="L75" s="77">
        <f t="shared" si="41"/>
        <v>0.18411070514832789</v>
      </c>
      <c r="M75" s="76">
        <f t="shared" si="42"/>
        <v>4.2904131363022905E-3</v>
      </c>
      <c r="N75" s="77">
        <f t="shared" si="43"/>
        <v>0.23109533618762329</v>
      </c>
      <c r="O75" s="76">
        <f t="shared" si="44"/>
        <v>-0.33303825306268664</v>
      </c>
      <c r="P75" s="77">
        <f t="shared" si="45"/>
        <v>0.23927524439440356</v>
      </c>
      <c r="Q75" s="76">
        <f t="shared" si="46"/>
        <v>-2.9911601196264632E-2</v>
      </c>
      <c r="R75" s="75">
        <f t="shared" si="47"/>
        <v>-0.21473368114969618</v>
      </c>
    </row>
    <row r="76" spans="2:18">
      <c r="B76" s="81"/>
      <c r="C76">
        <v>4</v>
      </c>
      <c r="D76">
        <v>384</v>
      </c>
      <c r="E76">
        <v>1.77470525</v>
      </c>
      <c r="F76" s="78"/>
      <c r="G76" s="75">
        <f t="shared" si="36"/>
        <v>0.41402958356716851</v>
      </c>
      <c r="H76" s="76">
        <f t="shared" si="37"/>
        <v>-0.4</v>
      </c>
      <c r="I76" s="75">
        <f t="shared" si="38"/>
        <v>-0.14516129032258063</v>
      </c>
      <c r="J76" s="75">
        <f t="shared" si="39"/>
        <v>-2.1919816950053239E-2</v>
      </c>
      <c r="K76" s="76">
        <f t="shared" si="40"/>
        <v>4.0106399037764535E-4</v>
      </c>
      <c r="L76" s="77">
        <f t="shared" si="41"/>
        <v>0.19377944849286477</v>
      </c>
      <c r="M76" s="76">
        <f t="shared" si="42"/>
        <v>3.4603078322944514E-2</v>
      </c>
      <c r="N76" s="77">
        <f t="shared" si="43"/>
        <v>0.24076407953216011</v>
      </c>
      <c r="O76" s="76">
        <f t="shared" si="44"/>
        <v>-0.33303825306268664</v>
      </c>
      <c r="P76" s="77">
        <f t="shared" si="45"/>
        <v>0.25446044166354798</v>
      </c>
      <c r="Q76" s="76">
        <f t="shared" si="46"/>
        <v>4.010639903775868E-4</v>
      </c>
      <c r="R76" s="75">
        <f t="shared" si="47"/>
        <v>-0.22025013507430374</v>
      </c>
    </row>
    <row r="77" spans="2:18">
      <c r="B77" s="81"/>
      <c r="C77">
        <v>4</v>
      </c>
      <c r="D77">
        <v>416</v>
      </c>
      <c r="E77">
        <v>1.8163450000000001</v>
      </c>
      <c r="F77" s="78"/>
      <c r="G77" s="75">
        <f t="shared" si="36"/>
        <v>0.42991871079390198</v>
      </c>
      <c r="H77" s="76">
        <f t="shared" si="37"/>
        <v>-0.4</v>
      </c>
      <c r="I77" s="75">
        <f t="shared" si="38"/>
        <v>-0.11290322580645162</v>
      </c>
      <c r="J77" s="75">
        <f t="shared" si="39"/>
        <v>-3.5726331869677108E-3</v>
      </c>
      <c r="K77" s="76">
        <f t="shared" si="40"/>
        <v>3.0713729177019825E-2</v>
      </c>
      <c r="L77" s="77">
        <f t="shared" si="41"/>
        <v>0.20415212179499065</v>
      </c>
      <c r="M77" s="76">
        <f t="shared" si="42"/>
        <v>6.491574350958669E-2</v>
      </c>
      <c r="N77" s="77">
        <f t="shared" si="43"/>
        <v>0.25113675283428605</v>
      </c>
      <c r="O77" s="76">
        <f t="shared" si="44"/>
        <v>-0.33303825306268664</v>
      </c>
      <c r="P77" s="77">
        <f t="shared" si="45"/>
        <v>0.27034956889028144</v>
      </c>
      <c r="Q77" s="76">
        <f t="shared" si="46"/>
        <v>3.0713729177019762E-2</v>
      </c>
      <c r="R77" s="75">
        <f t="shared" si="47"/>
        <v>-0.22576658899891131</v>
      </c>
    </row>
    <row r="78" spans="2:18">
      <c r="B78" s="81"/>
      <c r="C78">
        <v>4</v>
      </c>
      <c r="D78">
        <v>448</v>
      </c>
      <c r="E78">
        <v>1.8579015000000001</v>
      </c>
      <c r="F78" s="78"/>
      <c r="G78" s="75">
        <f t="shared" si="36"/>
        <v>0.44577607102295586</v>
      </c>
      <c r="H78" s="76">
        <f t="shared" si="37"/>
        <v>-0.4</v>
      </c>
      <c r="I78" s="75">
        <f t="shared" si="38"/>
        <v>-8.0645161290322565E-2</v>
      </c>
      <c r="J78" s="75">
        <f t="shared" si="39"/>
        <v>1.473786920679454E-2</v>
      </c>
      <c r="K78" s="76">
        <f t="shared" si="40"/>
        <v>6.1026394363662056E-2</v>
      </c>
      <c r="L78" s="77">
        <f t="shared" si="41"/>
        <v>0.21449302809943699</v>
      </c>
      <c r="M78" s="76">
        <f t="shared" si="42"/>
        <v>9.5228408696228922E-2</v>
      </c>
      <c r="N78" s="77">
        <f t="shared" si="43"/>
        <v>0.26147765913873233</v>
      </c>
      <c r="O78" s="76">
        <f t="shared" si="44"/>
        <v>-0.33303825306268664</v>
      </c>
      <c r="P78" s="77">
        <f t="shared" si="45"/>
        <v>0.28620692911933532</v>
      </c>
      <c r="Q78" s="76">
        <f t="shared" si="46"/>
        <v>6.1026394363661994E-2</v>
      </c>
      <c r="R78" s="75">
        <f t="shared" si="47"/>
        <v>-0.23128304292351887</v>
      </c>
    </row>
    <row r="79" spans="2:18">
      <c r="B79" s="81"/>
      <c r="C79">
        <v>4</v>
      </c>
      <c r="D79">
        <v>480</v>
      </c>
      <c r="E79">
        <v>1.90687925</v>
      </c>
      <c r="F79" s="78"/>
      <c r="G79" s="75">
        <f t="shared" si="36"/>
        <v>0.464465273072179</v>
      </c>
      <c r="H79" s="76">
        <f t="shared" si="37"/>
        <v>-0.4</v>
      </c>
      <c r="I79" s="75">
        <f t="shared" si="38"/>
        <v>-4.8387096774193561E-2</v>
      </c>
      <c r="J79" s="75">
        <f t="shared" si="39"/>
        <v>3.6318300874911169E-2</v>
      </c>
      <c r="K79" s="76">
        <f t="shared" si="40"/>
        <v>9.1339059550304219E-2</v>
      </c>
      <c r="L79" s="77">
        <f t="shared" si="41"/>
        <v>0.2276657762240526</v>
      </c>
      <c r="M79" s="76">
        <f t="shared" si="42"/>
        <v>0.12554107388287108</v>
      </c>
      <c r="N79" s="77">
        <f t="shared" si="43"/>
        <v>0.274650407263348</v>
      </c>
      <c r="O79" s="76">
        <f t="shared" si="44"/>
        <v>-0.33303825306268664</v>
      </c>
      <c r="P79" s="77">
        <f t="shared" si="45"/>
        <v>0.30489613116855852</v>
      </c>
      <c r="Q79" s="76">
        <f t="shared" si="46"/>
        <v>9.1339059550304164E-2</v>
      </c>
      <c r="R79" s="75">
        <f t="shared" si="47"/>
        <v>-0.23679949684812643</v>
      </c>
    </row>
    <row r="80" spans="2:18">
      <c r="B80" s="81"/>
      <c r="C80">
        <v>4</v>
      </c>
      <c r="D80">
        <v>512</v>
      </c>
      <c r="E80">
        <v>1.9445662500000001</v>
      </c>
      <c r="F80" s="78"/>
      <c r="G80" s="75">
        <f t="shared" si="36"/>
        <v>0.4788460879856668</v>
      </c>
      <c r="H80" s="76">
        <f t="shared" si="37"/>
        <v>-0.4</v>
      </c>
      <c r="I80" s="75">
        <f t="shared" si="38"/>
        <v>-1.6129032258064502E-2</v>
      </c>
      <c r="J80" s="75">
        <f t="shared" si="39"/>
        <v>5.2923835597847857E-2</v>
      </c>
      <c r="K80" s="76">
        <f t="shared" si="40"/>
        <v>0.12165172473694646</v>
      </c>
      <c r="L80" s="77">
        <f t="shared" si="41"/>
        <v>0.23653013721293278</v>
      </c>
      <c r="M80" s="76">
        <f t="shared" si="42"/>
        <v>0.15585373906951333</v>
      </c>
      <c r="N80" s="77">
        <f t="shared" si="43"/>
        <v>0.28351476825222816</v>
      </c>
      <c r="O80" s="76">
        <f t="shared" si="44"/>
        <v>-0.33303825306268664</v>
      </c>
      <c r="P80" s="77">
        <f t="shared" si="45"/>
        <v>0.31927694608204626</v>
      </c>
      <c r="Q80" s="76">
        <f t="shared" si="46"/>
        <v>0.12165172473694641</v>
      </c>
      <c r="R80" s="75">
        <f t="shared" si="47"/>
        <v>-0.24231595077273402</v>
      </c>
    </row>
    <row r="81" spans="2:18">
      <c r="B81" s="81"/>
      <c r="C81">
        <v>4</v>
      </c>
      <c r="D81">
        <v>544</v>
      </c>
      <c r="E81">
        <v>2.00043675</v>
      </c>
      <c r="F81" s="78"/>
      <c r="G81" s="75">
        <f t="shared" si="36"/>
        <v>0.50016546388780869</v>
      </c>
      <c r="H81" s="76">
        <f t="shared" si="37"/>
        <v>-0.4</v>
      </c>
      <c r="I81" s="75">
        <f t="shared" si="38"/>
        <v>1.6129032258064502E-2</v>
      </c>
      <c r="J81" s="75">
        <f t="shared" si="39"/>
        <v>7.7541330429960698E-2</v>
      </c>
      <c r="K81" s="76">
        <f t="shared" si="40"/>
        <v>0.15196438992358863</v>
      </c>
      <c r="L81" s="77">
        <f t="shared" si="41"/>
        <v>0.25233305919046711</v>
      </c>
      <c r="M81" s="76">
        <f t="shared" si="42"/>
        <v>0.18616640425615549</v>
      </c>
      <c r="N81" s="77">
        <f t="shared" si="43"/>
        <v>0.29931769022976246</v>
      </c>
      <c r="O81" s="76">
        <f t="shared" si="44"/>
        <v>-0.33303825306268664</v>
      </c>
      <c r="P81" s="77">
        <f t="shared" si="45"/>
        <v>0.3405963219841881</v>
      </c>
      <c r="Q81" s="76">
        <f t="shared" si="46"/>
        <v>0.15196438992358857</v>
      </c>
      <c r="R81" s="75">
        <f t="shared" si="47"/>
        <v>-0.24783240469734155</v>
      </c>
    </row>
    <row r="82" spans="2:18">
      <c r="B82" s="81"/>
      <c r="C82">
        <v>4</v>
      </c>
      <c r="D82">
        <v>576</v>
      </c>
      <c r="E82">
        <v>2.05804075</v>
      </c>
      <c r="F82" s="78"/>
      <c r="G82" s="75">
        <f t="shared" si="36"/>
        <v>0.52214631835424397</v>
      </c>
      <c r="H82" s="76">
        <f t="shared" si="37"/>
        <v>-0.4</v>
      </c>
      <c r="I82" s="75">
        <f t="shared" si="38"/>
        <v>4.8387096774193505E-2</v>
      </c>
      <c r="J82" s="75">
        <f t="shared" si="39"/>
        <v>0.10292263491638953</v>
      </c>
      <c r="K82" s="76">
        <f t="shared" si="40"/>
        <v>0.18227705511023082</v>
      </c>
      <c r="L82" s="77">
        <f t="shared" si="41"/>
        <v>0.26879745973229485</v>
      </c>
      <c r="M82" s="76">
        <f t="shared" si="42"/>
        <v>0.21647906944279768</v>
      </c>
      <c r="N82" s="77">
        <f t="shared" si="43"/>
        <v>0.31578209077159025</v>
      </c>
      <c r="O82" s="76">
        <f t="shared" si="44"/>
        <v>-0.33303825306268664</v>
      </c>
      <c r="P82" s="77">
        <f t="shared" si="45"/>
        <v>0.36257717645062343</v>
      </c>
      <c r="Q82" s="76">
        <f t="shared" si="46"/>
        <v>0.18227705511023076</v>
      </c>
      <c r="R82" s="75">
        <f t="shared" si="47"/>
        <v>-0.25334885862194911</v>
      </c>
    </row>
    <row r="83" spans="2:18">
      <c r="B83" s="81"/>
      <c r="C83">
        <v>4</v>
      </c>
      <c r="D83">
        <v>608</v>
      </c>
      <c r="E83">
        <v>2.1092767499999998</v>
      </c>
      <c r="F83" s="78"/>
      <c r="G83" s="75">
        <f t="shared" si="36"/>
        <v>0.54169723598917008</v>
      </c>
      <c r="H83" s="76">
        <f t="shared" si="37"/>
        <v>-0.4</v>
      </c>
      <c r="I83" s="75">
        <f t="shared" si="38"/>
        <v>8.064516129032262E-2</v>
      </c>
      <c r="J83" s="75">
        <f t="shared" si="39"/>
        <v>0.12549809003524703</v>
      </c>
      <c r="K83" s="76">
        <f t="shared" si="40"/>
        <v>0.21258972029687312</v>
      </c>
      <c r="L83" s="77">
        <f t="shared" si="41"/>
        <v>0.28283192344261332</v>
      </c>
      <c r="M83" s="76">
        <f t="shared" si="42"/>
        <v>0.24679173462943998</v>
      </c>
      <c r="N83" s="77">
        <f t="shared" si="43"/>
        <v>0.32981655448190866</v>
      </c>
      <c r="O83" s="76">
        <f t="shared" si="44"/>
        <v>-0.33303825306268664</v>
      </c>
      <c r="P83" s="77">
        <f t="shared" si="45"/>
        <v>0.38212809408554949</v>
      </c>
      <c r="Q83" s="76">
        <f t="shared" si="46"/>
        <v>0.21258972029687304</v>
      </c>
      <c r="R83" s="75">
        <f t="shared" si="47"/>
        <v>-0.2588653125465567</v>
      </c>
    </row>
    <row r="84" spans="2:18">
      <c r="B84" s="81"/>
      <c r="C84">
        <v>4</v>
      </c>
      <c r="D84">
        <v>640</v>
      </c>
      <c r="E84">
        <v>2.15707</v>
      </c>
      <c r="F84" s="78"/>
      <c r="G84" s="75">
        <f t="shared" si="36"/>
        <v>0.55993444994528352</v>
      </c>
      <c r="H84" s="76">
        <f t="shared" si="37"/>
        <v>-0.4</v>
      </c>
      <c r="I84" s="75">
        <f t="shared" si="38"/>
        <v>0.11290322580645162</v>
      </c>
      <c r="J84" s="75">
        <f t="shared" si="39"/>
        <v>0.14655661080890892</v>
      </c>
      <c r="K84" s="76">
        <f t="shared" si="40"/>
        <v>0.24290238548351531</v>
      </c>
      <c r="L84" s="77">
        <f t="shared" si="41"/>
        <v>0.29555268347411923</v>
      </c>
      <c r="M84" s="76">
        <f t="shared" si="42"/>
        <v>0.27710439981608215</v>
      </c>
      <c r="N84" s="77">
        <f t="shared" si="43"/>
        <v>0.34253731451341463</v>
      </c>
      <c r="O84" s="76">
        <f t="shared" si="44"/>
        <v>-0.33303825306268664</v>
      </c>
      <c r="P84" s="77">
        <f t="shared" si="45"/>
        <v>0.40036530804166298</v>
      </c>
      <c r="Q84" s="76">
        <f t="shared" si="46"/>
        <v>0.24290238548351523</v>
      </c>
      <c r="R84" s="75">
        <f t="shared" si="47"/>
        <v>-0.26438176647116429</v>
      </c>
    </row>
    <row r="85" spans="2:18">
      <c r="B85" s="81"/>
      <c r="C85">
        <v>4</v>
      </c>
      <c r="D85">
        <v>672</v>
      </c>
      <c r="E85">
        <v>2.2049045</v>
      </c>
      <c r="F85" s="78"/>
      <c r="G85" s="75">
        <f t="shared" si="36"/>
        <v>0.57818740430565274</v>
      </c>
      <c r="H85" s="76">
        <f t="shared" si="37"/>
        <v>-0.4</v>
      </c>
      <c r="I85" s="75">
        <f t="shared" si="38"/>
        <v>0.14516129032258063</v>
      </c>
      <c r="J85" s="75">
        <f t="shared" si="39"/>
        <v>0.16763330703583912</v>
      </c>
      <c r="K85" s="76">
        <f t="shared" si="40"/>
        <v>0.27321505067015744</v>
      </c>
      <c r="L85" s="77">
        <f t="shared" si="41"/>
        <v>0.30828918390988092</v>
      </c>
      <c r="M85" s="76">
        <f t="shared" si="42"/>
        <v>0.30741706500272431</v>
      </c>
      <c r="N85" s="77">
        <f t="shared" si="43"/>
        <v>0.35527381494917631</v>
      </c>
      <c r="O85" s="76">
        <f t="shared" si="44"/>
        <v>-0.33303825306268664</v>
      </c>
      <c r="P85" s="77">
        <f t="shared" si="45"/>
        <v>0.41861826240203215</v>
      </c>
      <c r="Q85" s="76">
        <f t="shared" si="46"/>
        <v>0.27321505067015739</v>
      </c>
      <c r="R85" s="75">
        <f t="shared" si="47"/>
        <v>-0.26989822039577183</v>
      </c>
    </row>
    <row r="86" spans="2:18">
      <c r="B86" s="81"/>
      <c r="C86">
        <v>4</v>
      </c>
      <c r="D86">
        <v>704</v>
      </c>
      <c r="E86">
        <v>2.2633947499999998</v>
      </c>
      <c r="F86" s="78"/>
      <c r="G86" s="75">
        <f t="shared" si="36"/>
        <v>0.60050643897261002</v>
      </c>
      <c r="H86" s="76">
        <f t="shared" si="37"/>
        <v>-0.4</v>
      </c>
      <c r="I86" s="75">
        <f t="shared" si="38"/>
        <v>0.17741935483870963</v>
      </c>
      <c r="J86" s="75">
        <f t="shared" si="39"/>
        <v>0.19340510838187996</v>
      </c>
      <c r="K86" s="76">
        <f t="shared" si="40"/>
        <v>0.30352771585679961</v>
      </c>
      <c r="L86" s="77">
        <f t="shared" si="41"/>
        <v>0.32509176465223072</v>
      </c>
      <c r="M86" s="76">
        <f t="shared" si="42"/>
        <v>0.33772973018936647</v>
      </c>
      <c r="N86" s="77">
        <f t="shared" si="43"/>
        <v>0.37207639569152606</v>
      </c>
      <c r="O86" s="76">
        <f t="shared" si="44"/>
        <v>-0.33303825306268664</v>
      </c>
      <c r="P86" s="77">
        <f t="shared" si="45"/>
        <v>0.44093729706898954</v>
      </c>
      <c r="Q86" s="76">
        <f t="shared" si="46"/>
        <v>0.30352771585679955</v>
      </c>
      <c r="R86" s="75">
        <f t="shared" si="47"/>
        <v>-0.27541467432037936</v>
      </c>
    </row>
    <row r="87" spans="2:18">
      <c r="B87" s="81"/>
      <c r="C87">
        <v>4</v>
      </c>
      <c r="D87">
        <v>736</v>
      </c>
      <c r="E87">
        <v>2.3222125</v>
      </c>
      <c r="F87" s="78"/>
      <c r="G87" s="75">
        <f t="shared" si="36"/>
        <v>0.62295044290971835</v>
      </c>
      <c r="H87" s="76">
        <f t="shared" si="37"/>
        <v>-0.4</v>
      </c>
      <c r="I87" s="75">
        <f t="shared" si="38"/>
        <v>0.20967741935483875</v>
      </c>
      <c r="J87" s="75">
        <f t="shared" si="39"/>
        <v>0.21932121181144493</v>
      </c>
      <c r="K87" s="76">
        <f t="shared" si="40"/>
        <v>0.33384038104344194</v>
      </c>
      <c r="L87" s="77">
        <f t="shared" si="41"/>
        <v>0.3420193146647314</v>
      </c>
      <c r="M87" s="76">
        <f t="shared" si="42"/>
        <v>0.3680423953760088</v>
      </c>
      <c r="N87" s="77">
        <f t="shared" si="43"/>
        <v>0.38900394570402674</v>
      </c>
      <c r="O87" s="76">
        <f t="shared" si="44"/>
        <v>-0.33303825306268664</v>
      </c>
      <c r="P87" s="77">
        <f t="shared" si="45"/>
        <v>0.46338130100609781</v>
      </c>
      <c r="Q87" s="76">
        <f t="shared" si="46"/>
        <v>0.33384038104344188</v>
      </c>
      <c r="R87" s="75">
        <f t="shared" si="47"/>
        <v>-0.28093112824498695</v>
      </c>
    </row>
    <row r="88" spans="2:18">
      <c r="B88" s="81"/>
      <c r="C88">
        <v>4</v>
      </c>
      <c r="D88">
        <v>768</v>
      </c>
      <c r="E88">
        <v>2.3951837500000002</v>
      </c>
      <c r="F88" s="78"/>
      <c r="G88" s="75">
        <f t="shared" si="36"/>
        <v>0.65079521803790175</v>
      </c>
      <c r="H88" s="76">
        <f t="shared" si="37"/>
        <v>-0.4</v>
      </c>
      <c r="I88" s="75">
        <f t="shared" si="38"/>
        <v>0.24193548387096775</v>
      </c>
      <c r="J88" s="75">
        <f t="shared" si="39"/>
        <v>0.2514735886430074</v>
      </c>
      <c r="K88" s="76">
        <f t="shared" si="40"/>
        <v>0.3641530462300841</v>
      </c>
      <c r="L88" s="77">
        <f t="shared" si="41"/>
        <v>0.36434763586830715</v>
      </c>
      <c r="M88" s="76">
        <f t="shared" si="42"/>
        <v>0.39835506056265096</v>
      </c>
      <c r="N88" s="77">
        <f t="shared" si="43"/>
        <v>0.4113322669076025</v>
      </c>
      <c r="O88" s="76">
        <f t="shared" si="44"/>
        <v>-0.33303825306268658</v>
      </c>
      <c r="P88" s="77">
        <f t="shared" si="45"/>
        <v>0.49122607613428115</v>
      </c>
      <c r="Q88" s="76">
        <f t="shared" si="46"/>
        <v>0.36415304623008399</v>
      </c>
      <c r="R88" s="75">
        <f t="shared" si="47"/>
        <v>-0.28644758216959454</v>
      </c>
    </row>
    <row r="89" spans="2:18">
      <c r="B89" s="81"/>
      <c r="C89">
        <v>4</v>
      </c>
      <c r="D89">
        <v>800</v>
      </c>
      <c r="E89">
        <v>2.45917875</v>
      </c>
      <c r="F89" s="78"/>
      <c r="G89" s="75">
        <f t="shared" si="36"/>
        <v>0.67521478580367367</v>
      </c>
      <c r="H89" s="76">
        <f t="shared" si="37"/>
        <v>-0.4</v>
      </c>
      <c r="I89" s="75">
        <f t="shared" si="38"/>
        <v>0.27419354838709675</v>
      </c>
      <c r="J89" s="75">
        <f t="shared" si="39"/>
        <v>0.27967087668913293</v>
      </c>
      <c r="K89" s="76">
        <f t="shared" si="40"/>
        <v>0.39446571141672632</v>
      </c>
      <c r="L89" s="77">
        <f t="shared" si="41"/>
        <v>0.38325074970947159</v>
      </c>
      <c r="M89" s="76">
        <f t="shared" si="42"/>
        <v>0.42866772574929318</v>
      </c>
      <c r="N89" s="77">
        <f t="shared" si="43"/>
        <v>0.43023538074876699</v>
      </c>
      <c r="O89" s="76">
        <f t="shared" si="44"/>
        <v>-0.33303825306268658</v>
      </c>
      <c r="P89" s="77">
        <f t="shared" si="45"/>
        <v>0.51564564390005319</v>
      </c>
      <c r="Q89" s="76">
        <f t="shared" si="46"/>
        <v>0.39446571141672621</v>
      </c>
      <c r="R89" s="75">
        <f t="shared" si="47"/>
        <v>-0.29196403609420207</v>
      </c>
    </row>
    <row r="90" spans="2:18">
      <c r="B90" s="81"/>
      <c r="C90">
        <v>4</v>
      </c>
      <c r="D90">
        <v>832</v>
      </c>
      <c r="E90">
        <v>2.5238355000000001</v>
      </c>
      <c r="F90" s="78"/>
      <c r="G90" s="75">
        <f t="shared" si="36"/>
        <v>0.6998868678122615</v>
      </c>
      <c r="H90" s="76">
        <f t="shared" si="37"/>
        <v>-0.4</v>
      </c>
      <c r="I90" s="75">
        <f t="shared" si="38"/>
        <v>0.30645161290322576</v>
      </c>
      <c r="J90" s="75">
        <f t="shared" si="39"/>
        <v>0.30815974306738636</v>
      </c>
      <c r="K90" s="76">
        <f t="shared" si="40"/>
        <v>0.42477837660336853</v>
      </c>
      <c r="L90" s="77">
        <f t="shared" si="41"/>
        <v>0.4024063777934519</v>
      </c>
      <c r="M90" s="76">
        <f t="shared" si="42"/>
        <v>0.4589803909359354</v>
      </c>
      <c r="N90" s="77">
        <f t="shared" si="43"/>
        <v>0.44939100883274724</v>
      </c>
      <c r="O90" s="76">
        <f t="shared" si="44"/>
        <v>-0.33303825306268658</v>
      </c>
      <c r="P90" s="77">
        <f t="shared" si="45"/>
        <v>0.54031772590864091</v>
      </c>
      <c r="Q90" s="76">
        <f t="shared" si="46"/>
        <v>0.42477837660336842</v>
      </c>
      <c r="R90" s="75">
        <f t="shared" si="47"/>
        <v>-0.29748049001880961</v>
      </c>
    </row>
    <row r="91" spans="2:18">
      <c r="B91" s="81"/>
      <c r="C91">
        <v>4</v>
      </c>
      <c r="D91">
        <v>864</v>
      </c>
      <c r="E91">
        <v>2.5924360000000002</v>
      </c>
      <c r="F91" s="78"/>
      <c r="G91" s="75">
        <f t="shared" si="36"/>
        <v>0.72606382786407564</v>
      </c>
      <c r="H91" s="76">
        <f t="shared" si="37"/>
        <v>-0.4</v>
      </c>
      <c r="I91" s="75">
        <f t="shared" si="38"/>
        <v>0.33870967741935487</v>
      </c>
      <c r="J91" s="75">
        <f t="shared" si="39"/>
        <v>0.33838629293234834</v>
      </c>
      <c r="K91" s="76">
        <f t="shared" si="40"/>
        <v>0.45509104179001075</v>
      </c>
      <c r="L91" s="77">
        <f t="shared" si="41"/>
        <v>0.4230668839206585</v>
      </c>
      <c r="M91" s="76">
        <f t="shared" si="42"/>
        <v>0.48929305612257762</v>
      </c>
      <c r="N91" s="77">
        <f t="shared" si="43"/>
        <v>0.4700515149599539</v>
      </c>
      <c r="O91" s="76">
        <f t="shared" si="44"/>
        <v>-0.33303825306268658</v>
      </c>
      <c r="P91" s="77">
        <f t="shared" si="45"/>
        <v>0.56649468596045516</v>
      </c>
      <c r="Q91" s="76">
        <f t="shared" si="46"/>
        <v>0.45509104179001064</v>
      </c>
      <c r="R91" s="75">
        <f t="shared" si="47"/>
        <v>-0.3029969439434172</v>
      </c>
    </row>
    <row r="92" spans="2:18">
      <c r="B92" s="81"/>
      <c r="C92">
        <v>4</v>
      </c>
      <c r="D92">
        <v>896</v>
      </c>
      <c r="E92">
        <v>2.6679655000000002</v>
      </c>
      <c r="F92" s="78"/>
      <c r="G92" s="75">
        <f t="shared" si="36"/>
        <v>0.75488479424527544</v>
      </c>
      <c r="H92" s="76">
        <f t="shared" si="37"/>
        <v>-0.4</v>
      </c>
      <c r="I92" s="75">
        <f t="shared" si="38"/>
        <v>0.37096774193548387</v>
      </c>
      <c r="J92" s="75">
        <f t="shared" si="39"/>
        <v>0.37166587832932996</v>
      </c>
      <c r="K92" s="76">
        <f t="shared" si="40"/>
        <v>0.48540370697665297</v>
      </c>
      <c r="L92" s="77">
        <f t="shared" si="41"/>
        <v>0.44637139637725065</v>
      </c>
      <c r="M92" s="76">
        <f t="shared" si="42"/>
        <v>0.51960572130921978</v>
      </c>
      <c r="N92" s="77">
        <f t="shared" si="43"/>
        <v>0.49335602741654599</v>
      </c>
      <c r="O92" s="76">
        <f t="shared" si="44"/>
        <v>-0.33303825306268658</v>
      </c>
      <c r="P92" s="77">
        <f t="shared" si="45"/>
        <v>0.59531565234165484</v>
      </c>
      <c r="Q92" s="76">
        <f t="shared" si="46"/>
        <v>0.48540370697665286</v>
      </c>
      <c r="R92" s="75">
        <f t="shared" si="47"/>
        <v>-0.30851339786802479</v>
      </c>
    </row>
    <row r="93" spans="2:18">
      <c r="B93" s="81"/>
      <c r="C93">
        <v>4</v>
      </c>
      <c r="D93">
        <v>928</v>
      </c>
      <c r="E93">
        <v>2.74093075</v>
      </c>
      <c r="F93" s="78"/>
      <c r="G93" s="75">
        <f t="shared" si="36"/>
        <v>0.78272727986011237</v>
      </c>
      <c r="H93" s="76">
        <f t="shared" si="37"/>
        <v>-0.4</v>
      </c>
      <c r="I93" s="75">
        <f t="shared" si="38"/>
        <v>0.40322580645161288</v>
      </c>
      <c r="J93" s="75">
        <f t="shared" si="39"/>
        <v>0.40381561145859879</v>
      </c>
      <c r="K93" s="76">
        <f t="shared" si="40"/>
        <v>0.51571637216329502</v>
      </c>
      <c r="L93" s="77">
        <f t="shared" si="41"/>
        <v>0.46869742806748005</v>
      </c>
      <c r="M93" s="76">
        <f t="shared" si="42"/>
        <v>0.54991838649586189</v>
      </c>
      <c r="N93" s="77">
        <f t="shared" si="43"/>
        <v>0.51568205910677545</v>
      </c>
      <c r="O93" s="76">
        <f t="shared" si="44"/>
        <v>-0.33303825306268658</v>
      </c>
      <c r="P93" s="77">
        <f t="shared" si="45"/>
        <v>0.62315813795649189</v>
      </c>
      <c r="Q93" s="76">
        <f t="shared" si="46"/>
        <v>0.51571637216329491</v>
      </c>
      <c r="R93" s="75">
        <f t="shared" si="47"/>
        <v>-0.31402985179263232</v>
      </c>
    </row>
    <row r="94" spans="2:18">
      <c r="B94" s="81"/>
      <c r="C94">
        <v>4</v>
      </c>
      <c r="D94">
        <v>960</v>
      </c>
      <c r="E94">
        <v>2.8126989999999998</v>
      </c>
      <c r="F94" s="78"/>
      <c r="G94" s="75">
        <f t="shared" si="36"/>
        <v>0.81011300756236837</v>
      </c>
      <c r="H94" s="76">
        <f t="shared" si="37"/>
        <v>-0.4</v>
      </c>
      <c r="I94" s="75">
        <f t="shared" si="38"/>
        <v>0.43548387096774188</v>
      </c>
      <c r="J94" s="75">
        <f t="shared" si="39"/>
        <v>0.43543792598030129</v>
      </c>
      <c r="K94" s="76">
        <f t="shared" si="40"/>
        <v>0.54602903734993724</v>
      </c>
      <c r="L94" s="77">
        <f t="shared" si="41"/>
        <v>0.49056670184512846</v>
      </c>
      <c r="M94" s="76">
        <f t="shared" si="42"/>
        <v>0.58023105168250411</v>
      </c>
      <c r="N94" s="77">
        <f t="shared" si="43"/>
        <v>0.5375513328844238</v>
      </c>
      <c r="O94" s="76">
        <f t="shared" si="44"/>
        <v>-0.33303825306268658</v>
      </c>
      <c r="P94" s="77">
        <f t="shared" si="45"/>
        <v>0.65054386565874778</v>
      </c>
      <c r="Q94" s="76">
        <f t="shared" si="46"/>
        <v>0.54602903734993713</v>
      </c>
      <c r="R94" s="75">
        <f t="shared" si="47"/>
        <v>-0.31954630571723985</v>
      </c>
    </row>
    <row r="95" spans="2:18">
      <c r="B95" s="81"/>
      <c r="C95">
        <v>4</v>
      </c>
      <c r="D95">
        <v>992</v>
      </c>
      <c r="E95">
        <v>2.88578175</v>
      </c>
      <c r="F95" s="78"/>
      <c r="G95" s="75">
        <f t="shared" si="36"/>
        <v>0.83800032948023651</v>
      </c>
      <c r="H95" s="76">
        <f t="shared" si="37"/>
        <v>-0.4</v>
      </c>
      <c r="I95" s="75">
        <f t="shared" si="38"/>
        <v>0.467741935483871</v>
      </c>
      <c r="J95" s="75">
        <f t="shared" si="39"/>
        <v>0.46763943161281918</v>
      </c>
      <c r="K95" s="76">
        <f t="shared" si="40"/>
        <v>0.57634170253657968</v>
      </c>
      <c r="L95" s="77">
        <f t="shared" si="41"/>
        <v>0.51293756983838912</v>
      </c>
      <c r="M95" s="76">
        <f t="shared" si="42"/>
        <v>0.61054371686914655</v>
      </c>
      <c r="N95" s="77">
        <f t="shared" si="43"/>
        <v>0.55992220087768441</v>
      </c>
      <c r="O95" s="76">
        <f t="shared" si="44"/>
        <v>-0.33303825306268658</v>
      </c>
      <c r="P95" s="77">
        <f t="shared" si="45"/>
        <v>0.67843118757661602</v>
      </c>
      <c r="Q95" s="76">
        <f t="shared" si="46"/>
        <v>0.57634170253657946</v>
      </c>
      <c r="R95" s="75">
        <f t="shared" si="47"/>
        <v>-0.32506275964184744</v>
      </c>
    </row>
    <row r="96" spans="2:18">
      <c r="B96" s="81"/>
      <c r="C96">
        <v>4</v>
      </c>
      <c r="D96">
        <v>1024</v>
      </c>
      <c r="E96">
        <v>2.9569415000000001</v>
      </c>
      <c r="F96" s="78"/>
      <c r="G96" s="75">
        <f t="shared" si="36"/>
        <v>0.86515386237062464</v>
      </c>
      <c r="H96" s="76">
        <f t="shared" si="37"/>
        <v>-0.4</v>
      </c>
      <c r="I96" s="75">
        <f t="shared" si="38"/>
        <v>0.5</v>
      </c>
      <c r="J96" s="75">
        <f t="shared" si="39"/>
        <v>0.49899363066024904</v>
      </c>
      <c r="K96" s="76">
        <f t="shared" si="40"/>
        <v>0.60665436772322179</v>
      </c>
      <c r="L96" s="77">
        <f t="shared" si="41"/>
        <v>0.53457464880416961</v>
      </c>
      <c r="M96" s="76">
        <f t="shared" si="42"/>
        <v>0.64085638205578865</v>
      </c>
      <c r="N96" s="77">
        <f t="shared" si="43"/>
        <v>0.581559279843465</v>
      </c>
      <c r="O96" s="76">
        <f t="shared" si="44"/>
        <v>-0.33303825306268658</v>
      </c>
      <c r="P96" s="77">
        <f t="shared" si="45"/>
        <v>0.70558472046700405</v>
      </c>
      <c r="Q96" s="76">
        <f t="shared" si="46"/>
        <v>0.60665436772322157</v>
      </c>
      <c r="R96" s="75">
        <f t="shared" si="47"/>
        <v>-0.33057921356645503</v>
      </c>
    </row>
    <row r="97" spans="2:18">
      <c r="B97" s="81"/>
      <c r="C97">
        <v>6</v>
      </c>
      <c r="D97">
        <v>32</v>
      </c>
      <c r="E97">
        <v>0.68968099999999999</v>
      </c>
      <c r="F97" s="78"/>
      <c r="G97" s="75">
        <f t="shared" si="36"/>
        <v>0</v>
      </c>
      <c r="H97" s="76">
        <f t="shared" si="37"/>
        <v>-0.3</v>
      </c>
      <c r="I97" s="75">
        <f t="shared" si="38"/>
        <v>-0.5</v>
      </c>
      <c r="J97" s="75">
        <f t="shared" si="39"/>
        <v>-0.5</v>
      </c>
      <c r="K97" s="76">
        <f t="shared" si="40"/>
        <v>-0.36724026739525356</v>
      </c>
      <c r="L97" s="77">
        <f t="shared" si="41"/>
        <v>-0.20655377294291596</v>
      </c>
      <c r="M97" s="76">
        <f t="shared" si="42"/>
        <v>-0.29883623873011983</v>
      </c>
      <c r="N97" s="77">
        <f t="shared" si="43"/>
        <v>-0.11258451086432519</v>
      </c>
      <c r="O97" s="76">
        <f t="shared" si="44"/>
        <v>-0.36724026739525356</v>
      </c>
      <c r="P97" s="77">
        <f t="shared" si="45"/>
        <v>-0.20655377294291596</v>
      </c>
      <c r="Q97" s="76">
        <f t="shared" si="46"/>
        <v>-0.36724026739525356</v>
      </c>
      <c r="R97" s="75">
        <f t="shared" si="47"/>
        <v>-0.20655377294291596</v>
      </c>
    </row>
    <row r="98" spans="2:18">
      <c r="B98" s="81"/>
      <c r="C98">
        <v>6</v>
      </c>
      <c r="D98">
        <v>64</v>
      </c>
      <c r="E98">
        <v>0.78028399999999998</v>
      </c>
      <c r="F98" s="78"/>
      <c r="G98" s="75">
        <f t="shared" si="36"/>
        <v>3.45727962853698E-2</v>
      </c>
      <c r="H98" s="76">
        <f t="shared" si="37"/>
        <v>-0.3</v>
      </c>
      <c r="I98" s="75">
        <f t="shared" si="38"/>
        <v>-0.467741935483871</v>
      </c>
      <c r="J98" s="75">
        <f t="shared" si="39"/>
        <v>-0.46007877351600729</v>
      </c>
      <c r="K98" s="76">
        <f t="shared" si="40"/>
        <v>-0.3369276022086114</v>
      </c>
      <c r="L98" s="77">
        <f t="shared" si="41"/>
        <v>-0.17749743058215373</v>
      </c>
      <c r="M98" s="76">
        <f t="shared" si="42"/>
        <v>-0.26852357354347761</v>
      </c>
      <c r="N98" s="77">
        <f t="shared" si="43"/>
        <v>-8.3528168503562983E-2</v>
      </c>
      <c r="O98" s="76">
        <f t="shared" si="44"/>
        <v>-0.36724026739525356</v>
      </c>
      <c r="P98" s="77">
        <f t="shared" si="45"/>
        <v>-0.17198097665754616</v>
      </c>
      <c r="Q98" s="76">
        <f t="shared" si="46"/>
        <v>-0.3369276022086114</v>
      </c>
      <c r="R98" s="75">
        <f t="shared" si="47"/>
        <v>-0.21207022686752353</v>
      </c>
    </row>
    <row r="99" spans="2:18">
      <c r="B99" s="81"/>
      <c r="C99">
        <v>6</v>
      </c>
      <c r="D99">
        <v>96</v>
      </c>
      <c r="E99">
        <v>1.0185252499999999</v>
      </c>
      <c r="F99" s="78"/>
      <c r="G99" s="75">
        <f t="shared" si="36"/>
        <v>0.12548221653659614</v>
      </c>
      <c r="H99" s="76">
        <f t="shared" si="37"/>
        <v>-0.3</v>
      </c>
      <c r="I99" s="75">
        <f t="shared" si="38"/>
        <v>-0.43548387096774194</v>
      </c>
      <c r="J99" s="75">
        <f t="shared" si="39"/>
        <v>-0.35510561700817062</v>
      </c>
      <c r="K99" s="76">
        <f t="shared" si="40"/>
        <v>-0.30661493702196918</v>
      </c>
      <c r="L99" s="77">
        <f t="shared" si="41"/>
        <v>-9.2104464255534951E-2</v>
      </c>
      <c r="M99" s="76">
        <f t="shared" si="42"/>
        <v>-0.23821090835683542</v>
      </c>
      <c r="N99" s="77">
        <f t="shared" si="43"/>
        <v>1.8647978230558193E-3</v>
      </c>
      <c r="O99" s="76">
        <f t="shared" si="44"/>
        <v>-0.36724026739525356</v>
      </c>
      <c r="P99" s="77">
        <f t="shared" si="45"/>
        <v>-8.1071556406319828E-2</v>
      </c>
      <c r="Q99" s="76">
        <f t="shared" si="46"/>
        <v>-0.30661493702196918</v>
      </c>
      <c r="R99" s="75">
        <f t="shared" si="47"/>
        <v>-0.21758668079213109</v>
      </c>
    </row>
    <row r="100" spans="2:18">
      <c r="B100" s="81"/>
      <c r="C100">
        <v>6</v>
      </c>
      <c r="D100">
        <v>128</v>
      </c>
      <c r="E100">
        <v>1.2775792500000001</v>
      </c>
      <c r="F100" s="78"/>
      <c r="G100" s="75">
        <f t="shared" si="36"/>
        <v>0.22433348160409056</v>
      </c>
      <c r="H100" s="76">
        <f t="shared" si="37"/>
        <v>-0.3</v>
      </c>
      <c r="I100" s="75">
        <f t="shared" si="38"/>
        <v>-0.40322580645161288</v>
      </c>
      <c r="J100" s="75">
        <f t="shared" si="39"/>
        <v>-0.24096200801526474</v>
      </c>
      <c r="K100" s="76">
        <f t="shared" si="40"/>
        <v>-0.27630227183532691</v>
      </c>
      <c r="L100" s="77">
        <f t="shared" si="41"/>
        <v>1.2303468873519074E-3</v>
      </c>
      <c r="M100" s="76">
        <f t="shared" si="42"/>
        <v>-0.20789824317019312</v>
      </c>
      <c r="N100" s="77">
        <f t="shared" si="43"/>
        <v>9.519960896594265E-2</v>
      </c>
      <c r="O100" s="76">
        <f t="shared" si="44"/>
        <v>-0.36724026739525356</v>
      </c>
      <c r="P100" s="77">
        <f t="shared" si="45"/>
        <v>1.7779708661174592E-2</v>
      </c>
      <c r="Q100" s="76">
        <f t="shared" si="46"/>
        <v>-0.27630227183532691</v>
      </c>
      <c r="R100" s="75">
        <f t="shared" si="47"/>
        <v>-0.22310313471673865</v>
      </c>
    </row>
    <row r="101" spans="2:18">
      <c r="B101" s="81"/>
      <c r="C101">
        <v>6</v>
      </c>
      <c r="D101">
        <v>160</v>
      </c>
      <c r="E101">
        <v>1.5747949999999999</v>
      </c>
      <c r="F101" s="78"/>
      <c r="G101" s="75">
        <f t="shared" si="36"/>
        <v>0.33774671932859635</v>
      </c>
      <c r="H101" s="76">
        <f t="shared" si="37"/>
        <v>-0.3</v>
      </c>
      <c r="I101" s="75">
        <f t="shared" si="38"/>
        <v>-0.37096774193548387</v>
      </c>
      <c r="J101" s="75">
        <f t="shared" si="39"/>
        <v>-0.11000368135544386</v>
      </c>
      <c r="K101" s="76">
        <f t="shared" si="40"/>
        <v>-0.24598960664868469</v>
      </c>
      <c r="L101" s="77">
        <f t="shared" si="41"/>
        <v>0.10912713068725015</v>
      </c>
      <c r="M101" s="76">
        <f t="shared" si="42"/>
        <v>-0.17758557798355093</v>
      </c>
      <c r="N101" s="77">
        <f t="shared" si="43"/>
        <v>0.20309639276584091</v>
      </c>
      <c r="O101" s="76">
        <f t="shared" si="44"/>
        <v>-0.36724026739525351</v>
      </c>
      <c r="P101" s="77">
        <f t="shared" si="45"/>
        <v>0.13119294638568041</v>
      </c>
      <c r="Q101" s="76">
        <f t="shared" si="46"/>
        <v>-0.24598960664868474</v>
      </c>
      <c r="R101" s="75">
        <f t="shared" si="47"/>
        <v>-0.22861958864134621</v>
      </c>
    </row>
    <row r="102" spans="2:18">
      <c r="B102" s="81"/>
      <c r="C102">
        <v>6</v>
      </c>
      <c r="D102">
        <v>192</v>
      </c>
      <c r="E102">
        <v>1.67149825</v>
      </c>
      <c r="F102" s="78"/>
      <c r="G102" s="75">
        <f t="shared" si="36"/>
        <v>0.37464728291239813</v>
      </c>
      <c r="H102" s="76">
        <f t="shared" si="37"/>
        <v>-0.3</v>
      </c>
      <c r="I102" s="75">
        <f t="shared" si="38"/>
        <v>-0.33870967741935487</v>
      </c>
      <c r="J102" s="75">
        <f t="shared" si="39"/>
        <v>-6.7394580718730168E-2</v>
      </c>
      <c r="K102" s="76">
        <f t="shared" si="40"/>
        <v>-0.21567694146204253</v>
      </c>
      <c r="L102" s="77">
        <f t="shared" si="41"/>
        <v>0.14051124034644435</v>
      </c>
      <c r="M102" s="76">
        <f t="shared" si="42"/>
        <v>-0.14727291279690877</v>
      </c>
      <c r="N102" s="77">
        <f t="shared" si="43"/>
        <v>0.2344805024250351</v>
      </c>
      <c r="O102" s="76">
        <f t="shared" si="44"/>
        <v>-0.36724026739525351</v>
      </c>
      <c r="P102" s="77">
        <f t="shared" si="45"/>
        <v>0.16809350996948214</v>
      </c>
      <c r="Q102" s="76">
        <f t="shared" si="46"/>
        <v>-0.21567694146204258</v>
      </c>
      <c r="R102" s="75">
        <f t="shared" si="47"/>
        <v>-0.23413604256595377</v>
      </c>
    </row>
    <row r="103" spans="2:18">
      <c r="B103" s="81"/>
      <c r="C103">
        <v>6</v>
      </c>
      <c r="D103">
        <v>224</v>
      </c>
      <c r="E103">
        <v>1.71627375</v>
      </c>
      <c r="F103" s="78"/>
      <c r="G103" s="75">
        <f t="shared" si="36"/>
        <v>0.39173296705172655</v>
      </c>
      <c r="H103" s="76">
        <f t="shared" si="37"/>
        <v>-0.3</v>
      </c>
      <c r="I103" s="75">
        <f t="shared" si="38"/>
        <v>-0.30645161290322581</v>
      </c>
      <c r="J103" s="75">
        <f t="shared" si="39"/>
        <v>-4.7665732044469777E-2</v>
      </c>
      <c r="K103" s="76">
        <f t="shared" si="40"/>
        <v>-0.18536427627540031</v>
      </c>
      <c r="L103" s="77">
        <f t="shared" si="41"/>
        <v>0.15208047056116522</v>
      </c>
      <c r="M103" s="76">
        <f t="shared" si="42"/>
        <v>-0.11696024761026655</v>
      </c>
      <c r="N103" s="77">
        <f t="shared" si="43"/>
        <v>0.24604973263975599</v>
      </c>
      <c r="O103" s="76">
        <f t="shared" si="44"/>
        <v>-0.36724026739525351</v>
      </c>
      <c r="P103" s="77">
        <f t="shared" si="45"/>
        <v>0.18517919410881059</v>
      </c>
      <c r="Q103" s="76">
        <f t="shared" si="46"/>
        <v>-0.18536427627540036</v>
      </c>
      <c r="R103" s="75">
        <f t="shared" si="47"/>
        <v>-0.23965249649056133</v>
      </c>
    </row>
    <row r="104" spans="2:18">
      <c r="B104" s="81"/>
      <c r="C104">
        <v>6</v>
      </c>
      <c r="D104">
        <v>256</v>
      </c>
      <c r="E104">
        <v>1.7727332499999999</v>
      </c>
      <c r="F104" s="78"/>
      <c r="G104" s="75">
        <f t="shared" ref="G104:G135" si="48">D$19*(L104-R104)</f>
        <v>0.41327709684736064</v>
      </c>
      <c r="H104" s="76">
        <f t="shared" ref="H104:H135" si="49">(C104-H$16)/H$17-0.5</f>
        <v>-0.3</v>
      </c>
      <c r="I104" s="75">
        <f t="shared" ref="I104:I135" si="50">(D104-I$16)/I$17-0.5</f>
        <v>-0.27419354838709675</v>
      </c>
      <c r="J104" s="75">
        <f t="shared" ref="J104:J135" si="51">(E104-J$16)/J$17-0.5</f>
        <v>-2.2788713770538649E-2</v>
      </c>
      <c r="K104" s="76">
        <f t="shared" ref="K104:K135" si="52">(H104*$H$13+I104*$I$13+J104*$J$13+$D$27)*$C$27</f>
        <v>-0.15505161108875803</v>
      </c>
      <c r="L104" s="77">
        <f t="shared" ref="L104:L135" si="53">(H104*$H$14+I104*$I$14+J104*$J$14+$E$27)*$C$27</f>
        <v>0.16810814643219174</v>
      </c>
      <c r="M104" s="76">
        <f t="shared" ref="M104:M135" si="54">(H$27*$H$13+I104*$I$13+J104*$J$13+$D$27)*$C$27</f>
        <v>-8.6647582423624275E-2</v>
      </c>
      <c r="N104" s="77">
        <f t="shared" ref="N104:N135" si="55">(H$27*$H$14+I104*$I$14+J104*$J$14+$E$27)*$C$27</f>
        <v>0.26207740851078248</v>
      </c>
      <c r="O104" s="76">
        <f t="shared" ref="O104:O135" si="56">(H104*$H$13+I$27*$I$13+J104*$J$13+$D$27)*$C$27</f>
        <v>-0.36724026739525351</v>
      </c>
      <c r="P104" s="77">
        <f t="shared" ref="P104:P135" si="57">(H104*$H$14+I$27*$I$14+J104*$J$14+$E$27)*$C$27</f>
        <v>0.20672332390444464</v>
      </c>
      <c r="Q104" s="76">
        <f t="shared" ref="Q104:Q135" si="58">(H104*$H$13+I104*$I$13+J$27*$J$13+$D$27)*$C$27</f>
        <v>-0.15505161108875809</v>
      </c>
      <c r="R104" s="75">
        <f t="shared" ref="R104:R135" si="59">(H104*$H$14+I104*$I$14+J$27*$J$14+$E$27)*$C$27</f>
        <v>-0.2451689504151689</v>
      </c>
    </row>
    <row r="105" spans="2:18">
      <c r="B105" s="81"/>
      <c r="C105">
        <v>6</v>
      </c>
      <c r="D105">
        <v>288</v>
      </c>
      <c r="E105">
        <v>1.830511</v>
      </c>
      <c r="F105" s="78"/>
      <c r="G105" s="75">
        <f t="shared" si="48"/>
        <v>0.43532425180444845</v>
      </c>
      <c r="H105" s="76">
        <f t="shared" si="49"/>
        <v>-0.3</v>
      </c>
      <c r="I105" s="75">
        <f t="shared" si="50"/>
        <v>-0.24193548387096775</v>
      </c>
      <c r="J105" s="75">
        <f t="shared" si="51"/>
        <v>2.6691479281414354E-3</v>
      </c>
      <c r="K105" s="76">
        <f t="shared" si="52"/>
        <v>-0.12473894590211589</v>
      </c>
      <c r="L105" s="77">
        <f t="shared" si="53"/>
        <v>0.18463884746467199</v>
      </c>
      <c r="M105" s="76">
        <f t="shared" si="54"/>
        <v>-5.6334917236982113E-2</v>
      </c>
      <c r="N105" s="77">
        <f t="shared" si="55"/>
        <v>0.27860810954326276</v>
      </c>
      <c r="O105" s="76">
        <f t="shared" si="56"/>
        <v>-0.36724026739525351</v>
      </c>
      <c r="P105" s="77">
        <f t="shared" si="57"/>
        <v>0.22877047886153248</v>
      </c>
      <c r="Q105" s="76">
        <f t="shared" si="58"/>
        <v>-0.12473894590211594</v>
      </c>
      <c r="R105" s="75">
        <f t="shared" si="59"/>
        <v>-0.25068540433977649</v>
      </c>
    </row>
    <row r="106" spans="2:18">
      <c r="B106" s="81"/>
      <c r="C106">
        <v>6</v>
      </c>
      <c r="D106">
        <v>320</v>
      </c>
      <c r="E106">
        <v>1.907859</v>
      </c>
      <c r="F106" s="78"/>
      <c r="G106" s="75">
        <f t="shared" si="48"/>
        <v>0.46483913152234724</v>
      </c>
      <c r="H106" s="76">
        <f t="shared" si="49"/>
        <v>-0.3</v>
      </c>
      <c r="I106" s="75">
        <f t="shared" si="50"/>
        <v>-0.20967741935483869</v>
      </c>
      <c r="J106" s="75">
        <f t="shared" si="51"/>
        <v>3.6749995428598026E-2</v>
      </c>
      <c r="K106" s="76">
        <f t="shared" si="52"/>
        <v>-9.4426280715473668E-2</v>
      </c>
      <c r="L106" s="77">
        <f t="shared" si="53"/>
        <v>0.20863727325796322</v>
      </c>
      <c r="M106" s="76">
        <f t="shared" si="54"/>
        <v>-2.6022252050339891E-2</v>
      </c>
      <c r="N106" s="77">
        <f t="shared" si="55"/>
        <v>0.30260653533655396</v>
      </c>
      <c r="O106" s="76">
        <f t="shared" si="56"/>
        <v>-0.36724026739525351</v>
      </c>
      <c r="P106" s="77">
        <f t="shared" si="57"/>
        <v>0.25828535857943125</v>
      </c>
      <c r="Q106" s="76">
        <f t="shared" si="58"/>
        <v>-9.4426280715473723E-2</v>
      </c>
      <c r="R106" s="75">
        <f t="shared" si="59"/>
        <v>-0.25620185826438402</v>
      </c>
    </row>
    <row r="107" spans="2:18">
      <c r="B107" s="81"/>
      <c r="C107">
        <v>6</v>
      </c>
      <c r="D107">
        <v>352</v>
      </c>
      <c r="E107">
        <v>1.96792725</v>
      </c>
      <c r="F107" s="78"/>
      <c r="G107" s="75">
        <f t="shared" si="48"/>
        <v>0.4877603081993741</v>
      </c>
      <c r="H107" s="76">
        <f t="shared" si="49"/>
        <v>-0.3</v>
      </c>
      <c r="I107" s="75">
        <f t="shared" si="50"/>
        <v>-0.17741935483870969</v>
      </c>
      <c r="J107" s="75">
        <f t="shared" si="51"/>
        <v>6.321709047784696E-2</v>
      </c>
      <c r="K107" s="76">
        <f t="shared" si="52"/>
        <v>-6.4113615528831464E-2</v>
      </c>
      <c r="L107" s="77">
        <f t="shared" si="53"/>
        <v>0.22604199601038258</v>
      </c>
      <c r="M107" s="76">
        <f t="shared" si="54"/>
        <v>4.2904131363023035E-3</v>
      </c>
      <c r="N107" s="77">
        <f t="shared" si="55"/>
        <v>0.32001125808897335</v>
      </c>
      <c r="O107" s="76">
        <f t="shared" si="56"/>
        <v>-0.36724026739525351</v>
      </c>
      <c r="P107" s="77">
        <f t="shared" si="57"/>
        <v>0.28120653525645822</v>
      </c>
      <c r="Q107" s="76">
        <f t="shared" si="58"/>
        <v>-6.4113615528831533E-2</v>
      </c>
      <c r="R107" s="75">
        <f t="shared" si="59"/>
        <v>-0.26171831218899155</v>
      </c>
    </row>
    <row r="108" spans="2:18">
      <c r="B108" s="81"/>
      <c r="C108">
        <v>6</v>
      </c>
      <c r="D108">
        <v>384</v>
      </c>
      <c r="E108">
        <v>2.0545374999999999</v>
      </c>
      <c r="F108" s="78"/>
      <c r="G108" s="75">
        <f t="shared" si="48"/>
        <v>0.52080952874918984</v>
      </c>
      <c r="H108" s="76">
        <f t="shared" si="49"/>
        <v>-0.3</v>
      </c>
      <c r="I108" s="75">
        <f t="shared" si="50"/>
        <v>-0.14516129032258063</v>
      </c>
      <c r="J108" s="75">
        <f t="shared" si="51"/>
        <v>0.10137904323973368</v>
      </c>
      <c r="K108" s="76">
        <f t="shared" si="52"/>
        <v>-3.3800950342189245E-2</v>
      </c>
      <c r="L108" s="77">
        <f t="shared" si="53"/>
        <v>0.25357476263559064</v>
      </c>
      <c r="M108" s="76">
        <f t="shared" si="54"/>
        <v>3.4603078322944528E-2</v>
      </c>
      <c r="N108" s="77">
        <f t="shared" si="55"/>
        <v>0.34754402471418139</v>
      </c>
      <c r="O108" s="76">
        <f t="shared" si="56"/>
        <v>-0.36724026739525351</v>
      </c>
      <c r="P108" s="77">
        <f t="shared" si="57"/>
        <v>0.31425575580627385</v>
      </c>
      <c r="Q108" s="76">
        <f t="shared" si="58"/>
        <v>-3.3800950342189322E-2</v>
      </c>
      <c r="R108" s="75">
        <f t="shared" si="59"/>
        <v>-0.26723476611359914</v>
      </c>
    </row>
    <row r="109" spans="2:18">
      <c r="B109" s="81"/>
      <c r="C109">
        <v>6</v>
      </c>
      <c r="D109">
        <v>416</v>
      </c>
      <c r="E109">
        <v>2.12846</v>
      </c>
      <c r="F109" s="78"/>
      <c r="G109" s="75">
        <f t="shared" si="48"/>
        <v>0.54901728713914655</v>
      </c>
      <c r="H109" s="76">
        <f t="shared" si="49"/>
        <v>-0.3</v>
      </c>
      <c r="I109" s="75">
        <f t="shared" si="50"/>
        <v>-0.11290322580645162</v>
      </c>
      <c r="J109" s="75">
        <f t="shared" si="51"/>
        <v>0.13395055703908865</v>
      </c>
      <c r="K109" s="76">
        <f t="shared" si="52"/>
        <v>-3.4882851555470664E-3</v>
      </c>
      <c r="L109" s="77">
        <f t="shared" si="53"/>
        <v>0.27626606710093987</v>
      </c>
      <c r="M109" s="76">
        <f t="shared" si="54"/>
        <v>6.4915743509586704E-2</v>
      </c>
      <c r="N109" s="77">
        <f t="shared" si="55"/>
        <v>0.37023532917953067</v>
      </c>
      <c r="O109" s="76">
        <f t="shared" si="56"/>
        <v>-0.36724026739525351</v>
      </c>
      <c r="P109" s="77">
        <f t="shared" si="57"/>
        <v>0.34246351419623061</v>
      </c>
      <c r="Q109" s="76">
        <f t="shared" si="58"/>
        <v>-3.488285155547144E-3</v>
      </c>
      <c r="R109" s="75">
        <f t="shared" si="59"/>
        <v>-0.27275122003820673</v>
      </c>
    </row>
    <row r="110" spans="2:18">
      <c r="B110" s="81"/>
      <c r="C110">
        <v>6</v>
      </c>
      <c r="D110">
        <v>448</v>
      </c>
      <c r="E110">
        <v>2.20523925</v>
      </c>
      <c r="F110" s="78"/>
      <c r="G110" s="75">
        <f t="shared" si="48"/>
        <v>0.57831514007109663</v>
      </c>
      <c r="H110" s="76">
        <f t="shared" si="49"/>
        <v>-0.3</v>
      </c>
      <c r="I110" s="75">
        <f t="shared" si="50"/>
        <v>-8.0645161290322565E-2</v>
      </c>
      <c r="J110" s="75">
        <f t="shared" si="51"/>
        <v>0.16778080359296754</v>
      </c>
      <c r="K110" s="76">
        <f t="shared" si="52"/>
        <v>2.682438003109517E-2</v>
      </c>
      <c r="L110" s="77">
        <f t="shared" si="53"/>
        <v>0.30004746610828237</v>
      </c>
      <c r="M110" s="76">
        <f t="shared" si="54"/>
        <v>9.5228408696228936E-2</v>
      </c>
      <c r="N110" s="77">
        <f t="shared" si="55"/>
        <v>0.39401672818687317</v>
      </c>
      <c r="O110" s="76">
        <f t="shared" si="56"/>
        <v>-0.36724026739525351</v>
      </c>
      <c r="P110" s="77">
        <f t="shared" si="57"/>
        <v>0.3717613671281807</v>
      </c>
      <c r="Q110" s="76">
        <f t="shared" si="58"/>
        <v>2.6824380031095087E-2</v>
      </c>
      <c r="R110" s="75">
        <f t="shared" si="59"/>
        <v>-0.27826767396281427</v>
      </c>
    </row>
    <row r="111" spans="2:18">
      <c r="B111" s="81"/>
      <c r="C111">
        <v>6</v>
      </c>
      <c r="D111">
        <v>480</v>
      </c>
      <c r="E111">
        <v>2.2951817499999998</v>
      </c>
      <c r="F111" s="78"/>
      <c r="G111" s="75">
        <f t="shared" si="48"/>
        <v>0.61263589909559779</v>
      </c>
      <c r="H111" s="76">
        <f t="shared" si="49"/>
        <v>-0.3</v>
      </c>
      <c r="I111" s="75">
        <f t="shared" si="50"/>
        <v>-4.8387096774193561E-2</v>
      </c>
      <c r="J111" s="75">
        <f t="shared" si="51"/>
        <v>0.20741100251614353</v>
      </c>
      <c r="K111" s="76">
        <f t="shared" si="52"/>
        <v>5.7137045217737346E-2</v>
      </c>
      <c r="L111" s="77">
        <f t="shared" si="53"/>
        <v>0.32885177120817599</v>
      </c>
      <c r="M111" s="76">
        <f t="shared" si="54"/>
        <v>0.12554107388287111</v>
      </c>
      <c r="N111" s="77">
        <f t="shared" si="55"/>
        <v>0.42282103328676673</v>
      </c>
      <c r="O111" s="76">
        <f t="shared" si="56"/>
        <v>-0.36724026739525351</v>
      </c>
      <c r="P111" s="77">
        <f t="shared" si="57"/>
        <v>0.4060821261526818</v>
      </c>
      <c r="Q111" s="76">
        <f t="shared" si="58"/>
        <v>5.7137045217737256E-2</v>
      </c>
      <c r="R111" s="75">
        <f t="shared" si="59"/>
        <v>-0.2837841278874218</v>
      </c>
    </row>
    <row r="112" spans="2:18">
      <c r="B112" s="81"/>
      <c r="C112">
        <v>6</v>
      </c>
      <c r="D112">
        <v>512</v>
      </c>
      <c r="E112">
        <v>2.3943707500000002</v>
      </c>
      <c r="F112" s="78"/>
      <c r="G112" s="75">
        <f t="shared" si="48"/>
        <v>0.65048498897948193</v>
      </c>
      <c r="H112" s="76">
        <f t="shared" si="49"/>
        <v>-0.3</v>
      </c>
      <c r="I112" s="75">
        <f t="shared" si="50"/>
        <v>-1.6129032258064502E-2</v>
      </c>
      <c r="J112" s="75">
        <f t="shared" si="51"/>
        <v>0.25111536698222925</v>
      </c>
      <c r="K112" s="76">
        <f t="shared" si="52"/>
        <v>8.7449710404379571E-2</v>
      </c>
      <c r="L112" s="77">
        <f t="shared" si="53"/>
        <v>0.36118440716745254</v>
      </c>
      <c r="M112" s="76">
        <f t="shared" si="54"/>
        <v>0.15585373906951336</v>
      </c>
      <c r="N112" s="77">
        <f t="shared" si="55"/>
        <v>0.45515366924604328</v>
      </c>
      <c r="O112" s="76">
        <f t="shared" si="56"/>
        <v>-0.36724026739525345</v>
      </c>
      <c r="P112" s="77">
        <f t="shared" si="57"/>
        <v>0.44393121603656599</v>
      </c>
      <c r="Q112" s="76">
        <f t="shared" si="58"/>
        <v>8.7449710404379488E-2</v>
      </c>
      <c r="R112" s="75">
        <f t="shared" si="59"/>
        <v>-0.28930058181202944</v>
      </c>
    </row>
    <row r="113" spans="2:18">
      <c r="B113" s="81"/>
      <c r="C113">
        <v>6</v>
      </c>
      <c r="D113">
        <v>544</v>
      </c>
      <c r="E113">
        <v>2.4935605000000001</v>
      </c>
      <c r="F113" s="78"/>
      <c r="G113" s="75">
        <f t="shared" si="48"/>
        <v>0.6883343650525342</v>
      </c>
      <c r="H113" s="76">
        <f t="shared" si="49"/>
        <v>-0.3</v>
      </c>
      <c r="I113" s="75">
        <f t="shared" si="50"/>
        <v>1.6129032258064502E-2</v>
      </c>
      <c r="J113" s="75">
        <f t="shared" si="51"/>
        <v>0.29482006191110144</v>
      </c>
      <c r="K113" s="76">
        <f t="shared" si="52"/>
        <v>0.11776237559102178</v>
      </c>
      <c r="L113" s="77">
        <f t="shared" si="53"/>
        <v>0.39351732931589722</v>
      </c>
      <c r="M113" s="76">
        <f t="shared" si="54"/>
        <v>0.18616640425615552</v>
      </c>
      <c r="N113" s="77">
        <f t="shared" si="55"/>
        <v>0.48748659139448802</v>
      </c>
      <c r="O113" s="76">
        <f t="shared" si="56"/>
        <v>-0.36724026739525345</v>
      </c>
      <c r="P113" s="77">
        <f t="shared" si="57"/>
        <v>0.48178059210961821</v>
      </c>
      <c r="Q113" s="76">
        <f t="shared" si="58"/>
        <v>0.11776237559102168</v>
      </c>
      <c r="R113" s="75">
        <f t="shared" si="59"/>
        <v>-0.29481703573663698</v>
      </c>
    </row>
    <row r="114" spans="2:18">
      <c r="B114" s="81"/>
      <c r="C114">
        <v>6</v>
      </c>
      <c r="D114">
        <v>576</v>
      </c>
      <c r="E114">
        <v>2.5978050000000001</v>
      </c>
      <c r="F114" s="78"/>
      <c r="G114" s="75">
        <f t="shared" si="48"/>
        <v>0.72811256072343078</v>
      </c>
      <c r="H114" s="76">
        <f t="shared" si="49"/>
        <v>-0.3</v>
      </c>
      <c r="I114" s="75">
        <f t="shared" si="50"/>
        <v>4.8387096774193505E-2</v>
      </c>
      <c r="J114" s="75">
        <f t="shared" si="51"/>
        <v>0.34075196586804091</v>
      </c>
      <c r="K114" s="76">
        <f t="shared" si="52"/>
        <v>0.14807504077766395</v>
      </c>
      <c r="L114" s="77">
        <f t="shared" si="53"/>
        <v>0.42777907106218627</v>
      </c>
      <c r="M114" s="76">
        <f t="shared" si="54"/>
        <v>0.21647906944279774</v>
      </c>
      <c r="N114" s="77">
        <f t="shared" si="55"/>
        <v>0.52174833314077707</v>
      </c>
      <c r="O114" s="76">
        <f t="shared" si="56"/>
        <v>-0.36724026739525345</v>
      </c>
      <c r="P114" s="77">
        <f t="shared" si="57"/>
        <v>0.52155878778051479</v>
      </c>
      <c r="Q114" s="76">
        <f t="shared" si="58"/>
        <v>0.14807504077766384</v>
      </c>
      <c r="R114" s="75">
        <f t="shared" si="59"/>
        <v>-0.30033348966124451</v>
      </c>
    </row>
    <row r="115" spans="2:18">
      <c r="B115" s="81"/>
      <c r="C115">
        <v>6</v>
      </c>
      <c r="D115">
        <v>608</v>
      </c>
      <c r="E115">
        <v>2.7109519999999998</v>
      </c>
      <c r="F115" s="78"/>
      <c r="G115" s="75">
        <f t="shared" si="48"/>
        <v>0.77128782182185707</v>
      </c>
      <c r="H115" s="76">
        <f t="shared" si="49"/>
        <v>-0.3</v>
      </c>
      <c r="I115" s="75">
        <f t="shared" si="50"/>
        <v>8.064516129032262E-2</v>
      </c>
      <c r="J115" s="75">
        <f t="shared" si="51"/>
        <v>0.39060646310305847</v>
      </c>
      <c r="K115" s="76">
        <f t="shared" si="52"/>
        <v>0.17838770596430625</v>
      </c>
      <c r="L115" s="77">
        <f t="shared" si="53"/>
        <v>0.46543787823600491</v>
      </c>
      <c r="M115" s="76">
        <f t="shared" si="54"/>
        <v>0.24679173462944001</v>
      </c>
      <c r="N115" s="77">
        <f t="shared" si="55"/>
        <v>0.55940714031459571</v>
      </c>
      <c r="O115" s="76">
        <f t="shared" si="56"/>
        <v>-0.36724026739525345</v>
      </c>
      <c r="P115" s="77">
        <f t="shared" si="57"/>
        <v>0.56473404887894108</v>
      </c>
      <c r="Q115" s="76">
        <f t="shared" si="58"/>
        <v>0.17838770596430614</v>
      </c>
      <c r="R115" s="75">
        <f t="shared" si="59"/>
        <v>-0.3058499435858521</v>
      </c>
    </row>
    <row r="116" spans="2:18">
      <c r="B116" s="81"/>
      <c r="C116">
        <v>6</v>
      </c>
      <c r="D116">
        <v>640</v>
      </c>
      <c r="E116">
        <v>2.8185652499999998</v>
      </c>
      <c r="F116" s="78"/>
      <c r="G116" s="75">
        <f t="shared" si="48"/>
        <v>0.81235148384029543</v>
      </c>
      <c r="H116" s="76">
        <f t="shared" si="49"/>
        <v>-0.3</v>
      </c>
      <c r="I116" s="75">
        <f t="shared" si="50"/>
        <v>0.11290322580645162</v>
      </c>
      <c r="J116" s="75">
        <f t="shared" si="51"/>
        <v>0.43802269574357289</v>
      </c>
      <c r="K116" s="76">
        <f t="shared" si="52"/>
        <v>0.20870037115094842</v>
      </c>
      <c r="L116" s="77">
        <f t="shared" si="53"/>
        <v>0.50098508632983574</v>
      </c>
      <c r="M116" s="76">
        <f t="shared" si="54"/>
        <v>0.2771043998160822</v>
      </c>
      <c r="N116" s="77">
        <f t="shared" si="55"/>
        <v>0.59495434840842654</v>
      </c>
      <c r="O116" s="76">
        <f t="shared" si="56"/>
        <v>-0.36724026739525345</v>
      </c>
      <c r="P116" s="77">
        <f t="shared" si="57"/>
        <v>0.60579771089737944</v>
      </c>
      <c r="Q116" s="76">
        <f t="shared" si="58"/>
        <v>0.20870037115094831</v>
      </c>
      <c r="R116" s="75">
        <f t="shared" si="59"/>
        <v>-0.31136639751045964</v>
      </c>
    </row>
    <row r="117" spans="2:18">
      <c r="B117" s="81"/>
      <c r="C117">
        <v>6</v>
      </c>
      <c r="D117">
        <v>672</v>
      </c>
      <c r="E117">
        <v>2.9241552500000001</v>
      </c>
      <c r="F117" s="78"/>
      <c r="G117" s="75">
        <f t="shared" si="48"/>
        <v>0.8526431028790934</v>
      </c>
      <c r="H117" s="76">
        <f t="shared" si="49"/>
        <v>-0.3</v>
      </c>
      <c r="I117" s="75">
        <f t="shared" si="50"/>
        <v>0.14516129032258063</v>
      </c>
      <c r="J117" s="75">
        <f t="shared" si="51"/>
        <v>0.48454744993984455</v>
      </c>
      <c r="K117" s="76">
        <f t="shared" si="52"/>
        <v>0.23901303633759058</v>
      </c>
      <c r="L117" s="77">
        <f t="shared" si="53"/>
        <v>0.53576025144402617</v>
      </c>
      <c r="M117" s="76">
        <f t="shared" si="54"/>
        <v>0.30741706500272437</v>
      </c>
      <c r="N117" s="77">
        <f t="shared" si="55"/>
        <v>0.62972951352261686</v>
      </c>
      <c r="O117" s="76">
        <f t="shared" si="56"/>
        <v>-0.36724026739525345</v>
      </c>
      <c r="P117" s="77">
        <f t="shared" si="57"/>
        <v>0.6460893299361774</v>
      </c>
      <c r="Q117" s="76">
        <f t="shared" si="58"/>
        <v>0.23901303633759047</v>
      </c>
      <c r="R117" s="75">
        <f t="shared" si="59"/>
        <v>-0.31688285143506723</v>
      </c>
    </row>
    <row r="118" spans="2:18">
      <c r="B118" s="81"/>
      <c r="C118">
        <v>8</v>
      </c>
      <c r="D118">
        <v>32</v>
      </c>
      <c r="E118">
        <v>0.70546175</v>
      </c>
      <c r="F118" s="78"/>
      <c r="G118" s="75">
        <f t="shared" si="48"/>
        <v>6.0217062898618168E-3</v>
      </c>
      <c r="H118" s="76">
        <f t="shared" si="49"/>
        <v>-0.2</v>
      </c>
      <c r="I118" s="75">
        <f t="shared" si="50"/>
        <v>-0.5</v>
      </c>
      <c r="J118" s="75">
        <f t="shared" si="51"/>
        <v>-0.49304673250513481</v>
      </c>
      <c r="K118" s="76">
        <f t="shared" si="52"/>
        <v>-0.40144228172782043</v>
      </c>
      <c r="L118" s="77">
        <f t="shared" si="53"/>
        <v>-0.24751669769234952</v>
      </c>
      <c r="M118" s="76">
        <f t="shared" si="54"/>
        <v>-0.29883623873011983</v>
      </c>
      <c r="N118" s="77">
        <f t="shared" si="55"/>
        <v>-0.10656280457446338</v>
      </c>
      <c r="O118" s="76">
        <f t="shared" si="56"/>
        <v>-0.40144228172782043</v>
      </c>
      <c r="P118" s="77">
        <f t="shared" si="57"/>
        <v>-0.24751669769234952</v>
      </c>
      <c r="Q118" s="76">
        <f t="shared" si="58"/>
        <v>-0.40144228172782043</v>
      </c>
      <c r="R118" s="75">
        <f t="shared" si="59"/>
        <v>-0.25353840398221134</v>
      </c>
    </row>
    <row r="119" spans="2:18">
      <c r="B119" s="81"/>
      <c r="C119">
        <v>8</v>
      </c>
      <c r="D119">
        <v>64</v>
      </c>
      <c r="E119">
        <v>0.92736874999999996</v>
      </c>
      <c r="F119" s="78"/>
      <c r="G119" s="75">
        <f t="shared" si="48"/>
        <v>9.0698212645032805E-2</v>
      </c>
      <c r="H119" s="76">
        <f t="shared" si="49"/>
        <v>-0.2</v>
      </c>
      <c r="I119" s="75">
        <f t="shared" si="50"/>
        <v>-0.467741935483871</v>
      </c>
      <c r="J119" s="75">
        <f t="shared" si="51"/>
        <v>-0.39527072502874477</v>
      </c>
      <c r="K119" s="76">
        <f t="shared" si="52"/>
        <v>-0.37112961654117826</v>
      </c>
      <c r="L119" s="77">
        <f t="shared" si="53"/>
        <v>-0.16835664526178612</v>
      </c>
      <c r="M119" s="76">
        <f t="shared" si="54"/>
        <v>-0.26852357354347761</v>
      </c>
      <c r="N119" s="77">
        <f t="shared" si="55"/>
        <v>-2.7402752143899978E-2</v>
      </c>
      <c r="O119" s="76">
        <f t="shared" si="56"/>
        <v>-0.40144228172782043</v>
      </c>
      <c r="P119" s="77">
        <f t="shared" si="57"/>
        <v>-0.16284019133717853</v>
      </c>
      <c r="Q119" s="76">
        <f t="shared" si="58"/>
        <v>-0.37112961654117826</v>
      </c>
      <c r="R119" s="75">
        <f t="shared" si="59"/>
        <v>-0.25905485790681892</v>
      </c>
    </row>
    <row r="120" spans="2:18">
      <c r="B120" s="81"/>
      <c r="C120">
        <v>8</v>
      </c>
      <c r="D120">
        <v>96</v>
      </c>
      <c r="E120">
        <v>1.2744467500000001</v>
      </c>
      <c r="F120" s="78"/>
      <c r="G120" s="75">
        <f t="shared" si="48"/>
        <v>0.22313816484455809</v>
      </c>
      <c r="H120" s="76">
        <f t="shared" si="49"/>
        <v>-0.2</v>
      </c>
      <c r="I120" s="75">
        <f t="shared" si="50"/>
        <v>-0.43548387096774194</v>
      </c>
      <c r="J120" s="75">
        <f t="shared" si="51"/>
        <v>-0.24234224092103063</v>
      </c>
      <c r="K120" s="76">
        <f t="shared" si="52"/>
        <v>-0.34081695135453605</v>
      </c>
      <c r="L120" s="77">
        <f t="shared" si="53"/>
        <v>-4.1433146986868369E-2</v>
      </c>
      <c r="M120" s="76">
        <f t="shared" si="54"/>
        <v>-0.23821090835683539</v>
      </c>
      <c r="N120" s="77">
        <f t="shared" si="55"/>
        <v>9.9520746131017773E-2</v>
      </c>
      <c r="O120" s="76">
        <f t="shared" si="56"/>
        <v>-0.40144228172782043</v>
      </c>
      <c r="P120" s="77">
        <f t="shared" si="57"/>
        <v>-3.0400239137653245E-2</v>
      </c>
      <c r="Q120" s="76">
        <f t="shared" si="58"/>
        <v>-0.34081695135453605</v>
      </c>
      <c r="R120" s="75">
        <f t="shared" si="59"/>
        <v>-0.26457131183142646</v>
      </c>
    </row>
    <row r="121" spans="2:18">
      <c r="B121" s="81"/>
      <c r="C121">
        <v>8</v>
      </c>
      <c r="D121">
        <v>128</v>
      </c>
      <c r="E121">
        <v>1.636234</v>
      </c>
      <c r="F121" s="78"/>
      <c r="G121" s="75">
        <f t="shared" si="48"/>
        <v>0.36119095440885679</v>
      </c>
      <c r="H121" s="76">
        <f t="shared" si="49"/>
        <v>-0.2</v>
      </c>
      <c r="I121" s="75">
        <f t="shared" si="50"/>
        <v>-0.40322580645161288</v>
      </c>
      <c r="J121" s="75">
        <f t="shared" si="51"/>
        <v>-8.2932610486377401E-2</v>
      </c>
      <c r="K121" s="76">
        <f t="shared" si="52"/>
        <v>-0.31050428616789372</v>
      </c>
      <c r="L121" s="77">
        <f t="shared" si="53"/>
        <v>9.1103188652822742E-2</v>
      </c>
      <c r="M121" s="76">
        <f t="shared" si="54"/>
        <v>-0.20789824317019309</v>
      </c>
      <c r="N121" s="77">
        <f t="shared" si="55"/>
        <v>0.23205708177070888</v>
      </c>
      <c r="O121" s="76">
        <f t="shared" si="56"/>
        <v>-0.40144228172782037</v>
      </c>
      <c r="P121" s="77">
        <f t="shared" si="57"/>
        <v>0.10765255042664545</v>
      </c>
      <c r="Q121" s="76">
        <f t="shared" si="58"/>
        <v>-0.31050428616789377</v>
      </c>
      <c r="R121" s="75">
        <f t="shared" si="59"/>
        <v>-0.27008776575603405</v>
      </c>
    </row>
    <row r="122" spans="2:18">
      <c r="B122" s="81"/>
      <c r="C122">
        <v>8</v>
      </c>
      <c r="D122">
        <v>160</v>
      </c>
      <c r="E122">
        <v>1.706618</v>
      </c>
      <c r="F122" s="78"/>
      <c r="G122" s="75">
        <f t="shared" si="48"/>
        <v>0.38804847230285</v>
      </c>
      <c r="H122" s="76">
        <f t="shared" si="49"/>
        <v>-0.2</v>
      </c>
      <c r="I122" s="75">
        <f t="shared" si="50"/>
        <v>-0.37096774193548387</v>
      </c>
      <c r="J122" s="75">
        <f t="shared" si="51"/>
        <v>-5.1920220114653026E-2</v>
      </c>
      <c r="K122" s="76">
        <f t="shared" si="52"/>
        <v>-0.28019162098125155</v>
      </c>
      <c r="L122" s="77">
        <f t="shared" si="53"/>
        <v>0.11244425262220845</v>
      </c>
      <c r="M122" s="76">
        <f t="shared" si="54"/>
        <v>-0.17758557798355093</v>
      </c>
      <c r="N122" s="77">
        <f t="shared" si="55"/>
        <v>0.25339814574009456</v>
      </c>
      <c r="O122" s="76">
        <f t="shared" si="56"/>
        <v>-0.40144228172782037</v>
      </c>
      <c r="P122" s="77">
        <f t="shared" si="57"/>
        <v>0.13451006832063869</v>
      </c>
      <c r="Q122" s="76">
        <f t="shared" si="58"/>
        <v>-0.28019162098125161</v>
      </c>
      <c r="R122" s="75">
        <f t="shared" si="59"/>
        <v>-0.27560421968064158</v>
      </c>
    </row>
    <row r="123" spans="2:18">
      <c r="B123" s="81"/>
      <c r="C123">
        <v>8</v>
      </c>
      <c r="D123">
        <v>192</v>
      </c>
      <c r="E123">
        <v>1.77279725</v>
      </c>
      <c r="F123" s="78"/>
      <c r="G123" s="75">
        <f t="shared" si="48"/>
        <v>0.41330151832305423</v>
      </c>
      <c r="H123" s="76">
        <f t="shared" si="49"/>
        <v>-0.2</v>
      </c>
      <c r="I123" s="75">
        <f t="shared" si="50"/>
        <v>-0.33870967741935487</v>
      </c>
      <c r="J123" s="75">
        <f t="shared" si="51"/>
        <v>-2.2760514279407229E-2</v>
      </c>
      <c r="K123" s="76">
        <f t="shared" si="52"/>
        <v>-0.24987895579460939</v>
      </c>
      <c r="L123" s="77">
        <f t="shared" si="53"/>
        <v>0.13218084471780506</v>
      </c>
      <c r="M123" s="76">
        <f t="shared" si="54"/>
        <v>-0.14727291279690877</v>
      </c>
      <c r="N123" s="77">
        <f t="shared" si="55"/>
        <v>0.2731347378356912</v>
      </c>
      <c r="O123" s="76">
        <f t="shared" si="56"/>
        <v>-0.40144228172782037</v>
      </c>
      <c r="P123" s="77">
        <f t="shared" si="57"/>
        <v>0.15976311434084289</v>
      </c>
      <c r="Q123" s="76">
        <f t="shared" si="58"/>
        <v>-0.24987895579460945</v>
      </c>
      <c r="R123" s="75">
        <f t="shared" si="59"/>
        <v>-0.28112067360524917</v>
      </c>
    </row>
    <row r="124" spans="2:18">
      <c r="B124" s="81"/>
      <c r="C124">
        <v>8</v>
      </c>
      <c r="D124">
        <v>224</v>
      </c>
      <c r="E124">
        <v>1.8600874999999999</v>
      </c>
      <c r="F124" s="78"/>
      <c r="G124" s="75">
        <f t="shared" si="48"/>
        <v>0.4466102170521139</v>
      </c>
      <c r="H124" s="76">
        <f t="shared" si="49"/>
        <v>-0.2</v>
      </c>
      <c r="I124" s="75">
        <f t="shared" si="50"/>
        <v>-0.30645161290322581</v>
      </c>
      <c r="J124" s="75">
        <f t="shared" si="51"/>
        <v>1.5701058075750285E-2</v>
      </c>
      <c r="K124" s="76">
        <f t="shared" si="52"/>
        <v>-0.21956629060796717</v>
      </c>
      <c r="L124" s="77">
        <f t="shared" si="53"/>
        <v>0.15997308952225719</v>
      </c>
      <c r="M124" s="76">
        <f t="shared" si="54"/>
        <v>-0.11696024761026655</v>
      </c>
      <c r="N124" s="77">
        <f t="shared" si="55"/>
        <v>0.30092698264014334</v>
      </c>
      <c r="O124" s="76">
        <f t="shared" si="56"/>
        <v>-0.40144228172782037</v>
      </c>
      <c r="P124" s="77">
        <f t="shared" si="57"/>
        <v>0.19307181306990259</v>
      </c>
      <c r="Q124" s="76">
        <f t="shared" si="58"/>
        <v>-0.21956629060796723</v>
      </c>
      <c r="R124" s="75">
        <f t="shared" si="59"/>
        <v>-0.28663712752985671</v>
      </c>
    </row>
    <row r="125" spans="2:18">
      <c r="B125" s="81"/>
      <c r="C125">
        <v>8</v>
      </c>
      <c r="D125">
        <v>256</v>
      </c>
      <c r="E125">
        <v>1.94690075</v>
      </c>
      <c r="F125" s="78"/>
      <c r="G125" s="75">
        <f t="shared" si="48"/>
        <v>0.47973689947014519</v>
      </c>
      <c r="H125" s="76">
        <f t="shared" si="49"/>
        <v>-0.2</v>
      </c>
      <c r="I125" s="75">
        <f t="shared" si="50"/>
        <v>-0.27419354838709675</v>
      </c>
      <c r="J125" s="75">
        <f t="shared" si="51"/>
        <v>5.3952456098569468E-2</v>
      </c>
      <c r="K125" s="76">
        <f t="shared" si="52"/>
        <v>-0.1892536254213249</v>
      </c>
      <c r="L125" s="77">
        <f t="shared" si="53"/>
        <v>0.1875833180156809</v>
      </c>
      <c r="M125" s="76">
        <f t="shared" si="54"/>
        <v>-8.6647582423624275E-2</v>
      </c>
      <c r="N125" s="77">
        <f t="shared" si="55"/>
        <v>0.32853721113356704</v>
      </c>
      <c r="O125" s="76">
        <f t="shared" si="56"/>
        <v>-0.40144228172782037</v>
      </c>
      <c r="P125" s="77">
        <f t="shared" si="57"/>
        <v>0.22619849548793386</v>
      </c>
      <c r="Q125" s="76">
        <f t="shared" si="58"/>
        <v>-0.18925362542132496</v>
      </c>
      <c r="R125" s="75">
        <f t="shared" si="59"/>
        <v>-0.2921535814544643</v>
      </c>
    </row>
    <row r="126" spans="2:18">
      <c r="B126" s="81"/>
      <c r="C126">
        <v>8</v>
      </c>
      <c r="D126">
        <v>288</v>
      </c>
      <c r="E126">
        <v>2.0561150000000001</v>
      </c>
      <c r="F126" s="78"/>
      <c r="G126" s="75">
        <f t="shared" si="48"/>
        <v>0.52141147996648041</v>
      </c>
      <c r="H126" s="76">
        <f t="shared" si="49"/>
        <v>-0.2</v>
      </c>
      <c r="I126" s="75">
        <f t="shared" si="50"/>
        <v>-0.24193548387096775</v>
      </c>
      <c r="J126" s="75">
        <f t="shared" si="51"/>
        <v>0.10207411663441712</v>
      </c>
      <c r="K126" s="76">
        <f t="shared" si="52"/>
        <v>-0.15894096023468274</v>
      </c>
      <c r="L126" s="77">
        <f t="shared" si="53"/>
        <v>0.22374144458740847</v>
      </c>
      <c r="M126" s="76">
        <f t="shared" si="54"/>
        <v>-5.6334917236982099E-2</v>
      </c>
      <c r="N126" s="77">
        <f t="shared" si="55"/>
        <v>0.36469533770529466</v>
      </c>
      <c r="O126" s="76">
        <f t="shared" si="56"/>
        <v>-0.40144228172782037</v>
      </c>
      <c r="P126" s="77">
        <f t="shared" si="57"/>
        <v>0.26787307598426902</v>
      </c>
      <c r="Q126" s="76">
        <f t="shared" si="58"/>
        <v>-0.15894096023468279</v>
      </c>
      <c r="R126" s="75">
        <f t="shared" si="59"/>
        <v>-0.29767003537907188</v>
      </c>
    </row>
    <row r="127" spans="2:18">
      <c r="B127" s="81"/>
      <c r="C127">
        <v>8</v>
      </c>
      <c r="D127">
        <v>320</v>
      </c>
      <c r="E127">
        <v>2.1584352500000001</v>
      </c>
      <c r="F127" s="78"/>
      <c r="G127" s="75">
        <f t="shared" si="48"/>
        <v>0.56045540962794971</v>
      </c>
      <c r="H127" s="76">
        <f t="shared" si="49"/>
        <v>-0.2</v>
      </c>
      <c r="I127" s="75">
        <f t="shared" si="50"/>
        <v>-0.20967741935483869</v>
      </c>
      <c r="J127" s="75">
        <f t="shared" si="51"/>
        <v>0.14715816323495745</v>
      </c>
      <c r="K127" s="76">
        <f t="shared" si="52"/>
        <v>-0.12862829504804049</v>
      </c>
      <c r="L127" s="77">
        <f t="shared" si="53"/>
        <v>0.25726892032427029</v>
      </c>
      <c r="M127" s="76">
        <f t="shared" si="54"/>
        <v>-2.6022252050339877E-2</v>
      </c>
      <c r="N127" s="77">
        <f t="shared" si="55"/>
        <v>0.39822281344215649</v>
      </c>
      <c r="O127" s="76">
        <f t="shared" si="56"/>
        <v>-0.40144228172782037</v>
      </c>
      <c r="P127" s="77">
        <f t="shared" si="57"/>
        <v>0.30691700564573843</v>
      </c>
      <c r="Q127" s="76">
        <f t="shared" si="58"/>
        <v>-0.12862829504804058</v>
      </c>
      <c r="R127" s="75">
        <f t="shared" si="59"/>
        <v>-0.30318648930367942</v>
      </c>
    </row>
    <row r="128" spans="2:18">
      <c r="B128" s="81"/>
      <c r="C128">
        <v>8</v>
      </c>
      <c r="D128">
        <v>352</v>
      </c>
      <c r="E128">
        <v>2.2661519999999999</v>
      </c>
      <c r="F128" s="78"/>
      <c r="G128" s="75">
        <f t="shared" si="48"/>
        <v>0.60155856575161126</v>
      </c>
      <c r="H128" s="76">
        <f t="shared" si="49"/>
        <v>-0.2</v>
      </c>
      <c r="I128" s="75">
        <f t="shared" si="50"/>
        <v>-0.17741935483870969</v>
      </c>
      <c r="J128" s="75">
        <f t="shared" si="51"/>
        <v>0.19461999974003585</v>
      </c>
      <c r="K128" s="76">
        <f t="shared" si="52"/>
        <v>-9.8315629861398315E-2</v>
      </c>
      <c r="L128" s="77">
        <f t="shared" si="53"/>
        <v>0.29285562252332431</v>
      </c>
      <c r="M128" s="76">
        <f t="shared" si="54"/>
        <v>4.2904131363023191E-3</v>
      </c>
      <c r="N128" s="77">
        <f t="shared" si="55"/>
        <v>0.43380951564121045</v>
      </c>
      <c r="O128" s="76">
        <f t="shared" si="56"/>
        <v>-0.40144228172782037</v>
      </c>
      <c r="P128" s="77">
        <f t="shared" si="57"/>
        <v>0.34802016176939993</v>
      </c>
      <c r="Q128" s="76">
        <f t="shared" si="58"/>
        <v>-9.8315629861398399E-2</v>
      </c>
      <c r="R128" s="75">
        <f t="shared" si="59"/>
        <v>-0.30870294322828695</v>
      </c>
    </row>
    <row r="129" spans="2:18">
      <c r="B129" s="81"/>
      <c r="C129">
        <v>8</v>
      </c>
      <c r="D129">
        <v>384</v>
      </c>
      <c r="E129">
        <v>2.3969722500000001</v>
      </c>
      <c r="F129" s="78"/>
      <c r="G129" s="75">
        <f t="shared" si="48"/>
        <v>0.6514776838078693</v>
      </c>
      <c r="H129" s="76">
        <f t="shared" si="49"/>
        <v>-0.2</v>
      </c>
      <c r="I129" s="75">
        <f t="shared" si="50"/>
        <v>-0.14516129032258063</v>
      </c>
      <c r="J129" s="75">
        <f t="shared" si="51"/>
        <v>0.25226163223501452</v>
      </c>
      <c r="K129" s="76">
        <f t="shared" si="52"/>
        <v>-6.8002964674756097E-2</v>
      </c>
      <c r="L129" s="77">
        <f t="shared" si="53"/>
        <v>0.33725828665497481</v>
      </c>
      <c r="M129" s="76">
        <f t="shared" si="54"/>
        <v>3.4603078322944542E-2</v>
      </c>
      <c r="N129" s="77">
        <f t="shared" si="55"/>
        <v>0.47821217977286101</v>
      </c>
      <c r="O129" s="76">
        <f t="shared" si="56"/>
        <v>-0.40144228172782032</v>
      </c>
      <c r="P129" s="77">
        <f t="shared" si="57"/>
        <v>0.39793927982565802</v>
      </c>
      <c r="Q129" s="76">
        <f t="shared" si="58"/>
        <v>-6.8002964674756181E-2</v>
      </c>
      <c r="R129" s="75">
        <f t="shared" si="59"/>
        <v>-0.31421939715289454</v>
      </c>
    </row>
    <row r="130" spans="2:18">
      <c r="B130" s="81"/>
      <c r="C130">
        <v>8</v>
      </c>
      <c r="D130">
        <v>416</v>
      </c>
      <c r="E130">
        <v>2.5228695000000001</v>
      </c>
      <c r="F130" s="78"/>
      <c r="G130" s="75">
        <f t="shared" si="48"/>
        <v>0.69951825616351182</v>
      </c>
      <c r="H130" s="76">
        <f t="shared" si="49"/>
        <v>-0.2</v>
      </c>
      <c r="I130" s="75">
        <f t="shared" si="50"/>
        <v>-0.11290322580645162</v>
      </c>
      <c r="J130" s="75">
        <f t="shared" si="51"/>
        <v>0.3077341069981222</v>
      </c>
      <c r="K130" s="76">
        <f t="shared" si="52"/>
        <v>-3.7690299488113914E-2</v>
      </c>
      <c r="L130" s="77">
        <f t="shared" si="53"/>
        <v>0.37978240508600969</v>
      </c>
      <c r="M130" s="76">
        <f t="shared" si="54"/>
        <v>6.4915743509586732E-2</v>
      </c>
      <c r="N130" s="77">
        <f t="shared" si="55"/>
        <v>0.52073629820389589</v>
      </c>
      <c r="O130" s="76">
        <f t="shared" si="56"/>
        <v>-0.40144228172782032</v>
      </c>
      <c r="P130" s="77">
        <f t="shared" si="57"/>
        <v>0.44597985218130048</v>
      </c>
      <c r="Q130" s="76">
        <f t="shared" si="58"/>
        <v>-3.7690299488114011E-2</v>
      </c>
      <c r="R130" s="75">
        <f t="shared" si="59"/>
        <v>-0.31973585107750213</v>
      </c>
    </row>
    <row r="131" spans="2:18">
      <c r="B131" s="81"/>
      <c r="C131">
        <v>8</v>
      </c>
      <c r="D131">
        <v>448</v>
      </c>
      <c r="E131">
        <v>2.66827025</v>
      </c>
      <c r="F131" s="78"/>
      <c r="G131" s="75">
        <f t="shared" si="48"/>
        <v>0.755001082443988</v>
      </c>
      <c r="H131" s="76">
        <f t="shared" si="49"/>
        <v>-0.2</v>
      </c>
      <c r="I131" s="75">
        <f t="shared" si="50"/>
        <v>-8.0645161290322565E-2</v>
      </c>
      <c r="J131" s="75">
        <f t="shared" si="51"/>
        <v>0.37180015637499053</v>
      </c>
      <c r="K131" s="76">
        <f t="shared" si="52"/>
        <v>-7.3776343014716706E-3</v>
      </c>
      <c r="L131" s="77">
        <f t="shared" si="53"/>
        <v>0.42974877744187834</v>
      </c>
      <c r="M131" s="76">
        <f t="shared" si="54"/>
        <v>9.5228408696228964E-2</v>
      </c>
      <c r="N131" s="77">
        <f t="shared" si="55"/>
        <v>0.57070267055976442</v>
      </c>
      <c r="O131" s="76">
        <f t="shared" si="56"/>
        <v>-0.40144228172782032</v>
      </c>
      <c r="P131" s="77">
        <f t="shared" si="57"/>
        <v>0.50146267846177661</v>
      </c>
      <c r="Q131" s="76">
        <f t="shared" si="58"/>
        <v>-7.3776343014717782E-3</v>
      </c>
      <c r="R131" s="75">
        <f t="shared" si="59"/>
        <v>-0.32525230500210967</v>
      </c>
    </row>
    <row r="132" spans="2:18">
      <c r="B132" s="81"/>
      <c r="C132">
        <v>8</v>
      </c>
      <c r="D132">
        <v>480</v>
      </c>
      <c r="E132">
        <v>2.8124882499999999</v>
      </c>
      <c r="F132" s="78"/>
      <c r="G132" s="75">
        <f t="shared" si="48"/>
        <v>0.8100325884060805</v>
      </c>
      <c r="H132" s="76">
        <f t="shared" si="49"/>
        <v>-0.2</v>
      </c>
      <c r="I132" s="75">
        <f t="shared" si="50"/>
        <v>-4.8387096774193561E-2</v>
      </c>
      <c r="J132" s="75">
        <f t="shared" si="51"/>
        <v>0.43534506593723976</v>
      </c>
      <c r="K132" s="76">
        <f t="shared" si="52"/>
        <v>2.2935030885170505E-2</v>
      </c>
      <c r="L132" s="77">
        <f t="shared" si="53"/>
        <v>0.4792638294793633</v>
      </c>
      <c r="M132" s="76">
        <f t="shared" si="54"/>
        <v>0.12554107388287114</v>
      </c>
      <c r="N132" s="77">
        <f t="shared" si="55"/>
        <v>0.62021772259724939</v>
      </c>
      <c r="O132" s="76">
        <f t="shared" si="56"/>
        <v>-0.40144228172782032</v>
      </c>
      <c r="P132" s="77">
        <f t="shared" si="57"/>
        <v>0.55649418442386911</v>
      </c>
      <c r="Q132" s="76">
        <f t="shared" si="58"/>
        <v>2.293503088517039E-2</v>
      </c>
      <c r="R132" s="75">
        <f t="shared" si="59"/>
        <v>-0.3307687589267172</v>
      </c>
    </row>
    <row r="133" spans="2:18">
      <c r="B133" s="81"/>
      <c r="C133">
        <v>8</v>
      </c>
      <c r="D133">
        <v>512</v>
      </c>
      <c r="E133">
        <v>2.9580899999999999</v>
      </c>
      <c r="F133" s="78"/>
      <c r="G133" s="75">
        <f t="shared" si="48"/>
        <v>0.86559211338365682</v>
      </c>
      <c r="H133" s="76">
        <f t="shared" si="49"/>
        <v>-0.2</v>
      </c>
      <c r="I133" s="75">
        <f t="shared" si="50"/>
        <v>-1.6129032258064502E-2</v>
      </c>
      <c r="J133" s="75">
        <f t="shared" si="51"/>
        <v>0.49949967934094253</v>
      </c>
      <c r="K133" s="76">
        <f t="shared" si="52"/>
        <v>5.3247696071812747E-2</v>
      </c>
      <c r="L133" s="77">
        <f t="shared" si="53"/>
        <v>0.52930690053233198</v>
      </c>
      <c r="M133" s="76">
        <f t="shared" si="54"/>
        <v>0.15585373906951339</v>
      </c>
      <c r="N133" s="77">
        <f t="shared" si="55"/>
        <v>0.67026079365021807</v>
      </c>
      <c r="O133" s="76">
        <f t="shared" si="56"/>
        <v>-0.40144228172782032</v>
      </c>
      <c r="P133" s="77">
        <f t="shared" si="57"/>
        <v>0.61205370940144543</v>
      </c>
      <c r="Q133" s="76">
        <f t="shared" si="58"/>
        <v>5.3247696071812622E-2</v>
      </c>
      <c r="R133" s="75">
        <f t="shared" si="59"/>
        <v>-0.33628521285132479</v>
      </c>
    </row>
    <row r="134" spans="2:18">
      <c r="B134" s="81"/>
      <c r="C134">
        <v>10</v>
      </c>
      <c r="D134">
        <v>32</v>
      </c>
      <c r="E134">
        <v>0.73955775000000001</v>
      </c>
      <c r="F134" s="78"/>
      <c r="G134" s="75">
        <f t="shared" si="48"/>
        <v>1.9032247465606278E-2</v>
      </c>
      <c r="H134" s="76">
        <f t="shared" si="49"/>
        <v>-9.9999999999999978E-2</v>
      </c>
      <c r="I134" s="75">
        <f t="shared" si="50"/>
        <v>-0.5</v>
      </c>
      <c r="J134" s="75">
        <f t="shared" si="51"/>
        <v>-0.47802345360489734</v>
      </c>
      <c r="K134" s="76">
        <f t="shared" si="52"/>
        <v>-0.43564429606038735</v>
      </c>
      <c r="L134" s="77">
        <f t="shared" si="53"/>
        <v>-0.28149078755590051</v>
      </c>
      <c r="M134" s="76">
        <f t="shared" si="54"/>
        <v>-0.29883623873011983</v>
      </c>
      <c r="N134" s="77">
        <f t="shared" si="55"/>
        <v>-9.3552263398718971E-2</v>
      </c>
      <c r="O134" s="76">
        <f t="shared" si="56"/>
        <v>-0.43564429606038735</v>
      </c>
      <c r="P134" s="77">
        <f t="shared" si="57"/>
        <v>-0.28149078755590051</v>
      </c>
      <c r="Q134" s="76">
        <f t="shared" si="58"/>
        <v>-0.43564429606038735</v>
      </c>
      <c r="R134" s="75">
        <f t="shared" si="59"/>
        <v>-0.30052303502150679</v>
      </c>
    </row>
    <row r="135" spans="2:18">
      <c r="B135" s="81"/>
      <c r="C135">
        <v>10</v>
      </c>
      <c r="D135">
        <v>64</v>
      </c>
      <c r="E135">
        <v>1.08526225</v>
      </c>
      <c r="F135" s="78"/>
      <c r="G135" s="75">
        <f t="shared" si="48"/>
        <v>0.15094809190161412</v>
      </c>
      <c r="H135" s="76">
        <f t="shared" si="49"/>
        <v>-9.9999999999999978E-2</v>
      </c>
      <c r="I135" s="75">
        <f t="shared" si="50"/>
        <v>-0.467741935483871</v>
      </c>
      <c r="J135" s="75">
        <f t="shared" si="51"/>
        <v>-0.32570015701388544</v>
      </c>
      <c r="K135" s="76">
        <f t="shared" si="52"/>
        <v>-0.40533163087374519</v>
      </c>
      <c r="L135" s="77">
        <f t="shared" si="53"/>
        <v>-0.1550913970445002</v>
      </c>
      <c r="M135" s="76">
        <f t="shared" si="54"/>
        <v>-0.26852357354347761</v>
      </c>
      <c r="N135" s="77">
        <f t="shared" si="55"/>
        <v>3.284712711268134E-2</v>
      </c>
      <c r="O135" s="76">
        <f t="shared" si="56"/>
        <v>-0.43564429606038735</v>
      </c>
      <c r="P135" s="77">
        <f t="shared" si="57"/>
        <v>-0.14957494311989264</v>
      </c>
      <c r="Q135" s="76">
        <f t="shared" si="58"/>
        <v>-0.40533163087374519</v>
      </c>
      <c r="R135" s="75">
        <f t="shared" si="59"/>
        <v>-0.30603948894611432</v>
      </c>
    </row>
    <row r="136" spans="2:18">
      <c r="B136" s="81"/>
      <c r="C136">
        <v>10</v>
      </c>
      <c r="D136">
        <v>96</v>
      </c>
      <c r="E136">
        <v>1.5747655</v>
      </c>
      <c r="F136" s="78"/>
      <c r="G136" s="75">
        <f t="shared" ref="G136:G167" si="60">D$19*(L136-R136)</f>
        <v>0.33773546255464387</v>
      </c>
      <c r="H136" s="76">
        <f t="shared" ref="H136:H167" si="61">(C136-H$16)/H$17-0.5</f>
        <v>-9.9999999999999978E-2</v>
      </c>
      <c r="I136" s="75">
        <f t="shared" ref="I136:I167" si="62">(D136-I$16)/I$17-0.5</f>
        <v>-0.43548387096774194</v>
      </c>
      <c r="J136" s="75">
        <f t="shared" ref="J136:J167" si="63">(E136-J$16)/J$17-0.5</f>
        <v>-0.11001667955838718</v>
      </c>
      <c r="K136" s="76">
        <f t="shared" ref="K136:K167" si="64">(H136*$H$13+I136*$I$13+J136*$J$13+$D$27)*$C$27</f>
        <v>-0.37501896568710291</v>
      </c>
      <c r="L136" s="77">
        <f t="shared" ref="L136:L167" si="65">(H136*$H$14+I136*$I$14+J136*$J$14+$E$27)*$C$27</f>
        <v>2.6179519683922015E-2</v>
      </c>
      <c r="M136" s="76">
        <f t="shared" ref="M136:M167" si="66">(H$27*$H$13+I136*$I$13+J136*$J$13+$D$27)*$C$27</f>
        <v>-0.23821090835683537</v>
      </c>
      <c r="N136" s="77">
        <f t="shared" ref="N136:N167" si="67">(H$27*$H$14+I136*$I$14+J136*$J$14+$E$27)*$C$27</f>
        <v>0.21411804384110358</v>
      </c>
      <c r="O136" s="76">
        <f t="shared" ref="O136:O167" si="68">(H136*$H$13+I$27*$I$13+J136*$J$13+$D$27)*$C$27</f>
        <v>-0.43564429606038729</v>
      </c>
      <c r="P136" s="77">
        <f t="shared" ref="P136:P167" si="69">(H136*$H$14+I$27*$I$14+J136*$J$14+$E$27)*$C$27</f>
        <v>3.7212427533137138E-2</v>
      </c>
      <c r="Q136" s="76">
        <f t="shared" ref="Q136:Q167" si="70">(H136*$H$13+I136*$I$13+J$27*$J$13+$D$27)*$C$27</f>
        <v>-0.37501896568710297</v>
      </c>
      <c r="R136" s="75">
        <f t="shared" ref="R136:R167" si="71">(H136*$H$14+I136*$I$14+J$27*$J$14+$E$27)*$C$27</f>
        <v>-0.31155594287072186</v>
      </c>
    </row>
    <row r="137" spans="2:18">
      <c r="B137" s="81"/>
      <c r="C137">
        <v>10</v>
      </c>
      <c r="D137">
        <v>128</v>
      </c>
      <c r="E137">
        <v>1.7067114999999999</v>
      </c>
      <c r="F137" s="78"/>
      <c r="G137" s="75">
        <f t="shared" si="60"/>
        <v>0.38808415055249612</v>
      </c>
      <c r="H137" s="76">
        <f t="shared" si="61"/>
        <v>-9.9999999999999978E-2</v>
      </c>
      <c r="I137" s="75">
        <f t="shared" si="62"/>
        <v>-0.40322580645161288</v>
      </c>
      <c r="J137" s="75">
        <f t="shared" si="63"/>
        <v>-5.1879022420578291E-2</v>
      </c>
      <c r="K137" s="76">
        <f t="shared" si="64"/>
        <v>-0.34470630050046064</v>
      </c>
      <c r="L137" s="77">
        <f t="shared" si="65"/>
        <v>7.1011753757166646E-2</v>
      </c>
      <c r="M137" s="76">
        <f t="shared" si="66"/>
        <v>-0.20789824317019309</v>
      </c>
      <c r="N137" s="77">
        <f t="shared" si="67"/>
        <v>0.25895027791434821</v>
      </c>
      <c r="O137" s="76">
        <f t="shared" si="68"/>
        <v>-0.43564429606038729</v>
      </c>
      <c r="P137" s="77">
        <f t="shared" si="69"/>
        <v>8.7561115530989331E-2</v>
      </c>
      <c r="Q137" s="76">
        <f t="shared" si="70"/>
        <v>-0.34470630050046069</v>
      </c>
      <c r="R137" s="75">
        <f t="shared" si="71"/>
        <v>-0.31707239679532945</v>
      </c>
    </row>
    <row r="138" spans="2:18">
      <c r="B138" s="81"/>
      <c r="C138">
        <v>10</v>
      </c>
      <c r="D138">
        <v>160</v>
      </c>
      <c r="E138">
        <v>1.793949</v>
      </c>
      <c r="F138" s="78"/>
      <c r="G138" s="75">
        <f t="shared" si="60"/>
        <v>0.4213727206433866</v>
      </c>
      <c r="H138" s="76">
        <f t="shared" si="61"/>
        <v>-9.9999999999999978E-2</v>
      </c>
      <c r="I138" s="75">
        <f t="shared" si="62"/>
        <v>-0.37096774193548387</v>
      </c>
      <c r="J138" s="75">
        <f t="shared" si="63"/>
        <v>-1.3440692614751615E-2</v>
      </c>
      <c r="K138" s="76">
        <f t="shared" si="64"/>
        <v>-0.31439363531381848</v>
      </c>
      <c r="L138" s="77">
        <f t="shared" si="65"/>
        <v>9.8783869923449549E-2</v>
      </c>
      <c r="M138" s="76">
        <f t="shared" si="66"/>
        <v>-0.17758557798355093</v>
      </c>
      <c r="N138" s="77">
        <f t="shared" si="67"/>
        <v>0.2867223940806311</v>
      </c>
      <c r="O138" s="76">
        <f t="shared" si="68"/>
        <v>-0.43564429606038729</v>
      </c>
      <c r="P138" s="77">
        <f t="shared" si="69"/>
        <v>0.1208496856218798</v>
      </c>
      <c r="Q138" s="76">
        <f t="shared" si="70"/>
        <v>-0.31439363531381853</v>
      </c>
      <c r="R138" s="75">
        <f t="shared" si="71"/>
        <v>-0.32258885071993704</v>
      </c>
    </row>
    <row r="139" spans="2:18">
      <c r="B139" s="81"/>
      <c r="C139">
        <v>10</v>
      </c>
      <c r="D139">
        <v>192</v>
      </c>
      <c r="E139">
        <v>1.9087995</v>
      </c>
      <c r="F139" s="78"/>
      <c r="G139" s="75">
        <f t="shared" si="60"/>
        <v>0.46519801273937522</v>
      </c>
      <c r="H139" s="76">
        <f t="shared" si="61"/>
        <v>-9.9999999999999978E-2</v>
      </c>
      <c r="I139" s="75">
        <f t="shared" si="62"/>
        <v>-0.33870967741935487</v>
      </c>
      <c r="J139" s="75">
        <f t="shared" si="63"/>
        <v>3.7164395763114477E-2</v>
      </c>
      <c r="K139" s="76">
        <f t="shared" si="64"/>
        <v>-0.28408097012717631</v>
      </c>
      <c r="L139" s="77">
        <f t="shared" si="65"/>
        <v>0.13709270809483068</v>
      </c>
      <c r="M139" s="76">
        <f t="shared" si="66"/>
        <v>-0.14727291279690877</v>
      </c>
      <c r="N139" s="77">
        <f t="shared" si="67"/>
        <v>0.32503123225201225</v>
      </c>
      <c r="O139" s="76">
        <f t="shared" si="68"/>
        <v>-0.43564429606038729</v>
      </c>
      <c r="P139" s="77">
        <f t="shared" si="69"/>
        <v>0.16467497771786849</v>
      </c>
      <c r="Q139" s="76">
        <f t="shared" si="70"/>
        <v>-0.28408097012717637</v>
      </c>
      <c r="R139" s="75">
        <f t="shared" si="71"/>
        <v>-0.32810530464454457</v>
      </c>
    </row>
    <row r="140" spans="2:18">
      <c r="B140" s="81"/>
      <c r="C140">
        <v>10</v>
      </c>
      <c r="D140">
        <v>224</v>
      </c>
      <c r="E140">
        <v>2.0300737500000001</v>
      </c>
      <c r="F140" s="78"/>
      <c r="G140" s="75">
        <f t="shared" si="60"/>
        <v>0.51147451506171571</v>
      </c>
      <c r="H140" s="76">
        <f t="shared" si="61"/>
        <v>-9.9999999999999978E-2</v>
      </c>
      <c r="I140" s="75">
        <f t="shared" si="62"/>
        <v>-0.30645161290322581</v>
      </c>
      <c r="J140" s="75">
        <f t="shared" si="63"/>
        <v>9.0599897909029781E-2</v>
      </c>
      <c r="K140" s="76">
        <f t="shared" si="64"/>
        <v>-0.2537683049405341</v>
      </c>
      <c r="L140" s="77">
        <f t="shared" si="65"/>
        <v>0.17785275649256366</v>
      </c>
      <c r="M140" s="76">
        <f t="shared" si="66"/>
        <v>-0.11696024761026654</v>
      </c>
      <c r="N140" s="77">
        <f t="shared" si="67"/>
        <v>0.3657912806497452</v>
      </c>
      <c r="O140" s="76">
        <f t="shared" si="68"/>
        <v>-0.43564429606038729</v>
      </c>
      <c r="P140" s="77">
        <f t="shared" si="69"/>
        <v>0.21095148004020903</v>
      </c>
      <c r="Q140" s="76">
        <f t="shared" si="70"/>
        <v>-0.25376830494053415</v>
      </c>
      <c r="R140" s="75">
        <f t="shared" si="71"/>
        <v>-0.3336217585691521</v>
      </c>
    </row>
    <row r="141" spans="2:18">
      <c r="B141" s="81"/>
      <c r="C141">
        <v>10</v>
      </c>
      <c r="D141">
        <v>256</v>
      </c>
      <c r="E141">
        <v>2.1562697499999999</v>
      </c>
      <c r="F141" s="78"/>
      <c r="G141" s="75">
        <f t="shared" si="60"/>
        <v>0.55962908610272455</v>
      </c>
      <c r="H141" s="76">
        <f t="shared" si="61"/>
        <v>-9.9999999999999978E-2</v>
      </c>
      <c r="I141" s="75">
        <f t="shared" si="62"/>
        <v>-0.27419354838709675</v>
      </c>
      <c r="J141" s="75">
        <f t="shared" si="63"/>
        <v>0.14620400701550451</v>
      </c>
      <c r="K141" s="76">
        <f t="shared" si="64"/>
        <v>-0.22345563975389179</v>
      </c>
      <c r="L141" s="77">
        <f t="shared" si="65"/>
        <v>0.22049087360896485</v>
      </c>
      <c r="M141" s="76">
        <f t="shared" si="66"/>
        <v>-8.6647582423624261E-2</v>
      </c>
      <c r="N141" s="77">
        <f t="shared" si="67"/>
        <v>0.4084293977661464</v>
      </c>
      <c r="O141" s="76">
        <f t="shared" si="68"/>
        <v>-0.43564429606038729</v>
      </c>
      <c r="P141" s="77">
        <f t="shared" si="69"/>
        <v>0.25910605108121776</v>
      </c>
      <c r="Q141" s="76">
        <f t="shared" si="70"/>
        <v>-0.22345563975389188</v>
      </c>
      <c r="R141" s="75">
        <f t="shared" si="71"/>
        <v>-0.33913821249375969</v>
      </c>
    </row>
    <row r="142" spans="2:18">
      <c r="B142" s="81"/>
      <c r="C142">
        <v>10</v>
      </c>
      <c r="D142">
        <v>288</v>
      </c>
      <c r="E142">
        <v>2.2967759999999999</v>
      </c>
      <c r="F142" s="78"/>
      <c r="G142" s="75">
        <f t="shared" si="60"/>
        <v>0.61324424187098003</v>
      </c>
      <c r="H142" s="76">
        <f t="shared" si="61"/>
        <v>-9.9999999999999978E-2</v>
      </c>
      <c r="I142" s="75">
        <f t="shared" si="62"/>
        <v>-0.24193548387096775</v>
      </c>
      <c r="J142" s="75">
        <f t="shared" si="63"/>
        <v>0.20811345624639643</v>
      </c>
      <c r="K142" s="76">
        <f t="shared" si="64"/>
        <v>-0.19314297456724963</v>
      </c>
      <c r="L142" s="77">
        <f t="shared" si="65"/>
        <v>0.26858957545261269</v>
      </c>
      <c r="M142" s="76">
        <f t="shared" si="66"/>
        <v>-5.6334917236982085E-2</v>
      </c>
      <c r="N142" s="77">
        <f t="shared" si="67"/>
        <v>0.45652809960979424</v>
      </c>
      <c r="O142" s="76">
        <f t="shared" si="68"/>
        <v>-0.43564429606038729</v>
      </c>
      <c r="P142" s="77">
        <f t="shared" si="69"/>
        <v>0.31272120684947319</v>
      </c>
      <c r="Q142" s="76">
        <f t="shared" si="70"/>
        <v>-0.19314297456724971</v>
      </c>
      <c r="R142" s="75">
        <f t="shared" si="71"/>
        <v>-0.34465466641836728</v>
      </c>
    </row>
    <row r="143" spans="2:18">
      <c r="B143" s="81"/>
      <c r="C143">
        <v>10</v>
      </c>
      <c r="D143">
        <v>320</v>
      </c>
      <c r="E143">
        <v>2.4651255000000001</v>
      </c>
      <c r="F143" s="78"/>
      <c r="G143" s="75">
        <f t="shared" si="60"/>
        <v>0.67748397971899676</v>
      </c>
      <c r="H143" s="76">
        <f t="shared" si="61"/>
        <v>-9.9999999999999978E-2</v>
      </c>
      <c r="I143" s="75">
        <f t="shared" si="62"/>
        <v>-0.20967741935483869</v>
      </c>
      <c r="J143" s="75">
        <f t="shared" si="63"/>
        <v>0.28229111612484348</v>
      </c>
      <c r="K143" s="76">
        <f t="shared" si="64"/>
        <v>-0.16283030938060741</v>
      </c>
      <c r="L143" s="77">
        <f t="shared" si="65"/>
        <v>0.32731285937602195</v>
      </c>
      <c r="M143" s="76">
        <f t="shared" si="66"/>
        <v>-2.602225205033986E-2</v>
      </c>
      <c r="N143" s="77">
        <f t="shared" si="67"/>
        <v>0.51525138353320354</v>
      </c>
      <c r="O143" s="76">
        <f t="shared" si="68"/>
        <v>-0.43564429606038724</v>
      </c>
      <c r="P143" s="77">
        <f t="shared" si="69"/>
        <v>0.37696094469749003</v>
      </c>
      <c r="Q143" s="76">
        <f t="shared" si="70"/>
        <v>-0.1628303093806075</v>
      </c>
      <c r="R143" s="75">
        <f t="shared" si="71"/>
        <v>-0.35017112034297482</v>
      </c>
    </row>
    <row r="144" spans="2:18">
      <c r="B144" s="81"/>
      <c r="C144">
        <v>10</v>
      </c>
      <c r="D144">
        <v>352</v>
      </c>
      <c r="E144">
        <v>2.6309232499999999</v>
      </c>
      <c r="F144" s="78"/>
      <c r="G144" s="75">
        <f t="shared" si="60"/>
        <v>0.74075000662012225</v>
      </c>
      <c r="H144" s="76">
        <f t="shared" si="61"/>
        <v>-9.9999999999999978E-2</v>
      </c>
      <c r="I144" s="75">
        <f t="shared" si="62"/>
        <v>-0.17741935483870969</v>
      </c>
      <c r="J144" s="75">
        <f t="shared" si="63"/>
        <v>0.35534443144868921</v>
      </c>
      <c r="K144" s="76">
        <f t="shared" si="64"/>
        <v>-0.1325176441939652</v>
      </c>
      <c r="L144" s="77">
        <f t="shared" si="65"/>
        <v>0.3850624323525399</v>
      </c>
      <c r="M144" s="76">
        <f t="shared" si="66"/>
        <v>4.2904131363023391E-3</v>
      </c>
      <c r="N144" s="77">
        <f t="shared" si="67"/>
        <v>0.57300095650972138</v>
      </c>
      <c r="O144" s="76">
        <f t="shared" si="68"/>
        <v>-0.43564429606038724</v>
      </c>
      <c r="P144" s="77">
        <f t="shared" si="69"/>
        <v>0.44022697159861546</v>
      </c>
      <c r="Q144" s="76">
        <f t="shared" si="70"/>
        <v>-0.13251764419396531</v>
      </c>
      <c r="R144" s="75">
        <f t="shared" si="71"/>
        <v>-0.35568757426758235</v>
      </c>
    </row>
    <row r="145" spans="2:18">
      <c r="B145" s="81"/>
      <c r="C145">
        <v>10</v>
      </c>
      <c r="D145">
        <v>384</v>
      </c>
      <c r="E145">
        <v>2.8147424999999999</v>
      </c>
      <c r="F145" s="78"/>
      <c r="G145" s="75">
        <f t="shared" si="60"/>
        <v>0.81089277764955248</v>
      </c>
      <c r="H145" s="76">
        <f t="shared" si="61"/>
        <v>-9.9999999999999978E-2</v>
      </c>
      <c r="I145" s="75">
        <f t="shared" si="62"/>
        <v>-0.14516129032258063</v>
      </c>
      <c r="J145" s="75">
        <f t="shared" si="63"/>
        <v>0.43633832691978491</v>
      </c>
      <c r="K145" s="76">
        <f t="shared" si="64"/>
        <v>-0.10220497900732298</v>
      </c>
      <c r="L145" s="77">
        <f t="shared" si="65"/>
        <v>0.44968874945736259</v>
      </c>
      <c r="M145" s="76">
        <f t="shared" si="66"/>
        <v>3.4603078322944569E-2</v>
      </c>
      <c r="N145" s="77">
        <f t="shared" si="67"/>
        <v>0.63762727361454408</v>
      </c>
      <c r="O145" s="76">
        <f t="shared" si="68"/>
        <v>-0.43564429606038724</v>
      </c>
      <c r="P145" s="77">
        <f t="shared" si="69"/>
        <v>0.5103697426280458</v>
      </c>
      <c r="Q145" s="76">
        <f t="shared" si="70"/>
        <v>-0.10220497900732309</v>
      </c>
      <c r="R145" s="75">
        <f t="shared" si="71"/>
        <v>-0.36120402819218994</v>
      </c>
    </row>
    <row r="146" spans="2:18">
      <c r="B146" s="81"/>
      <c r="C146">
        <v>12</v>
      </c>
      <c r="D146">
        <v>32</v>
      </c>
      <c r="E146">
        <v>0.77939674999999997</v>
      </c>
      <c r="F146" s="78"/>
      <c r="G146" s="75">
        <f t="shared" si="60"/>
        <v>3.4234234499289917E-2</v>
      </c>
      <c r="H146" s="76">
        <f t="shared" si="61"/>
        <v>0</v>
      </c>
      <c r="I146" s="75">
        <f t="shared" si="62"/>
        <v>-0.5</v>
      </c>
      <c r="J146" s="75">
        <f t="shared" si="63"/>
        <v>-0.46046971099266837</v>
      </c>
      <c r="K146" s="76">
        <f t="shared" si="64"/>
        <v>-0.46984631039295421</v>
      </c>
      <c r="L146" s="77">
        <f t="shared" si="65"/>
        <v>-0.31327343156151222</v>
      </c>
      <c r="M146" s="76">
        <f t="shared" si="66"/>
        <v>-0.29883623873011983</v>
      </c>
      <c r="N146" s="77">
        <f t="shared" si="67"/>
        <v>-7.8350276365035276E-2</v>
      </c>
      <c r="O146" s="76">
        <f t="shared" si="68"/>
        <v>-0.46984631039295421</v>
      </c>
      <c r="P146" s="77">
        <f t="shared" si="69"/>
        <v>-0.31327343156151222</v>
      </c>
      <c r="Q146" s="76">
        <f t="shared" si="70"/>
        <v>-0.46984631039295421</v>
      </c>
      <c r="R146" s="75">
        <f t="shared" si="71"/>
        <v>-0.34750766606080213</v>
      </c>
    </row>
    <row r="147" spans="2:18">
      <c r="B147" s="81"/>
      <c r="C147">
        <v>12</v>
      </c>
      <c r="D147">
        <v>64</v>
      </c>
      <c r="E147">
        <v>1.2751205000000001</v>
      </c>
      <c r="F147" s="78"/>
      <c r="G147" s="75">
        <f t="shared" si="60"/>
        <v>0.22339525811406649</v>
      </c>
      <c r="H147" s="76">
        <f t="shared" si="61"/>
        <v>0</v>
      </c>
      <c r="I147" s="75">
        <f t="shared" si="62"/>
        <v>-0.467741935483871</v>
      </c>
      <c r="J147" s="75">
        <f t="shared" si="63"/>
        <v>-0.24204537518431563</v>
      </c>
      <c r="K147" s="76">
        <f t="shared" si="64"/>
        <v>-0.43953364520631205</v>
      </c>
      <c r="L147" s="77">
        <f t="shared" si="65"/>
        <v>-0.12962886187134323</v>
      </c>
      <c r="M147" s="76">
        <f t="shared" si="66"/>
        <v>-0.26852357354347761</v>
      </c>
      <c r="N147" s="77">
        <f t="shared" si="67"/>
        <v>0.10529429332513368</v>
      </c>
      <c r="O147" s="76">
        <f t="shared" si="68"/>
        <v>-0.46984631039295421</v>
      </c>
      <c r="P147" s="77">
        <f t="shared" si="69"/>
        <v>-0.12411240794673567</v>
      </c>
      <c r="Q147" s="76">
        <f t="shared" si="70"/>
        <v>-0.43953364520631205</v>
      </c>
      <c r="R147" s="75">
        <f t="shared" si="71"/>
        <v>-0.35302411998540972</v>
      </c>
    </row>
    <row r="148" spans="2:18">
      <c r="B148" s="81"/>
      <c r="C148">
        <v>12</v>
      </c>
      <c r="D148">
        <v>96</v>
      </c>
      <c r="E148">
        <v>1.6715424999999999</v>
      </c>
      <c r="F148" s="78"/>
      <c r="G148" s="75">
        <f t="shared" si="60"/>
        <v>0.37466416807332686</v>
      </c>
      <c r="H148" s="76">
        <f t="shared" si="61"/>
        <v>0</v>
      </c>
      <c r="I148" s="75">
        <f t="shared" si="62"/>
        <v>-0.43548387096774194</v>
      </c>
      <c r="J148" s="75">
        <f t="shared" si="63"/>
        <v>-6.737508341431514E-2</v>
      </c>
      <c r="K148" s="76">
        <f t="shared" si="64"/>
        <v>-0.40922098001966978</v>
      </c>
      <c r="L148" s="77">
        <f t="shared" si="65"/>
        <v>1.6123594163309586E-2</v>
      </c>
      <c r="M148" s="76">
        <f t="shared" si="66"/>
        <v>-0.23821090835683537</v>
      </c>
      <c r="N148" s="77">
        <f t="shared" si="67"/>
        <v>0.25104674935978655</v>
      </c>
      <c r="O148" s="76">
        <f t="shared" si="68"/>
        <v>-0.46984631039295416</v>
      </c>
      <c r="P148" s="77">
        <f t="shared" si="69"/>
        <v>2.7156502012524709E-2</v>
      </c>
      <c r="Q148" s="76">
        <f t="shared" si="70"/>
        <v>-0.40922098001966983</v>
      </c>
      <c r="R148" s="75">
        <f t="shared" si="71"/>
        <v>-0.35854057391001726</v>
      </c>
    </row>
    <row r="149" spans="2:18">
      <c r="B149" s="81"/>
      <c r="C149">
        <v>12</v>
      </c>
      <c r="D149">
        <v>128</v>
      </c>
      <c r="E149">
        <v>1.772303</v>
      </c>
      <c r="F149" s="78"/>
      <c r="G149" s="75">
        <f t="shared" si="60"/>
        <v>0.41311291966115515</v>
      </c>
      <c r="H149" s="76">
        <f t="shared" si="61"/>
        <v>0</v>
      </c>
      <c r="I149" s="75">
        <f t="shared" si="62"/>
        <v>-0.40322580645161288</v>
      </c>
      <c r="J149" s="75">
        <f t="shared" si="63"/>
        <v>-2.2978289255839723E-2</v>
      </c>
      <c r="K149" s="76">
        <f t="shared" si="64"/>
        <v>-0.3789083148330275</v>
      </c>
      <c r="L149" s="77">
        <f t="shared" si="65"/>
        <v>4.9055891826530293E-2</v>
      </c>
      <c r="M149" s="76">
        <f t="shared" si="66"/>
        <v>-0.20789824317019309</v>
      </c>
      <c r="N149" s="77">
        <f t="shared" si="67"/>
        <v>0.28397904702300725</v>
      </c>
      <c r="O149" s="76">
        <f t="shared" si="68"/>
        <v>-0.46984631039295416</v>
      </c>
      <c r="P149" s="77">
        <f t="shared" si="69"/>
        <v>6.5605253600352992E-2</v>
      </c>
      <c r="Q149" s="76">
        <f t="shared" si="70"/>
        <v>-0.37890831483302756</v>
      </c>
      <c r="R149" s="75">
        <f t="shared" si="71"/>
        <v>-0.36405702783462485</v>
      </c>
    </row>
    <row r="150" spans="2:18">
      <c r="B150" s="81"/>
      <c r="C150">
        <v>12</v>
      </c>
      <c r="D150">
        <v>160</v>
      </c>
      <c r="E150">
        <v>1.9087995</v>
      </c>
      <c r="F150" s="78"/>
      <c r="G150" s="75">
        <f t="shared" si="60"/>
        <v>0.46519801273937522</v>
      </c>
      <c r="H150" s="76">
        <f t="shared" si="61"/>
        <v>0</v>
      </c>
      <c r="I150" s="75">
        <f t="shared" si="62"/>
        <v>-0.37096774193548387</v>
      </c>
      <c r="J150" s="75">
        <f t="shared" si="63"/>
        <v>3.7164395763114477E-2</v>
      </c>
      <c r="K150" s="76">
        <f t="shared" si="64"/>
        <v>-0.34859564964638534</v>
      </c>
      <c r="L150" s="77">
        <f t="shared" si="65"/>
        <v>9.5624530980142869E-2</v>
      </c>
      <c r="M150" s="76">
        <f t="shared" si="66"/>
        <v>-0.17758557798355093</v>
      </c>
      <c r="N150" s="77">
        <f t="shared" si="67"/>
        <v>0.33054768617661978</v>
      </c>
      <c r="O150" s="76">
        <f t="shared" si="68"/>
        <v>-0.46984631039295416</v>
      </c>
      <c r="P150" s="77">
        <f t="shared" si="69"/>
        <v>0.11769034667857312</v>
      </c>
      <c r="Q150" s="76">
        <f t="shared" si="70"/>
        <v>-0.3485956496463854</v>
      </c>
      <c r="R150" s="75">
        <f t="shared" si="71"/>
        <v>-0.36957348175923238</v>
      </c>
    </row>
    <row r="151" spans="2:18">
      <c r="B151" s="81"/>
      <c r="C151">
        <v>12</v>
      </c>
      <c r="D151">
        <v>192</v>
      </c>
      <c r="E151">
        <v>2.0547249999999999</v>
      </c>
      <c r="F151" s="78"/>
      <c r="G151" s="75">
        <f t="shared" si="60"/>
        <v>0.52088107604126077</v>
      </c>
      <c r="H151" s="76">
        <f t="shared" si="61"/>
        <v>0</v>
      </c>
      <c r="I151" s="75">
        <f t="shared" si="62"/>
        <v>-0.33870967741935487</v>
      </c>
      <c r="J151" s="75">
        <f t="shared" si="63"/>
        <v>0.10146165893640757</v>
      </c>
      <c r="K151" s="76">
        <f t="shared" si="64"/>
        <v>-0.31828298445974318</v>
      </c>
      <c r="L151" s="77">
        <f t="shared" si="65"/>
        <v>0.1457911403574208</v>
      </c>
      <c r="M151" s="76">
        <f t="shared" si="66"/>
        <v>-0.14727291279690877</v>
      </c>
      <c r="N151" s="77">
        <f t="shared" si="67"/>
        <v>0.38071429555389769</v>
      </c>
      <c r="O151" s="76">
        <f t="shared" si="68"/>
        <v>-0.46984631039295416</v>
      </c>
      <c r="P151" s="77">
        <f t="shared" si="69"/>
        <v>0.17337340998045858</v>
      </c>
      <c r="Q151" s="76">
        <f t="shared" si="70"/>
        <v>-0.31828298445974323</v>
      </c>
      <c r="R151" s="75">
        <f t="shared" si="71"/>
        <v>-0.37508993568383997</v>
      </c>
    </row>
    <row r="152" spans="2:18">
      <c r="B152" s="81"/>
      <c r="C152">
        <v>12</v>
      </c>
      <c r="D152">
        <v>224</v>
      </c>
      <c r="E152">
        <v>2.20628125</v>
      </c>
      <c r="F152" s="78"/>
      <c r="G152" s="75">
        <f t="shared" si="60"/>
        <v>0.5787127522222324</v>
      </c>
      <c r="H152" s="76">
        <f t="shared" si="61"/>
        <v>0</v>
      </c>
      <c r="I152" s="75">
        <f t="shared" si="62"/>
        <v>-0.30645161290322581</v>
      </c>
      <c r="J152" s="75">
        <f t="shared" si="63"/>
        <v>0.16823992655795017</v>
      </c>
      <c r="K152" s="76">
        <f t="shared" si="64"/>
        <v>-0.28797031927310096</v>
      </c>
      <c r="L152" s="77">
        <f t="shared" si="65"/>
        <v>0.19810636261378495</v>
      </c>
      <c r="M152" s="76">
        <f t="shared" si="66"/>
        <v>-0.11696024761026654</v>
      </c>
      <c r="N152" s="77">
        <f t="shared" si="67"/>
        <v>0.43302951781026189</v>
      </c>
      <c r="O152" s="76">
        <f t="shared" si="68"/>
        <v>-0.46984631039295416</v>
      </c>
      <c r="P152" s="77">
        <f t="shared" si="69"/>
        <v>0.23120508616143032</v>
      </c>
      <c r="Q152" s="76">
        <f t="shared" si="70"/>
        <v>-0.28797031927310102</v>
      </c>
      <c r="R152" s="75">
        <f t="shared" si="71"/>
        <v>-0.3806063896084475</v>
      </c>
    </row>
    <row r="153" spans="2:18">
      <c r="B153" s="81"/>
      <c r="C153">
        <v>12</v>
      </c>
      <c r="D153">
        <v>256</v>
      </c>
      <c r="E153">
        <v>2.3977655000000002</v>
      </c>
      <c r="F153" s="78"/>
      <c r="G153" s="75">
        <f t="shared" si="60"/>
        <v>0.65178037655152443</v>
      </c>
      <c r="H153" s="76">
        <f t="shared" si="61"/>
        <v>0</v>
      </c>
      <c r="I153" s="75">
        <f t="shared" si="62"/>
        <v>-0.27419354838709675</v>
      </c>
      <c r="J153" s="75">
        <f t="shared" si="63"/>
        <v>0.25261115170907644</v>
      </c>
      <c r="K153" s="76">
        <f t="shared" si="64"/>
        <v>-0.25765765408645863</v>
      </c>
      <c r="L153" s="77">
        <f t="shared" si="65"/>
        <v>0.26565753301846928</v>
      </c>
      <c r="M153" s="76">
        <f t="shared" si="66"/>
        <v>-8.6647582423624248E-2</v>
      </c>
      <c r="N153" s="77">
        <f t="shared" si="67"/>
        <v>0.50058068821494617</v>
      </c>
      <c r="O153" s="76">
        <f t="shared" si="68"/>
        <v>-0.4698463103929541</v>
      </c>
      <c r="P153" s="77">
        <f t="shared" si="69"/>
        <v>0.30427271049072224</v>
      </c>
      <c r="Q153" s="76">
        <f t="shared" si="70"/>
        <v>-0.25765765408645874</v>
      </c>
      <c r="R153" s="75">
        <f t="shared" si="71"/>
        <v>-0.38612284353305509</v>
      </c>
    </row>
    <row r="154" spans="2:18">
      <c r="B154" s="81"/>
      <c r="C154">
        <v>12</v>
      </c>
      <c r="D154">
        <v>288</v>
      </c>
      <c r="E154">
        <v>2.5962477499999999</v>
      </c>
      <c r="F154" s="78"/>
      <c r="G154" s="75">
        <f t="shared" si="60"/>
        <v>0.7275183366136837</v>
      </c>
      <c r="H154" s="76">
        <f t="shared" si="61"/>
        <v>0</v>
      </c>
      <c r="I154" s="75">
        <f t="shared" si="62"/>
        <v>-0.24193548387096775</v>
      </c>
      <c r="J154" s="75">
        <f t="shared" si="63"/>
        <v>0.34006581496859811</v>
      </c>
      <c r="K154" s="76">
        <f t="shared" si="64"/>
        <v>-0.22734498889981647</v>
      </c>
      <c r="L154" s="77">
        <f t="shared" si="65"/>
        <v>0.33587903915602113</v>
      </c>
      <c r="M154" s="76">
        <f t="shared" si="66"/>
        <v>-5.6334917236982071E-2</v>
      </c>
      <c r="N154" s="77">
        <f t="shared" si="67"/>
        <v>0.57080219435249813</v>
      </c>
      <c r="O154" s="76">
        <f t="shared" si="68"/>
        <v>-0.4698463103929541</v>
      </c>
      <c r="P154" s="77">
        <f t="shared" si="69"/>
        <v>0.38001067055288162</v>
      </c>
      <c r="Q154" s="76">
        <f t="shared" si="70"/>
        <v>-0.22734498889981658</v>
      </c>
      <c r="R154" s="75">
        <f t="shared" si="71"/>
        <v>-0.39163929745766263</v>
      </c>
    </row>
    <row r="155" spans="2:18">
      <c r="B155" s="81"/>
      <c r="C155">
        <v>12</v>
      </c>
      <c r="D155">
        <v>320</v>
      </c>
      <c r="E155">
        <v>2.8146265000000001</v>
      </c>
      <c r="F155" s="78"/>
      <c r="G155" s="75">
        <f t="shared" si="60"/>
        <v>0.81084851372485789</v>
      </c>
      <c r="H155" s="76">
        <f t="shared" si="61"/>
        <v>0</v>
      </c>
      <c r="I155" s="75">
        <f t="shared" si="62"/>
        <v>-0.20967741935483869</v>
      </c>
      <c r="J155" s="75">
        <f t="shared" si="63"/>
        <v>0.43628721534210924</v>
      </c>
      <c r="K155" s="76">
        <f t="shared" si="64"/>
        <v>-0.19703232371317425</v>
      </c>
      <c r="L155" s="77">
        <f t="shared" si="65"/>
        <v>0.41369276234258767</v>
      </c>
      <c r="M155" s="76">
        <f t="shared" si="66"/>
        <v>-2.6022252050339843E-2</v>
      </c>
      <c r="N155" s="77">
        <f t="shared" si="67"/>
        <v>0.64861591753906467</v>
      </c>
      <c r="O155" s="76">
        <f t="shared" si="68"/>
        <v>-0.4698463103929541</v>
      </c>
      <c r="P155" s="77">
        <f t="shared" si="69"/>
        <v>0.46334084766405575</v>
      </c>
      <c r="Q155" s="76">
        <f t="shared" si="70"/>
        <v>-0.19703232371317436</v>
      </c>
      <c r="R155" s="75">
        <f t="shared" si="71"/>
        <v>-0.39715575138227022</v>
      </c>
    </row>
    <row r="156" spans="2:18">
      <c r="B156" s="81"/>
      <c r="C156">
        <v>14</v>
      </c>
      <c r="D156">
        <v>32</v>
      </c>
      <c r="E156">
        <v>0.83725724999999995</v>
      </c>
      <c r="F156" s="78"/>
      <c r="G156" s="75">
        <f t="shared" si="60"/>
        <v>5.6312965661278414E-2</v>
      </c>
      <c r="H156" s="76">
        <f t="shared" si="61"/>
        <v>9.9999999999999978E-2</v>
      </c>
      <c r="I156" s="75">
        <f t="shared" si="62"/>
        <v>-0.5</v>
      </c>
      <c r="J156" s="75">
        <f t="shared" si="63"/>
        <v>-0.43497538823318954</v>
      </c>
      <c r="K156" s="76">
        <f t="shared" si="64"/>
        <v>-0.50404832472552108</v>
      </c>
      <c r="L156" s="77">
        <f t="shared" si="65"/>
        <v>-0.33817933143881912</v>
      </c>
      <c r="M156" s="76">
        <f t="shared" si="66"/>
        <v>-0.29883623873011983</v>
      </c>
      <c r="N156" s="77">
        <f t="shared" si="67"/>
        <v>-5.627154520304678E-2</v>
      </c>
      <c r="O156" s="76">
        <f t="shared" si="68"/>
        <v>-0.50404832472552108</v>
      </c>
      <c r="P156" s="77">
        <f t="shared" si="69"/>
        <v>-0.33817933143881912</v>
      </c>
      <c r="Q156" s="76">
        <f t="shared" si="70"/>
        <v>-0.50404832472552119</v>
      </c>
      <c r="R156" s="75">
        <f t="shared" si="71"/>
        <v>-0.39449229710009753</v>
      </c>
    </row>
    <row r="157" spans="2:18">
      <c r="B157" s="81"/>
      <c r="C157">
        <v>14</v>
      </c>
      <c r="D157">
        <v>64</v>
      </c>
      <c r="E157">
        <v>1.4377955</v>
      </c>
      <c r="F157" s="78"/>
      <c r="G157" s="75">
        <f t="shared" si="60"/>
        <v>0.28546968871484713</v>
      </c>
      <c r="H157" s="76">
        <f t="shared" si="61"/>
        <v>9.9999999999999978E-2</v>
      </c>
      <c r="I157" s="75">
        <f t="shared" si="62"/>
        <v>-0.467741935483871</v>
      </c>
      <c r="J157" s="75">
        <f t="shared" si="63"/>
        <v>-0.17036799675000869</v>
      </c>
      <c r="K157" s="76">
        <f t="shared" si="64"/>
        <v>-0.47373565953887886</v>
      </c>
      <c r="L157" s="77">
        <f t="shared" si="65"/>
        <v>-0.11453906230985794</v>
      </c>
      <c r="M157" s="76">
        <f t="shared" si="66"/>
        <v>-0.26852357354347756</v>
      </c>
      <c r="N157" s="77">
        <f t="shared" si="67"/>
        <v>0.16736872392591434</v>
      </c>
      <c r="O157" s="76">
        <f t="shared" si="68"/>
        <v>-0.50404832472552108</v>
      </c>
      <c r="P157" s="77">
        <f t="shared" si="69"/>
        <v>-0.10902260838525038</v>
      </c>
      <c r="Q157" s="76">
        <f t="shared" si="70"/>
        <v>-0.47373565953887892</v>
      </c>
      <c r="R157" s="75">
        <f t="shared" si="71"/>
        <v>-0.40000875102470507</v>
      </c>
    </row>
    <row r="158" spans="2:18">
      <c r="B158" s="81"/>
      <c r="C158">
        <v>14</v>
      </c>
      <c r="D158">
        <v>96</v>
      </c>
      <c r="E158">
        <v>1.7138739999999999</v>
      </c>
      <c r="F158" s="78"/>
      <c r="G158" s="75">
        <f t="shared" si="60"/>
        <v>0.39081725710960746</v>
      </c>
      <c r="H158" s="76">
        <f t="shared" si="61"/>
        <v>9.9999999999999978E-2</v>
      </c>
      <c r="I158" s="75">
        <f t="shared" si="62"/>
        <v>-0.43548387096774194</v>
      </c>
      <c r="J158" s="75">
        <f t="shared" si="63"/>
        <v>-4.8723102807633978E-2</v>
      </c>
      <c r="K158" s="76">
        <f t="shared" si="64"/>
        <v>-0.44342299435223664</v>
      </c>
      <c r="L158" s="77">
        <f t="shared" si="65"/>
        <v>-1.4707947839705214E-2</v>
      </c>
      <c r="M158" s="76">
        <f t="shared" si="66"/>
        <v>-0.23821090835683537</v>
      </c>
      <c r="N158" s="77">
        <f t="shared" si="67"/>
        <v>0.26719983839606709</v>
      </c>
      <c r="O158" s="76">
        <f t="shared" si="68"/>
        <v>-0.50404832472552108</v>
      </c>
      <c r="P158" s="77">
        <f t="shared" si="69"/>
        <v>-3.6750399904900907E-3</v>
      </c>
      <c r="Q158" s="76">
        <f t="shared" si="70"/>
        <v>-0.4434229943522367</v>
      </c>
      <c r="R158" s="75">
        <f t="shared" si="71"/>
        <v>-0.40552520494931266</v>
      </c>
    </row>
    <row r="159" spans="2:18">
      <c r="B159" s="81"/>
      <c r="C159">
        <v>14</v>
      </c>
      <c r="D159">
        <v>128</v>
      </c>
      <c r="E159">
        <v>1.8593614999999999</v>
      </c>
      <c r="F159" s="78"/>
      <c r="G159" s="75">
        <f t="shared" si="60"/>
        <v>0.44633318593721505</v>
      </c>
      <c r="H159" s="76">
        <f t="shared" si="61"/>
        <v>9.9999999999999978E-2</v>
      </c>
      <c r="I159" s="75">
        <f t="shared" si="62"/>
        <v>-0.40322580645161288</v>
      </c>
      <c r="J159" s="75">
        <f t="shared" si="63"/>
        <v>1.5381170098228814E-2</v>
      </c>
      <c r="K159" s="76">
        <f t="shared" si="64"/>
        <v>-0.41311032916559437</v>
      </c>
      <c r="L159" s="77">
        <f t="shared" si="65"/>
        <v>3.5291527063294886E-2</v>
      </c>
      <c r="M159" s="76">
        <f t="shared" si="66"/>
        <v>-0.20789824317019309</v>
      </c>
      <c r="N159" s="77">
        <f t="shared" si="67"/>
        <v>0.3171993132990672</v>
      </c>
      <c r="O159" s="76">
        <f t="shared" si="68"/>
        <v>-0.50404832472552108</v>
      </c>
      <c r="P159" s="77">
        <f t="shared" si="69"/>
        <v>5.1840888837117585E-2</v>
      </c>
      <c r="Q159" s="76">
        <f t="shared" si="70"/>
        <v>-0.41311032916559443</v>
      </c>
      <c r="R159" s="75">
        <f t="shared" si="71"/>
        <v>-0.41104165887392019</v>
      </c>
    </row>
    <row r="160" spans="2:18">
      <c r="B160" s="81"/>
      <c r="C160">
        <v>14</v>
      </c>
      <c r="D160">
        <v>160</v>
      </c>
      <c r="E160">
        <v>2.0302565000000001</v>
      </c>
      <c r="F160" s="78"/>
      <c r="G160" s="75">
        <f t="shared" si="60"/>
        <v>0.51154424982238766</v>
      </c>
      <c r="H160" s="76">
        <f t="shared" si="61"/>
        <v>9.9999999999999978E-2</v>
      </c>
      <c r="I160" s="75">
        <f t="shared" si="62"/>
        <v>-0.37096774193548387</v>
      </c>
      <c r="J160" s="75">
        <f t="shared" si="63"/>
        <v>9.0680420674721263E-2</v>
      </c>
      <c r="K160" s="76">
        <f t="shared" si="64"/>
        <v>-0.38279766397895221</v>
      </c>
      <c r="L160" s="77">
        <f t="shared" si="65"/>
        <v>9.4986137023859829E-2</v>
      </c>
      <c r="M160" s="76">
        <f t="shared" si="66"/>
        <v>-0.17758557798355093</v>
      </c>
      <c r="N160" s="77">
        <f t="shared" si="67"/>
        <v>0.37689392325963217</v>
      </c>
      <c r="O160" s="76">
        <f t="shared" si="68"/>
        <v>-0.50404832472552108</v>
      </c>
      <c r="P160" s="77">
        <f t="shared" si="69"/>
        <v>0.11705195272229008</v>
      </c>
      <c r="Q160" s="76">
        <f t="shared" si="70"/>
        <v>-0.38279766397895226</v>
      </c>
      <c r="R160" s="75">
        <f t="shared" si="71"/>
        <v>-0.41655811279852778</v>
      </c>
    </row>
    <row r="161" spans="2:18">
      <c r="B161" s="81"/>
      <c r="C161">
        <v>14</v>
      </c>
      <c r="D161">
        <v>192</v>
      </c>
      <c r="E161">
        <v>2.2072324999999999</v>
      </c>
      <c r="F161" s="78"/>
      <c r="G161" s="75">
        <f t="shared" si="60"/>
        <v>0.57907573548400582</v>
      </c>
      <c r="H161" s="76">
        <f t="shared" si="61"/>
        <v>9.9999999999999978E-2</v>
      </c>
      <c r="I161" s="75">
        <f t="shared" si="62"/>
        <v>-0.33870967741935487</v>
      </c>
      <c r="J161" s="75">
        <f t="shared" si="63"/>
        <v>0.16865906352574256</v>
      </c>
      <c r="K161" s="76">
        <f t="shared" si="64"/>
        <v>-0.35248499879231004</v>
      </c>
      <c r="L161" s="77">
        <f t="shared" si="65"/>
        <v>0.15700116876087053</v>
      </c>
      <c r="M161" s="76">
        <f t="shared" si="66"/>
        <v>-0.14727291279690874</v>
      </c>
      <c r="N161" s="77">
        <f t="shared" si="67"/>
        <v>0.43890895499664284</v>
      </c>
      <c r="O161" s="76">
        <f t="shared" si="68"/>
        <v>-0.50404832472552108</v>
      </c>
      <c r="P161" s="77">
        <f t="shared" si="69"/>
        <v>0.18458343838390834</v>
      </c>
      <c r="Q161" s="76">
        <f t="shared" si="70"/>
        <v>-0.3524849987923101</v>
      </c>
      <c r="R161" s="75">
        <f t="shared" si="71"/>
        <v>-0.42207456672313531</v>
      </c>
    </row>
    <row r="162" spans="2:18">
      <c r="B162" s="81"/>
      <c r="C162">
        <v>14</v>
      </c>
      <c r="D162">
        <v>224</v>
      </c>
      <c r="E162">
        <v>2.426167</v>
      </c>
      <c r="F162" s="78"/>
      <c r="G162" s="75">
        <f t="shared" si="60"/>
        <v>0.6626179787688784</v>
      </c>
      <c r="H162" s="76">
        <f t="shared" si="61"/>
        <v>9.9999999999999978E-2</v>
      </c>
      <c r="I162" s="75">
        <f t="shared" si="62"/>
        <v>-0.30645161290322581</v>
      </c>
      <c r="J162" s="75">
        <f t="shared" si="63"/>
        <v>0.26512533682419526</v>
      </c>
      <c r="K162" s="76">
        <f t="shared" si="64"/>
        <v>-0.32217233360566777</v>
      </c>
      <c r="L162" s="77">
        <f t="shared" si="65"/>
        <v>0.2350269581211355</v>
      </c>
      <c r="M162" s="76">
        <f t="shared" si="66"/>
        <v>-0.11696024761026652</v>
      </c>
      <c r="N162" s="77">
        <f t="shared" si="67"/>
        <v>0.51693474435690778</v>
      </c>
      <c r="O162" s="76">
        <f t="shared" si="68"/>
        <v>-0.50404832472552108</v>
      </c>
      <c r="P162" s="77">
        <f t="shared" si="69"/>
        <v>0.26812568166878087</v>
      </c>
      <c r="Q162" s="76">
        <f t="shared" si="70"/>
        <v>-0.32217233360566788</v>
      </c>
      <c r="R162" s="75">
        <f t="shared" si="71"/>
        <v>-0.4275910206477429</v>
      </c>
    </row>
    <row r="163" spans="2:18">
      <c r="B163" s="81"/>
      <c r="C163">
        <v>14</v>
      </c>
      <c r="D163">
        <v>256</v>
      </c>
      <c r="E163">
        <v>2.6687965</v>
      </c>
      <c r="F163" s="78"/>
      <c r="G163" s="75">
        <f t="shared" si="60"/>
        <v>0.75520189184373399</v>
      </c>
      <c r="H163" s="76">
        <f t="shared" si="61"/>
        <v>9.9999999999999978E-2</v>
      </c>
      <c r="I163" s="75">
        <f t="shared" si="62"/>
        <v>-0.27419354838709675</v>
      </c>
      <c r="J163" s="75">
        <f t="shared" si="63"/>
        <v>0.37203203109698879</v>
      </c>
      <c r="K163" s="76">
        <f t="shared" si="64"/>
        <v>-0.2918596684190255</v>
      </c>
      <c r="L163" s="77">
        <f t="shared" si="65"/>
        <v>0.32209441727138349</v>
      </c>
      <c r="M163" s="76">
        <f t="shared" si="66"/>
        <v>-8.6647582423624234E-2</v>
      </c>
      <c r="N163" s="77">
        <f t="shared" si="67"/>
        <v>0.60400220350715572</v>
      </c>
      <c r="O163" s="76">
        <f t="shared" si="68"/>
        <v>-0.50404832472552108</v>
      </c>
      <c r="P163" s="77">
        <f t="shared" si="69"/>
        <v>0.3607095947436364</v>
      </c>
      <c r="Q163" s="76">
        <f t="shared" si="70"/>
        <v>-0.29185966841902561</v>
      </c>
      <c r="R163" s="75">
        <f t="shared" si="71"/>
        <v>-0.43310747457235044</v>
      </c>
    </row>
    <row r="164" spans="2:18">
      <c r="B164" s="81"/>
      <c r="C164">
        <v>14</v>
      </c>
      <c r="D164">
        <v>288</v>
      </c>
      <c r="E164">
        <v>2.92742075</v>
      </c>
      <c r="F164" s="78"/>
      <c r="G164" s="75">
        <f t="shared" si="60"/>
        <v>0.85388917051780167</v>
      </c>
      <c r="H164" s="76">
        <f t="shared" si="61"/>
        <v>9.9999999999999978E-2</v>
      </c>
      <c r="I164" s="75">
        <f t="shared" si="62"/>
        <v>-0.24193548387096775</v>
      </c>
      <c r="J164" s="75">
        <f t="shared" si="63"/>
        <v>0.48598628491311802</v>
      </c>
      <c r="K164" s="76">
        <f t="shared" si="64"/>
        <v>-0.26154700323238333</v>
      </c>
      <c r="L164" s="77">
        <f t="shared" si="65"/>
        <v>0.41526524202084364</v>
      </c>
      <c r="M164" s="76">
        <f t="shared" si="66"/>
        <v>-5.633491723698205E-2</v>
      </c>
      <c r="N164" s="77">
        <f t="shared" si="67"/>
        <v>0.69717302825661598</v>
      </c>
      <c r="O164" s="76">
        <f t="shared" si="68"/>
        <v>-0.50404832472552097</v>
      </c>
      <c r="P164" s="77">
        <f t="shared" si="69"/>
        <v>0.45939687341770413</v>
      </c>
      <c r="Q164" s="76">
        <f t="shared" si="70"/>
        <v>-0.26154700323238345</v>
      </c>
      <c r="R164" s="75">
        <f t="shared" si="71"/>
        <v>-0.43862392849695803</v>
      </c>
    </row>
    <row r="165" spans="2:18">
      <c r="B165" s="81"/>
      <c r="C165">
        <v>16</v>
      </c>
      <c r="D165">
        <v>32</v>
      </c>
      <c r="E165">
        <v>0.92676550000000002</v>
      </c>
      <c r="F165" s="78"/>
      <c r="G165" s="75">
        <f t="shared" si="60"/>
        <v>9.0468021157343148E-2</v>
      </c>
      <c r="H165" s="76">
        <f t="shared" si="61"/>
        <v>0.19999999999999996</v>
      </c>
      <c r="I165" s="75">
        <f t="shared" si="62"/>
        <v>-0.5</v>
      </c>
      <c r="J165" s="75">
        <f t="shared" si="63"/>
        <v>-0.39553652726351035</v>
      </c>
      <c r="K165" s="76">
        <f t="shared" si="64"/>
        <v>-0.53825033905808795</v>
      </c>
      <c r="L165" s="77">
        <f t="shared" si="65"/>
        <v>-0.35100890698204973</v>
      </c>
      <c r="M165" s="76">
        <f t="shared" si="66"/>
        <v>-0.29883623873011983</v>
      </c>
      <c r="N165" s="77">
        <f t="shared" si="67"/>
        <v>-2.2116489706982045E-2</v>
      </c>
      <c r="O165" s="76">
        <f t="shared" si="68"/>
        <v>-0.53825033905808795</v>
      </c>
      <c r="P165" s="77">
        <f t="shared" si="69"/>
        <v>-0.35100890698204973</v>
      </c>
      <c r="Q165" s="76">
        <f t="shared" si="70"/>
        <v>-0.53825033905808806</v>
      </c>
      <c r="R165" s="75">
        <f t="shared" si="71"/>
        <v>-0.44147692813939288</v>
      </c>
    </row>
    <row r="166" spans="2:18">
      <c r="B166" s="81"/>
      <c r="C166">
        <v>16</v>
      </c>
      <c r="D166">
        <v>64</v>
      </c>
      <c r="E166">
        <v>1.63592275</v>
      </c>
      <c r="F166" s="78"/>
      <c r="G166" s="75">
        <f t="shared" si="60"/>
        <v>0.36107218590401896</v>
      </c>
      <c r="H166" s="76">
        <f t="shared" si="61"/>
        <v>0.19999999999999996</v>
      </c>
      <c r="I166" s="75">
        <f t="shared" si="62"/>
        <v>-0.467741935483871</v>
      </c>
      <c r="J166" s="75">
        <f t="shared" si="63"/>
        <v>-8.3069752542856146E-2</v>
      </c>
      <c r="K166" s="76">
        <f t="shared" si="64"/>
        <v>-0.50793767387144573</v>
      </c>
      <c r="L166" s="77">
        <f t="shared" si="65"/>
        <v>-8.5921196159981492E-2</v>
      </c>
      <c r="M166" s="76">
        <f t="shared" si="66"/>
        <v>-0.26852357354347756</v>
      </c>
      <c r="N166" s="77">
        <f t="shared" si="67"/>
        <v>0.24297122111508618</v>
      </c>
      <c r="O166" s="76">
        <f t="shared" si="68"/>
        <v>-0.53825033905808795</v>
      </c>
      <c r="P166" s="77">
        <f t="shared" si="69"/>
        <v>-8.040474223537393E-2</v>
      </c>
      <c r="Q166" s="76">
        <f t="shared" si="70"/>
        <v>-0.50793767387144584</v>
      </c>
      <c r="R166" s="75">
        <f t="shared" si="71"/>
        <v>-0.44699338206400047</v>
      </c>
    </row>
    <row r="167" spans="2:18">
      <c r="B167" s="81"/>
      <c r="C167">
        <v>16</v>
      </c>
      <c r="D167">
        <v>96</v>
      </c>
      <c r="E167">
        <v>1.7744277500000001</v>
      </c>
      <c r="F167" s="78"/>
      <c r="G167" s="75">
        <f t="shared" si="60"/>
        <v>0.4139236935749035</v>
      </c>
      <c r="H167" s="76">
        <f t="shared" si="61"/>
        <v>0.19999999999999996</v>
      </c>
      <c r="I167" s="75">
        <f t="shared" si="62"/>
        <v>-0.43548387096774194</v>
      </c>
      <c r="J167" s="75">
        <f t="shared" si="63"/>
        <v>-2.2042088181130626E-2</v>
      </c>
      <c r="K167" s="76">
        <f t="shared" si="64"/>
        <v>-0.47762500868480351</v>
      </c>
      <c r="L167" s="77">
        <f t="shared" si="65"/>
        <v>-3.8586142413704519E-2</v>
      </c>
      <c r="M167" s="76">
        <f t="shared" si="66"/>
        <v>-0.23821090835683537</v>
      </c>
      <c r="N167" s="77">
        <f t="shared" si="67"/>
        <v>0.29030627486136318</v>
      </c>
      <c r="O167" s="76">
        <f t="shared" si="68"/>
        <v>-0.53825033905808795</v>
      </c>
      <c r="P167" s="77">
        <f t="shared" si="69"/>
        <v>-2.7553234564489392E-2</v>
      </c>
      <c r="Q167" s="76">
        <f t="shared" si="70"/>
        <v>-0.47762500868480356</v>
      </c>
      <c r="R167" s="75">
        <f t="shared" si="71"/>
        <v>-0.452509835988608</v>
      </c>
    </row>
    <row r="168" spans="2:18">
      <c r="B168" s="81"/>
      <c r="C168">
        <v>16</v>
      </c>
      <c r="D168">
        <v>128</v>
      </c>
      <c r="E168">
        <v>1.94674725</v>
      </c>
      <c r="F168" s="78"/>
      <c r="G168" s="75">
        <f t="shared" ref="G168:G189" si="72">D$19*(L168-R168)</f>
        <v>0.47967832608703648</v>
      </c>
      <c r="H168" s="76">
        <f t="shared" ref="H168:H189" si="73">(C168-H$16)/H$17-0.5</f>
        <v>0.19999999999999996</v>
      </c>
      <c r="I168" s="75">
        <f t="shared" ref="I168:I189" si="74">(D168-I$16)/I$17-0.5</f>
        <v>-0.40322580645161288</v>
      </c>
      <c r="J168" s="75">
        <f t="shared" ref="J168:J189" si="75">(E168-J$16)/J$17-0.5</f>
        <v>5.3884821381559145E-2</v>
      </c>
      <c r="K168" s="76">
        <f t="shared" ref="K168:K189" si="76">(H168*$H$13+I168*$I$13+J168*$J$13+$D$27)*$C$27</f>
        <v>-0.44731234349816124</v>
      </c>
      <c r="L168" s="77">
        <f t="shared" ref="L168:L189" si="77">(H168*$H$14+I168*$I$14+J168*$J$14+$E$27)*$C$27</f>
        <v>2.1652036173820881E-2</v>
      </c>
      <c r="M168" s="76">
        <f t="shared" ref="M168:M189" si="78">(H$27*$H$13+I168*$I$13+J168*$J$13+$D$27)*$C$27</f>
        <v>-0.20789824317019309</v>
      </c>
      <c r="N168" s="77">
        <f t="shared" ref="N168:N189" si="79">(H$27*$H$14+I168*$I$14+J168*$J$14+$E$27)*$C$27</f>
        <v>0.35054445344888857</v>
      </c>
      <c r="O168" s="76">
        <f t="shared" ref="O168:O189" si="80">(H168*$H$13+I$27*$I$13+J168*$J$13+$D$27)*$C$27</f>
        <v>-0.53825033905808795</v>
      </c>
      <c r="P168" s="77">
        <f t="shared" ref="P168:P189" si="81">(H168*$H$14+I$27*$I$14+J168*$J$14+$E$27)*$C$27</f>
        <v>3.820139794764358E-2</v>
      </c>
      <c r="Q168" s="76">
        <f t="shared" ref="Q168:Q189" si="82">(H168*$H$13+I168*$I$13+J$27*$J$13+$D$27)*$C$27</f>
        <v>-0.44731234349816129</v>
      </c>
      <c r="R168" s="75">
        <f t="shared" ref="R168:R189" si="83">(H168*$H$14+I168*$I$14+J$27*$J$14+$E$27)*$C$27</f>
        <v>-0.45802628991321559</v>
      </c>
    </row>
    <row r="169" spans="2:18">
      <c r="B169" s="81"/>
      <c r="C169">
        <v>16</v>
      </c>
      <c r="D169">
        <v>160</v>
      </c>
      <c r="E169">
        <v>2.1553485000000001</v>
      </c>
      <c r="F169" s="78"/>
      <c r="G169" s="75">
        <f t="shared" si="72"/>
        <v>0.55927755040768257</v>
      </c>
      <c r="H169" s="76">
        <f t="shared" si="73"/>
        <v>0.19999999999999996</v>
      </c>
      <c r="I169" s="75">
        <f t="shared" si="74"/>
        <v>-0.37096774193548387</v>
      </c>
      <c r="J169" s="75">
        <f t="shared" si="75"/>
        <v>0.14579808855917997</v>
      </c>
      <c r="K169" s="76">
        <f t="shared" si="76"/>
        <v>-0.41699967831151907</v>
      </c>
      <c r="L169" s="77">
        <f t="shared" si="77"/>
        <v>9.5734806569859401E-2</v>
      </c>
      <c r="M169" s="76">
        <f t="shared" si="78"/>
        <v>-0.1775855779835509</v>
      </c>
      <c r="N169" s="77">
        <f t="shared" si="79"/>
        <v>0.42462722384492713</v>
      </c>
      <c r="O169" s="76">
        <f t="shared" si="80"/>
        <v>-0.53825033905808795</v>
      </c>
      <c r="P169" s="77">
        <f t="shared" si="81"/>
        <v>0.11780062226828965</v>
      </c>
      <c r="Q169" s="76">
        <f t="shared" si="82"/>
        <v>-0.41699967831151913</v>
      </c>
      <c r="R169" s="75">
        <f t="shared" si="83"/>
        <v>-0.46354274383782312</v>
      </c>
    </row>
    <row r="170" spans="2:18">
      <c r="B170" s="81"/>
      <c r="C170">
        <v>16</v>
      </c>
      <c r="D170">
        <v>192</v>
      </c>
      <c r="E170">
        <v>2.3949910000000001</v>
      </c>
      <c r="F170" s="78"/>
      <c r="G170" s="75">
        <f t="shared" si="72"/>
        <v>0.65072166742165272</v>
      </c>
      <c r="H170" s="76">
        <f t="shared" si="73"/>
        <v>0.19999999999999996</v>
      </c>
      <c r="I170" s="75">
        <f t="shared" si="74"/>
        <v>-0.33870967741935487</v>
      </c>
      <c r="J170" s="75">
        <f t="shared" si="75"/>
        <v>0.25138865970682656</v>
      </c>
      <c r="K170" s="76">
        <f t="shared" si="76"/>
        <v>-0.38668701312487685</v>
      </c>
      <c r="L170" s="77">
        <f t="shared" si="77"/>
        <v>0.181662469659222</v>
      </c>
      <c r="M170" s="76">
        <f t="shared" si="78"/>
        <v>-0.14727291279690874</v>
      </c>
      <c r="N170" s="77">
        <f t="shared" si="79"/>
        <v>0.51055488693428963</v>
      </c>
      <c r="O170" s="76">
        <f t="shared" si="80"/>
        <v>-0.53825033905808795</v>
      </c>
      <c r="P170" s="77">
        <f t="shared" si="81"/>
        <v>0.20924473928225978</v>
      </c>
      <c r="Q170" s="76">
        <f t="shared" si="82"/>
        <v>-0.38668701312487697</v>
      </c>
      <c r="R170" s="75">
        <f t="shared" si="83"/>
        <v>-0.46905919776243071</v>
      </c>
    </row>
    <row r="171" spans="2:18">
      <c r="B171" s="81"/>
      <c r="C171">
        <v>16</v>
      </c>
      <c r="D171">
        <v>224</v>
      </c>
      <c r="E171">
        <v>2.6698740000000001</v>
      </c>
      <c r="F171" s="78"/>
      <c r="G171" s="75">
        <f t="shared" si="72"/>
        <v>0.75561305028216852</v>
      </c>
      <c r="H171" s="76">
        <f t="shared" si="73"/>
        <v>0.19999999999999996</v>
      </c>
      <c r="I171" s="75">
        <f t="shared" si="74"/>
        <v>-0.30645161290322581</v>
      </c>
      <c r="J171" s="75">
        <f t="shared" si="75"/>
        <v>0.37250679596720837</v>
      </c>
      <c r="K171" s="76">
        <f t="shared" si="76"/>
        <v>-0.35637434793823464</v>
      </c>
      <c r="L171" s="77">
        <f t="shared" si="77"/>
        <v>0.28103739859513027</v>
      </c>
      <c r="M171" s="76">
        <f t="shared" si="78"/>
        <v>-0.11696024761026651</v>
      </c>
      <c r="N171" s="77">
        <f t="shared" si="79"/>
        <v>0.60992981587019801</v>
      </c>
      <c r="O171" s="76">
        <f t="shared" si="80"/>
        <v>-0.53825033905808795</v>
      </c>
      <c r="P171" s="77">
        <f t="shared" si="81"/>
        <v>0.31413612214277564</v>
      </c>
      <c r="Q171" s="76">
        <f t="shared" si="82"/>
        <v>-0.35637434793823475</v>
      </c>
      <c r="R171" s="75">
        <f t="shared" si="83"/>
        <v>-0.47457565168703825</v>
      </c>
    </row>
    <row r="172" spans="2:18">
      <c r="B172" s="81"/>
      <c r="C172">
        <v>16</v>
      </c>
      <c r="D172">
        <v>256</v>
      </c>
      <c r="E172">
        <v>2.9579844999999998</v>
      </c>
      <c r="F172" s="78"/>
      <c r="G172" s="75">
        <f t="shared" si="72"/>
        <v>0.86555185610731811</v>
      </c>
      <c r="H172" s="76">
        <f t="shared" si="73"/>
        <v>0.19999999999999996</v>
      </c>
      <c r="I172" s="75">
        <f t="shared" si="74"/>
        <v>-0.27419354838709675</v>
      </c>
      <c r="J172" s="75">
        <f t="shared" si="75"/>
        <v>0.49945319424228063</v>
      </c>
      <c r="K172" s="76">
        <f t="shared" si="76"/>
        <v>-0.32606168275159236</v>
      </c>
      <c r="L172" s="77">
        <f t="shared" si="77"/>
        <v>0.38545975049567227</v>
      </c>
      <c r="M172" s="76">
        <f t="shared" si="78"/>
        <v>-8.664758242362422E-2</v>
      </c>
      <c r="N172" s="77">
        <f t="shared" si="79"/>
        <v>0.71435216777073995</v>
      </c>
      <c r="O172" s="76">
        <f t="shared" si="80"/>
        <v>-0.53825033905808783</v>
      </c>
      <c r="P172" s="77">
        <f t="shared" si="81"/>
        <v>0.42407492796792523</v>
      </c>
      <c r="Q172" s="76">
        <f t="shared" si="82"/>
        <v>-0.32606168275159247</v>
      </c>
      <c r="R172" s="75">
        <f t="shared" si="83"/>
        <v>-0.48009210561164584</v>
      </c>
    </row>
    <row r="173" spans="2:18">
      <c r="B173" s="81"/>
      <c r="C173">
        <v>18</v>
      </c>
      <c r="D173">
        <v>32</v>
      </c>
      <c r="E173">
        <v>1.0199665</v>
      </c>
      <c r="F173" s="78"/>
      <c r="G173" s="75">
        <f t="shared" si="72"/>
        <v>0.1260321767216484</v>
      </c>
      <c r="H173" s="76">
        <f t="shared" si="73"/>
        <v>0.30000000000000004</v>
      </c>
      <c r="I173" s="75">
        <f t="shared" si="74"/>
        <v>-0.5</v>
      </c>
      <c r="J173" s="75">
        <f t="shared" si="75"/>
        <v>-0.35447057768640361</v>
      </c>
      <c r="K173" s="76">
        <f t="shared" si="76"/>
        <v>-0.57245235339065481</v>
      </c>
      <c r="L173" s="77">
        <f t="shared" si="77"/>
        <v>-0.36242938245703993</v>
      </c>
      <c r="M173" s="76">
        <f t="shared" si="78"/>
        <v>-0.29883623873011983</v>
      </c>
      <c r="N173" s="77">
        <f t="shared" si="79"/>
        <v>1.344766585732321E-2</v>
      </c>
      <c r="O173" s="76">
        <f t="shared" si="80"/>
        <v>-0.57245235339065481</v>
      </c>
      <c r="P173" s="77">
        <f t="shared" si="81"/>
        <v>-0.36242938245703993</v>
      </c>
      <c r="Q173" s="76">
        <f t="shared" si="82"/>
        <v>-0.57245235339065492</v>
      </c>
      <c r="R173" s="75">
        <f t="shared" si="83"/>
        <v>-0.48846155917868833</v>
      </c>
    </row>
    <row r="174" spans="2:18">
      <c r="B174" s="81"/>
      <c r="C174">
        <v>18</v>
      </c>
      <c r="D174">
        <v>64</v>
      </c>
      <c r="E174">
        <v>1.6718487500000001</v>
      </c>
      <c r="F174" s="78"/>
      <c r="G174" s="75">
        <f t="shared" si="72"/>
        <v>0.37478102865037621</v>
      </c>
      <c r="H174" s="76">
        <f t="shared" si="73"/>
        <v>0.30000000000000004</v>
      </c>
      <c r="I174" s="75">
        <f t="shared" si="74"/>
        <v>-0.467741935483871</v>
      </c>
      <c r="J174" s="75">
        <f t="shared" si="75"/>
        <v>-6.7240144443080962E-2</v>
      </c>
      <c r="K174" s="76">
        <f t="shared" si="76"/>
        <v>-0.5421396882040127</v>
      </c>
      <c r="L174" s="77">
        <f t="shared" si="77"/>
        <v>-0.11919698445291971</v>
      </c>
      <c r="M174" s="76">
        <f t="shared" si="78"/>
        <v>-0.26852357354347756</v>
      </c>
      <c r="N174" s="77">
        <f t="shared" si="79"/>
        <v>0.25668006386144337</v>
      </c>
      <c r="O174" s="76">
        <f t="shared" si="80"/>
        <v>-0.57245235339065481</v>
      </c>
      <c r="P174" s="77">
        <f t="shared" si="81"/>
        <v>-0.11368053052831215</v>
      </c>
      <c r="Q174" s="76">
        <f t="shared" si="82"/>
        <v>-0.54213968820401282</v>
      </c>
      <c r="R174" s="75">
        <f t="shared" si="83"/>
        <v>-0.49397801310329592</v>
      </c>
    </row>
    <row r="175" spans="2:18">
      <c r="B175" s="81"/>
      <c r="C175">
        <v>18</v>
      </c>
      <c r="D175">
        <v>96</v>
      </c>
      <c r="E175">
        <v>1.8339272499999999</v>
      </c>
      <c r="F175" s="78"/>
      <c r="G175" s="75">
        <f t="shared" si="72"/>
        <v>0.4366278434659816</v>
      </c>
      <c r="H175" s="76">
        <f t="shared" si="73"/>
        <v>0.30000000000000004</v>
      </c>
      <c r="I175" s="75">
        <f t="shared" si="74"/>
        <v>-0.43548387096774194</v>
      </c>
      <c r="J175" s="75">
        <f t="shared" si="75"/>
        <v>4.1744059215405027E-3</v>
      </c>
      <c r="K175" s="76">
        <f t="shared" si="76"/>
        <v>-0.51182702301737049</v>
      </c>
      <c r="L175" s="77">
        <f t="shared" si="77"/>
        <v>-6.2866623561921839E-2</v>
      </c>
      <c r="M175" s="76">
        <f t="shared" si="78"/>
        <v>-0.23821090835683537</v>
      </c>
      <c r="N175" s="77">
        <f t="shared" si="79"/>
        <v>0.31301042475244129</v>
      </c>
      <c r="O175" s="76">
        <f t="shared" si="80"/>
        <v>-0.57245235339065481</v>
      </c>
      <c r="P175" s="77">
        <f t="shared" si="81"/>
        <v>-5.1833715712706716E-2</v>
      </c>
      <c r="Q175" s="76">
        <f t="shared" si="82"/>
        <v>-0.5118270230173706</v>
      </c>
      <c r="R175" s="75">
        <f t="shared" si="83"/>
        <v>-0.49949446702790345</v>
      </c>
    </row>
    <row r="176" spans="2:18">
      <c r="B176" s="81"/>
      <c r="C176">
        <v>18</v>
      </c>
      <c r="D176">
        <v>128</v>
      </c>
      <c r="E176">
        <v>2.055285</v>
      </c>
      <c r="F176" s="78"/>
      <c r="G176" s="75">
        <f t="shared" si="72"/>
        <v>0.52109476395357945</v>
      </c>
      <c r="H176" s="76">
        <f t="shared" si="73"/>
        <v>0.30000000000000004</v>
      </c>
      <c r="I176" s="75">
        <f t="shared" si="74"/>
        <v>-0.40322580645161288</v>
      </c>
      <c r="J176" s="75">
        <f t="shared" si="75"/>
        <v>0.10170840448380714</v>
      </c>
      <c r="K176" s="76">
        <f t="shared" si="76"/>
        <v>-0.48151435783072816</v>
      </c>
      <c r="L176" s="77">
        <f t="shared" si="77"/>
        <v>1.608384300106841E-2</v>
      </c>
      <c r="M176" s="76">
        <f t="shared" si="78"/>
        <v>-0.20789824317019309</v>
      </c>
      <c r="N176" s="77">
        <f t="shared" si="79"/>
        <v>0.39196089131543155</v>
      </c>
      <c r="O176" s="76">
        <f t="shared" si="80"/>
        <v>-0.57245235339065481</v>
      </c>
      <c r="P176" s="77">
        <f t="shared" si="81"/>
        <v>3.2633204774891109E-2</v>
      </c>
      <c r="Q176" s="76">
        <f t="shared" si="82"/>
        <v>-0.48151435783072821</v>
      </c>
      <c r="R176" s="75">
        <f t="shared" si="83"/>
        <v>-0.50501092095251099</v>
      </c>
    </row>
    <row r="177" spans="2:18">
      <c r="B177" s="81"/>
      <c r="C177">
        <v>18</v>
      </c>
      <c r="D177">
        <v>160</v>
      </c>
      <c r="E177">
        <v>2.2972355000000002</v>
      </c>
      <c r="F177" s="78"/>
      <c r="G177" s="75">
        <f t="shared" si="72"/>
        <v>0.61341958043474876</v>
      </c>
      <c r="H177" s="76">
        <f t="shared" si="73"/>
        <v>0.30000000000000004</v>
      </c>
      <c r="I177" s="75">
        <f t="shared" si="74"/>
        <v>-0.37096774193548387</v>
      </c>
      <c r="J177" s="75">
        <f t="shared" si="75"/>
        <v>0.20831591978037889</v>
      </c>
      <c r="K177" s="76">
        <f t="shared" si="76"/>
        <v>-0.45120169264408599</v>
      </c>
      <c r="L177" s="77">
        <f t="shared" si="77"/>
        <v>0.10289220555763015</v>
      </c>
      <c r="M177" s="76">
        <f t="shared" si="78"/>
        <v>-0.1775855779835509</v>
      </c>
      <c r="N177" s="77">
        <f t="shared" si="79"/>
        <v>0.47876925387199332</v>
      </c>
      <c r="O177" s="76">
        <f t="shared" si="80"/>
        <v>-0.57245235339065481</v>
      </c>
      <c r="P177" s="77">
        <f t="shared" si="81"/>
        <v>0.1249580212560604</v>
      </c>
      <c r="Q177" s="76">
        <f t="shared" si="82"/>
        <v>-0.45120169264408605</v>
      </c>
      <c r="R177" s="75">
        <f t="shared" si="83"/>
        <v>-0.51052737487711863</v>
      </c>
    </row>
    <row r="178" spans="2:18">
      <c r="B178" s="81"/>
      <c r="C178">
        <v>18</v>
      </c>
      <c r="D178">
        <v>192</v>
      </c>
      <c r="E178">
        <v>2.59725625</v>
      </c>
      <c r="F178" s="78"/>
      <c r="G178" s="75">
        <f t="shared" si="72"/>
        <v>0.72790316564863633</v>
      </c>
      <c r="H178" s="76">
        <f t="shared" si="73"/>
        <v>0.30000000000000004</v>
      </c>
      <c r="I178" s="75">
        <f t="shared" si="74"/>
        <v>-0.33870967741935487</v>
      </c>
      <c r="J178" s="75">
        <f t="shared" si="75"/>
        <v>0.34051017726244182</v>
      </c>
      <c r="K178" s="76">
        <f t="shared" si="76"/>
        <v>-0.42088902745744378</v>
      </c>
      <c r="L178" s="77">
        <f t="shared" si="77"/>
        <v>0.21185933684691019</v>
      </c>
      <c r="M178" s="76">
        <f t="shared" si="78"/>
        <v>-0.14727291279690871</v>
      </c>
      <c r="N178" s="77">
        <f t="shared" si="79"/>
        <v>0.58773638516127336</v>
      </c>
      <c r="O178" s="76">
        <f t="shared" si="80"/>
        <v>-0.57245235339065481</v>
      </c>
      <c r="P178" s="77">
        <f t="shared" si="81"/>
        <v>0.239441606469948</v>
      </c>
      <c r="Q178" s="76">
        <f t="shared" si="82"/>
        <v>-0.42088902745744389</v>
      </c>
      <c r="R178" s="75">
        <f t="shared" si="83"/>
        <v>-0.51604382880172617</v>
      </c>
    </row>
    <row r="179" spans="2:18">
      <c r="B179" s="81"/>
      <c r="C179">
        <v>18</v>
      </c>
      <c r="D179">
        <v>224</v>
      </c>
      <c r="E179">
        <v>2.9252929999999999</v>
      </c>
      <c r="F179" s="78"/>
      <c r="G179" s="75">
        <f t="shared" si="72"/>
        <v>0.85307725184738004</v>
      </c>
      <c r="H179" s="76">
        <f t="shared" si="73"/>
        <v>0.30000000000000004</v>
      </c>
      <c r="I179" s="75">
        <f t="shared" si="74"/>
        <v>-0.30645161290322581</v>
      </c>
      <c r="J179" s="75">
        <f t="shared" si="75"/>
        <v>0.48504876198726199</v>
      </c>
      <c r="K179" s="76">
        <f t="shared" si="76"/>
        <v>-0.39057636227080156</v>
      </c>
      <c r="L179" s="77">
        <f t="shared" si="77"/>
        <v>0.33151696912104633</v>
      </c>
      <c r="M179" s="76">
        <f t="shared" si="78"/>
        <v>-0.11696024761026649</v>
      </c>
      <c r="N179" s="77">
        <f t="shared" si="79"/>
        <v>0.70739401743540942</v>
      </c>
      <c r="O179" s="76">
        <f t="shared" si="80"/>
        <v>-0.5724523533906547</v>
      </c>
      <c r="P179" s="77">
        <f t="shared" si="81"/>
        <v>0.3646156926686917</v>
      </c>
      <c r="Q179" s="76">
        <f t="shared" si="82"/>
        <v>-0.39057636227080167</v>
      </c>
      <c r="R179" s="75">
        <f t="shared" si="83"/>
        <v>-0.5215602827263337</v>
      </c>
    </row>
    <row r="180" spans="2:18">
      <c r="B180" s="81"/>
      <c r="C180">
        <v>20</v>
      </c>
      <c r="D180">
        <v>32</v>
      </c>
      <c r="E180">
        <v>1.0866125</v>
      </c>
      <c r="F180" s="78"/>
      <c r="G180" s="75">
        <f t="shared" si="72"/>
        <v>0.15146332780091465</v>
      </c>
      <c r="H180" s="76">
        <f t="shared" si="73"/>
        <v>0.4</v>
      </c>
      <c r="I180" s="75">
        <f t="shared" si="74"/>
        <v>-0.5</v>
      </c>
      <c r="J180" s="75">
        <f t="shared" si="75"/>
        <v>-0.32510521384357083</v>
      </c>
      <c r="K180" s="76">
        <f t="shared" si="76"/>
        <v>-0.60665436772322168</v>
      </c>
      <c r="L180" s="77">
        <f t="shared" si="77"/>
        <v>-0.38398286241706903</v>
      </c>
      <c r="M180" s="76">
        <f t="shared" si="78"/>
        <v>-0.29883623873011983</v>
      </c>
      <c r="N180" s="77">
        <f t="shared" si="79"/>
        <v>3.8878816936589455E-2</v>
      </c>
      <c r="O180" s="76">
        <f t="shared" si="80"/>
        <v>-0.60665436772322168</v>
      </c>
      <c r="P180" s="77">
        <f t="shared" si="81"/>
        <v>-0.38398286241706903</v>
      </c>
      <c r="Q180" s="76">
        <f t="shared" si="82"/>
        <v>-0.60665436772322179</v>
      </c>
      <c r="R180" s="75">
        <f t="shared" si="83"/>
        <v>-0.53544619021798368</v>
      </c>
    </row>
    <row r="181" spans="2:18">
      <c r="B181" s="81"/>
      <c r="C181">
        <v>20</v>
      </c>
      <c r="D181">
        <v>64</v>
      </c>
      <c r="E181">
        <v>1.70386075</v>
      </c>
      <c r="F181" s="78"/>
      <c r="G181" s="75">
        <f t="shared" si="72"/>
        <v>0.38699634552384887</v>
      </c>
      <c r="H181" s="76">
        <f t="shared" si="73"/>
        <v>0.4</v>
      </c>
      <c r="I181" s="75">
        <f t="shared" si="74"/>
        <v>-0.467741935483871</v>
      </c>
      <c r="J181" s="75">
        <f t="shared" si="75"/>
        <v>-5.3135111472808805E-2</v>
      </c>
      <c r="K181" s="76">
        <f t="shared" si="76"/>
        <v>-0.57634170253657957</v>
      </c>
      <c r="L181" s="77">
        <f t="shared" si="77"/>
        <v>-0.15396629861874231</v>
      </c>
      <c r="M181" s="76">
        <f t="shared" si="78"/>
        <v>-0.26852357354347756</v>
      </c>
      <c r="N181" s="77">
        <f t="shared" si="79"/>
        <v>0.26889538073491615</v>
      </c>
      <c r="O181" s="76">
        <f t="shared" si="80"/>
        <v>-0.60665436772322168</v>
      </c>
      <c r="P181" s="77">
        <f t="shared" si="81"/>
        <v>-0.14844984469413475</v>
      </c>
      <c r="Q181" s="76">
        <f t="shared" si="82"/>
        <v>-0.57634170253657968</v>
      </c>
      <c r="R181" s="75">
        <f t="shared" si="83"/>
        <v>-0.54096264414259121</v>
      </c>
    </row>
    <row r="182" spans="2:18">
      <c r="B182" s="81"/>
      <c r="C182">
        <v>20</v>
      </c>
      <c r="D182">
        <v>96</v>
      </c>
      <c r="E182">
        <v>1.908032</v>
      </c>
      <c r="F182" s="78"/>
      <c r="G182" s="75">
        <f t="shared" si="72"/>
        <v>0.46490514582383147</v>
      </c>
      <c r="H182" s="76">
        <f t="shared" si="73"/>
        <v>0.4</v>
      </c>
      <c r="I182" s="75">
        <f t="shared" si="74"/>
        <v>-0.43548387096774194</v>
      </c>
      <c r="J182" s="75">
        <f t="shared" si="75"/>
        <v>3.6826222178062529E-2</v>
      </c>
      <c r="K182" s="76">
        <f t="shared" si="76"/>
        <v>-0.54602903734993735</v>
      </c>
      <c r="L182" s="77">
        <f t="shared" si="77"/>
        <v>-8.1573952243367415E-2</v>
      </c>
      <c r="M182" s="76">
        <f t="shared" si="78"/>
        <v>-0.23821090835683537</v>
      </c>
      <c r="N182" s="77">
        <f t="shared" si="79"/>
        <v>0.34128772711029109</v>
      </c>
      <c r="O182" s="76">
        <f t="shared" si="80"/>
        <v>-0.60665436772322168</v>
      </c>
      <c r="P182" s="77">
        <f t="shared" si="81"/>
        <v>-7.0541044394152291E-2</v>
      </c>
      <c r="Q182" s="76">
        <f t="shared" si="82"/>
        <v>-0.54602903734993746</v>
      </c>
      <c r="R182" s="75">
        <f t="shared" si="83"/>
        <v>-0.54647909806719885</v>
      </c>
    </row>
    <row r="183" spans="2:18">
      <c r="B183" s="81"/>
      <c r="C183">
        <v>20</v>
      </c>
      <c r="D183">
        <v>128</v>
      </c>
      <c r="E183">
        <v>2.1569699999999998</v>
      </c>
      <c r="F183" s="78"/>
      <c r="G183" s="75">
        <f t="shared" si="72"/>
        <v>0.55989629138951236</v>
      </c>
      <c r="H183" s="76">
        <f t="shared" si="73"/>
        <v>0.4</v>
      </c>
      <c r="I183" s="75">
        <f t="shared" si="74"/>
        <v>-0.40322580645161288</v>
      </c>
      <c r="J183" s="75">
        <f t="shared" si="75"/>
        <v>0.14651254910401612</v>
      </c>
      <c r="K183" s="76">
        <f t="shared" si="76"/>
        <v>-0.51571637216329502</v>
      </c>
      <c r="L183" s="77">
        <f t="shared" si="77"/>
        <v>7.9007393977059276E-3</v>
      </c>
      <c r="M183" s="76">
        <f t="shared" si="78"/>
        <v>-0.20789824317019306</v>
      </c>
      <c r="N183" s="77">
        <f t="shared" si="79"/>
        <v>0.43076241875136445</v>
      </c>
      <c r="O183" s="76">
        <f t="shared" si="80"/>
        <v>-0.60665436772322168</v>
      </c>
      <c r="P183" s="77">
        <f t="shared" si="81"/>
        <v>2.4450101171528626E-2</v>
      </c>
      <c r="Q183" s="76">
        <f t="shared" si="82"/>
        <v>-0.51571637216329513</v>
      </c>
      <c r="R183" s="75">
        <f t="shared" si="83"/>
        <v>-0.55199555199180639</v>
      </c>
    </row>
    <row r="184" spans="2:18">
      <c r="B184" s="81"/>
      <c r="C184">
        <v>20</v>
      </c>
      <c r="D184">
        <v>160</v>
      </c>
      <c r="E184">
        <v>2.4652335000000001</v>
      </c>
      <c r="F184" s="78"/>
      <c r="G184" s="75">
        <f t="shared" si="72"/>
        <v>0.6775251909592297</v>
      </c>
      <c r="H184" s="76">
        <f t="shared" si="73"/>
        <v>0.4</v>
      </c>
      <c r="I184" s="75">
        <f t="shared" si="74"/>
        <v>-0.37096774193548387</v>
      </c>
      <c r="J184" s="75">
        <f t="shared" si="75"/>
        <v>0.28233870276612771</v>
      </c>
      <c r="K184" s="76">
        <f t="shared" si="76"/>
        <v>-0.48540370697665286</v>
      </c>
      <c r="L184" s="77">
        <f t="shared" si="77"/>
        <v>0.12001318504281577</v>
      </c>
      <c r="M184" s="76">
        <f t="shared" si="78"/>
        <v>-0.1775855779835509</v>
      </c>
      <c r="N184" s="77">
        <f t="shared" si="79"/>
        <v>0.54287486439647425</v>
      </c>
      <c r="O184" s="76">
        <f t="shared" si="80"/>
        <v>-0.60665436772322168</v>
      </c>
      <c r="P184" s="77">
        <f t="shared" si="81"/>
        <v>0.14207900074124602</v>
      </c>
      <c r="Q184" s="76">
        <f t="shared" si="82"/>
        <v>-0.48540370697665297</v>
      </c>
      <c r="R184" s="75">
        <f t="shared" si="83"/>
        <v>-0.55751200591641392</v>
      </c>
    </row>
    <row r="185" spans="2:18">
      <c r="B185" s="81"/>
      <c r="C185">
        <v>20</v>
      </c>
      <c r="D185">
        <v>192</v>
      </c>
      <c r="E185">
        <v>2.8149662499999999</v>
      </c>
      <c r="F185" s="78"/>
      <c r="G185" s="75">
        <f t="shared" si="72"/>
        <v>0.81097815741809054</v>
      </c>
      <c r="H185" s="76">
        <f t="shared" si="73"/>
        <v>0.4</v>
      </c>
      <c r="I185" s="75">
        <f t="shared" si="74"/>
        <v>-0.33870967741935487</v>
      </c>
      <c r="J185" s="75">
        <f t="shared" si="75"/>
        <v>0.43643691498448245</v>
      </c>
      <c r="K185" s="76">
        <f t="shared" si="76"/>
        <v>-0.45509104179001064</v>
      </c>
      <c r="L185" s="77">
        <f t="shared" si="77"/>
        <v>0.24794969757706903</v>
      </c>
      <c r="M185" s="76">
        <f t="shared" si="78"/>
        <v>-0.14727291279690871</v>
      </c>
      <c r="N185" s="77">
        <f t="shared" si="79"/>
        <v>0.67081137693072757</v>
      </c>
      <c r="O185" s="76">
        <f t="shared" si="80"/>
        <v>-0.60665436772322168</v>
      </c>
      <c r="P185" s="77">
        <f t="shared" si="81"/>
        <v>0.27553196720010686</v>
      </c>
      <c r="Q185" s="76">
        <f t="shared" si="82"/>
        <v>-0.45509104179001075</v>
      </c>
      <c r="R185" s="75">
        <f t="shared" si="83"/>
        <v>-0.56302845984102157</v>
      </c>
    </row>
    <row r="186" spans="2:18">
      <c r="B186" s="81"/>
      <c r="C186">
        <v>22</v>
      </c>
      <c r="D186">
        <v>32</v>
      </c>
      <c r="E186">
        <v>1.17812725</v>
      </c>
      <c r="F186" s="78"/>
      <c r="G186" s="75">
        <f t="shared" si="72"/>
        <v>0.18638403471852827</v>
      </c>
      <c r="H186" s="76">
        <f t="shared" si="73"/>
        <v>0.5</v>
      </c>
      <c r="I186" s="75">
        <f t="shared" si="74"/>
        <v>-0.5</v>
      </c>
      <c r="J186" s="75">
        <f t="shared" si="75"/>
        <v>-0.28478225476521835</v>
      </c>
      <c r="K186" s="76">
        <f t="shared" si="76"/>
        <v>-0.64085638205578854</v>
      </c>
      <c r="L186" s="77">
        <f t="shared" si="77"/>
        <v>-0.39604678653875081</v>
      </c>
      <c r="M186" s="76">
        <f t="shared" si="78"/>
        <v>-0.29883623873011983</v>
      </c>
      <c r="N186" s="77">
        <f t="shared" si="79"/>
        <v>7.3799523854203047E-2</v>
      </c>
      <c r="O186" s="76">
        <f t="shared" si="80"/>
        <v>-0.64085638205578854</v>
      </c>
      <c r="P186" s="77">
        <f t="shared" si="81"/>
        <v>-0.39604678653875081</v>
      </c>
      <c r="Q186" s="76">
        <f t="shared" si="82"/>
        <v>-0.64085638205578865</v>
      </c>
      <c r="R186" s="75">
        <f t="shared" si="83"/>
        <v>-0.58243082125727907</v>
      </c>
    </row>
    <row r="187" spans="2:18">
      <c r="B187" s="81"/>
      <c r="C187">
        <v>22</v>
      </c>
      <c r="D187">
        <v>64</v>
      </c>
      <c r="E187">
        <v>1.7332304999999999</v>
      </c>
      <c r="F187" s="78"/>
      <c r="G187" s="75">
        <f t="shared" si="72"/>
        <v>0.39820341795745751</v>
      </c>
      <c r="H187" s="76">
        <f t="shared" si="73"/>
        <v>0.5</v>
      </c>
      <c r="I187" s="75">
        <f t="shared" si="74"/>
        <v>-0.467741935483871</v>
      </c>
      <c r="J187" s="75">
        <f t="shared" si="75"/>
        <v>-4.0194298900065706E-2</v>
      </c>
      <c r="K187" s="76">
        <f t="shared" si="76"/>
        <v>-0.61054371686914644</v>
      </c>
      <c r="L187" s="77">
        <f t="shared" si="77"/>
        <v>-0.1897438572244291</v>
      </c>
      <c r="M187" s="76">
        <f t="shared" si="78"/>
        <v>-0.26852357354347756</v>
      </c>
      <c r="N187" s="77">
        <f t="shared" si="79"/>
        <v>0.28010245316852472</v>
      </c>
      <c r="O187" s="76">
        <f t="shared" si="80"/>
        <v>-0.64085638205578854</v>
      </c>
      <c r="P187" s="77">
        <f t="shared" si="81"/>
        <v>-0.18422740329982154</v>
      </c>
      <c r="Q187" s="76">
        <f t="shared" si="82"/>
        <v>-0.61054371686914655</v>
      </c>
      <c r="R187" s="75">
        <f t="shared" si="83"/>
        <v>-0.58794727518188661</v>
      </c>
    </row>
    <row r="188" spans="2:18">
      <c r="B188" s="81"/>
      <c r="C188">
        <v>22</v>
      </c>
      <c r="D188">
        <v>96</v>
      </c>
      <c r="E188">
        <v>1.96846425</v>
      </c>
      <c r="F188" s="78"/>
      <c r="G188" s="75">
        <f t="shared" si="72"/>
        <v>0.4879652196438653</v>
      </c>
      <c r="H188" s="76">
        <f t="shared" si="73"/>
        <v>0.5</v>
      </c>
      <c r="I188" s="75">
        <f t="shared" si="74"/>
        <v>-0.43548387096774194</v>
      </c>
      <c r="J188" s="75">
        <f t="shared" si="75"/>
        <v>6.3453701833121046E-2</v>
      </c>
      <c r="K188" s="76">
        <f t="shared" si="76"/>
        <v>-0.58023105168250422</v>
      </c>
      <c r="L188" s="77">
        <f t="shared" si="77"/>
        <v>-0.10549850946262881</v>
      </c>
      <c r="M188" s="76">
        <f t="shared" si="78"/>
        <v>-0.23821090835683537</v>
      </c>
      <c r="N188" s="77">
        <f t="shared" si="79"/>
        <v>0.36434780093032504</v>
      </c>
      <c r="O188" s="76">
        <f t="shared" si="80"/>
        <v>-0.64085638205578854</v>
      </c>
      <c r="P188" s="77">
        <f t="shared" si="81"/>
        <v>-9.4465601613413691E-2</v>
      </c>
      <c r="Q188" s="76">
        <f t="shared" si="82"/>
        <v>-0.58023105168250433</v>
      </c>
      <c r="R188" s="75">
        <f t="shared" si="83"/>
        <v>-0.59346372910649414</v>
      </c>
    </row>
    <row r="189" spans="2:18">
      <c r="B189" s="81"/>
      <c r="C189">
        <v>22</v>
      </c>
      <c r="D189">
        <v>128</v>
      </c>
      <c r="E189">
        <v>2.2645854999999999</v>
      </c>
      <c r="F189" s="78"/>
      <c r="G189" s="75">
        <f t="shared" si="72"/>
        <v>0.60096081197545548</v>
      </c>
      <c r="H189" s="76">
        <f t="shared" si="73"/>
        <v>0.5</v>
      </c>
      <c r="I189" s="75">
        <f t="shared" si="74"/>
        <v>-0.40322580645161288</v>
      </c>
      <c r="J189" s="75">
        <f t="shared" si="75"/>
        <v>0.19392977313289061</v>
      </c>
      <c r="K189" s="76">
        <f t="shared" si="76"/>
        <v>-0.54991838649586189</v>
      </c>
      <c r="L189" s="77">
        <f t="shared" si="77"/>
        <v>1.9806289443537461E-3</v>
      </c>
      <c r="M189" s="76">
        <f t="shared" si="78"/>
        <v>-0.20789824317019306</v>
      </c>
      <c r="N189" s="77">
        <f t="shared" si="79"/>
        <v>0.47182693933730763</v>
      </c>
      <c r="O189" s="76">
        <f t="shared" si="80"/>
        <v>-0.64085638205578854</v>
      </c>
      <c r="P189" s="77">
        <f t="shared" si="81"/>
        <v>1.8529990718176459E-2</v>
      </c>
      <c r="Q189" s="76">
        <f t="shared" si="82"/>
        <v>-0.549918386495862</v>
      </c>
      <c r="R189" s="75">
        <f t="shared" si="83"/>
        <v>-0.59898018303110179</v>
      </c>
    </row>
    <row r="190" spans="2:18">
      <c r="B190" s="83"/>
      <c r="C190" s="84">
        <v>22</v>
      </c>
      <c r="D190" s="84">
        <v>160</v>
      </c>
      <c r="E190" s="84">
        <v>2.63331925</v>
      </c>
      <c r="F190" s="78"/>
      <c r="G190" s="85">
        <f t="shared" ref="G190:G221" si="84">D$19*(L190-R190)</f>
        <v>0.74166428561639997</v>
      </c>
      <c r="H190" s="86">
        <f t="shared" ref="H190:H221" si="85">(C190-H$16)/H$17-0.5</f>
        <v>-0.34126984126984128</v>
      </c>
      <c r="I190" s="85">
        <f t="shared" ref="I190:I221" si="86">(D190-I$16)/I$17-0.5</f>
        <v>-0.37096774193548387</v>
      </c>
      <c r="J190" s="85">
        <f t="shared" ref="J190:J221" si="87">(E190-J$16)/J$17-0.5</f>
        <v>0.3564001498979199</v>
      </c>
      <c r="K190" s="86">
        <f t="shared" ref="K190:K221" si="88">(H190*$H$13+I190*$I$13+J190*$J$13+$D$27)*$C$27</f>
        <v>-0.23187448962254592</v>
      </c>
      <c r="L190" s="87">
        <f t="shared" ref="L190:L221" si="89">(H190*$H$14+I190*$I$14+J190*$J$14+$E$27)*$C$27</f>
        <v>0.53243517962619147</v>
      </c>
      <c r="M190" s="86">
        <f t="shared" ref="M190:M221" si="90">(H$27*$H$13+I190*$I$13+J190*$J$13+$D$27)*$C$27</f>
        <v>-0.17758557798355087</v>
      </c>
      <c r="N190" s="87">
        <f t="shared" ref="N190:N221" si="91">(H$27*$H$14+I190*$I$14+J190*$J$14+$E$27)*$C$27</f>
        <v>0.60701395905364453</v>
      </c>
      <c r="O190" s="86">
        <f t="shared" ref="O190:O221" si="92">(H190*$H$13+I$27*$I$13+J190*$J$13+$D$27)*$C$27</f>
        <v>-0.35312515036911474</v>
      </c>
      <c r="P190" s="87">
        <f t="shared" ref="P190:P221" si="93">(H190*$H$14+I$27*$I$14+J190*$J$14+$E$27)*$C$27</f>
        <v>0.55450099532462171</v>
      </c>
      <c r="Q190" s="86">
        <f t="shared" ref="Q190:Q221" si="94">(H190*$H$13+I190*$I$13+J$27*$J$13+$D$27)*$C$27</f>
        <v>-0.23187448962254603</v>
      </c>
      <c r="R190" s="85">
        <f t="shared" ref="R190:R221" si="95">(H190*$H$14+I190*$I$14+J$27*$J$14+$E$27)*$C$27</f>
        <v>-0.20922910599020844</v>
      </c>
    </row>
    <row r="191" spans="2:18">
      <c r="B191" s="83"/>
      <c r="C191" s="84">
        <v>24</v>
      </c>
      <c r="D191" s="84">
        <v>32</v>
      </c>
      <c r="E191" s="84">
        <v>1.2769765</v>
      </c>
      <c r="F191" s="78"/>
      <c r="G191" s="85">
        <f t="shared" si="84"/>
        <v>0.22410348090917967</v>
      </c>
      <c r="H191" s="86">
        <f t="shared" si="85"/>
        <v>-0.32539682539682541</v>
      </c>
      <c r="I191" s="85">
        <f t="shared" si="86"/>
        <v>-0.5</v>
      </c>
      <c r="J191" s="85">
        <f t="shared" si="87"/>
        <v>-0.24122758994150595</v>
      </c>
      <c r="K191" s="86">
        <f t="shared" si="88"/>
        <v>-0.35855404153301434</v>
      </c>
      <c r="L191" s="87">
        <f t="shared" si="89"/>
        <v>2.9482312674656175E-2</v>
      </c>
      <c r="M191" s="86">
        <f t="shared" si="90"/>
        <v>-0.29883623873011983</v>
      </c>
      <c r="N191" s="87">
        <f t="shared" si="91"/>
        <v>0.11151897004485448</v>
      </c>
      <c r="O191" s="86">
        <f t="shared" si="92"/>
        <v>-0.35855404153301434</v>
      </c>
      <c r="P191" s="87">
        <f t="shared" si="93"/>
        <v>2.9482312674656175E-2</v>
      </c>
      <c r="Q191" s="86">
        <f t="shared" si="94"/>
        <v>-0.35855404153301434</v>
      </c>
      <c r="R191" s="85">
        <f t="shared" si="95"/>
        <v>-0.1946211682345235</v>
      </c>
    </row>
    <row r="192" spans="2:18">
      <c r="B192" s="83"/>
      <c r="C192" s="84">
        <v>24</v>
      </c>
      <c r="D192" s="84">
        <v>64</v>
      </c>
      <c r="E192" s="84">
        <v>1.7739417500000001</v>
      </c>
      <c r="F192" s="78"/>
      <c r="G192" s="85">
        <f t="shared" si="84"/>
        <v>0.41373824299385553</v>
      </c>
      <c r="H192" s="86">
        <f t="shared" si="85"/>
        <v>-0.32539682539682541</v>
      </c>
      <c r="I192" s="85">
        <f t="shared" si="86"/>
        <v>-0.467741935483871</v>
      </c>
      <c r="J192" s="85">
        <f t="shared" si="87"/>
        <v>-2.2256228066909467E-2</v>
      </c>
      <c r="K192" s="86">
        <f t="shared" si="88"/>
        <v>-0.32824137634637213</v>
      </c>
      <c r="L192" s="87">
        <f t="shared" si="89"/>
        <v>0.21360062083472448</v>
      </c>
      <c r="M192" s="86">
        <f t="shared" si="90"/>
        <v>-0.26852357354347756</v>
      </c>
      <c r="N192" s="87">
        <f t="shared" si="91"/>
        <v>0.29563727820492275</v>
      </c>
      <c r="O192" s="86">
        <f t="shared" si="92"/>
        <v>-0.35855404153301429</v>
      </c>
      <c r="P192" s="87">
        <f t="shared" si="93"/>
        <v>0.21911707475933204</v>
      </c>
      <c r="Q192" s="86">
        <f t="shared" si="94"/>
        <v>-0.32824137634637218</v>
      </c>
      <c r="R192" s="85">
        <f t="shared" si="95"/>
        <v>-0.20013762215913106</v>
      </c>
    </row>
    <row r="193" spans="2:18">
      <c r="B193" s="83"/>
      <c r="C193" s="84">
        <v>24</v>
      </c>
      <c r="D193" s="84">
        <v>96</v>
      </c>
      <c r="E193" s="84">
        <v>2.0534187500000001</v>
      </c>
      <c r="F193" s="78"/>
      <c r="G193" s="85">
        <f t="shared" si="84"/>
        <v>0.52038262990649964</v>
      </c>
      <c r="H193" s="86">
        <f t="shared" si="85"/>
        <v>-0.32539682539682541</v>
      </c>
      <c r="I193" s="85">
        <f t="shared" si="86"/>
        <v>-0.43548387096774194</v>
      </c>
      <c r="J193" s="85">
        <f t="shared" si="87"/>
        <v>0.10088610291624589</v>
      </c>
      <c r="K193" s="86">
        <f t="shared" si="88"/>
        <v>-0.29792871115972991</v>
      </c>
      <c r="L193" s="87">
        <f t="shared" si="89"/>
        <v>0.31472855382276099</v>
      </c>
      <c r="M193" s="86">
        <f t="shared" si="90"/>
        <v>-0.23821090835683537</v>
      </c>
      <c r="N193" s="87">
        <f t="shared" si="91"/>
        <v>0.39676521119295932</v>
      </c>
      <c r="O193" s="86">
        <f t="shared" si="92"/>
        <v>-0.35855404153301429</v>
      </c>
      <c r="P193" s="87">
        <f t="shared" si="93"/>
        <v>0.32576146167197617</v>
      </c>
      <c r="Q193" s="86">
        <f t="shared" si="94"/>
        <v>-0.29792871115972996</v>
      </c>
      <c r="R193" s="85">
        <f t="shared" si="95"/>
        <v>-0.20565407608373862</v>
      </c>
    </row>
    <row r="194" spans="2:18">
      <c r="B194" s="83"/>
      <c r="C194" s="84">
        <v>24</v>
      </c>
      <c r="D194" s="84">
        <v>128</v>
      </c>
      <c r="E194" s="84">
        <v>2.3984939999999999</v>
      </c>
      <c r="F194" s="78"/>
      <c r="G194" s="85">
        <f t="shared" si="84"/>
        <v>0.65205836163031738</v>
      </c>
      <c r="H194" s="86">
        <f t="shared" si="85"/>
        <v>-0.32539682539682541</v>
      </c>
      <c r="I194" s="85">
        <f t="shared" si="86"/>
        <v>-0.40322580645161288</v>
      </c>
      <c r="J194" s="85">
        <f t="shared" si="87"/>
        <v>0.25293214122922014</v>
      </c>
      <c r="K194" s="86">
        <f t="shared" si="88"/>
        <v>-0.26761604597308758</v>
      </c>
      <c r="L194" s="87">
        <f t="shared" si="89"/>
        <v>0.4408878316219712</v>
      </c>
      <c r="M194" s="86">
        <f t="shared" si="90"/>
        <v>-0.20789824317019306</v>
      </c>
      <c r="N194" s="87">
        <f t="shared" si="91"/>
        <v>0.52292448899216948</v>
      </c>
      <c r="O194" s="86">
        <f t="shared" si="92"/>
        <v>-0.35855404153301423</v>
      </c>
      <c r="P194" s="87">
        <f t="shared" si="93"/>
        <v>0.45743719339579392</v>
      </c>
      <c r="Q194" s="86">
        <f t="shared" si="94"/>
        <v>-0.26761604597308769</v>
      </c>
      <c r="R194" s="85">
        <f t="shared" si="95"/>
        <v>-0.21117053000834618</v>
      </c>
    </row>
    <row r="195" spans="2:18">
      <c r="B195" s="83"/>
      <c r="C195" s="84">
        <v>24</v>
      </c>
      <c r="D195" s="84">
        <v>160</v>
      </c>
      <c r="E195" s="84">
        <v>2.814092</v>
      </c>
      <c r="F195" s="78"/>
      <c r="G195" s="85">
        <f t="shared" si="84"/>
        <v>0.81064455624426102</v>
      </c>
      <c r="H195" s="86">
        <f t="shared" si="85"/>
        <v>-0.32539682539682541</v>
      </c>
      <c r="I195" s="85">
        <f t="shared" si="86"/>
        <v>-0.37096774193548387</v>
      </c>
      <c r="J195" s="85">
        <f t="shared" si="87"/>
        <v>0.4360517055294576</v>
      </c>
      <c r="K195" s="86">
        <f t="shared" si="88"/>
        <v>-0.23730338078644542</v>
      </c>
      <c r="L195" s="87">
        <f t="shared" si="89"/>
        <v>0.5939575723113073</v>
      </c>
      <c r="M195" s="86">
        <f t="shared" si="90"/>
        <v>-0.17758557798355087</v>
      </c>
      <c r="N195" s="87">
        <f t="shared" si="91"/>
        <v>0.67599422968150558</v>
      </c>
      <c r="O195" s="86">
        <f t="shared" si="92"/>
        <v>-0.35855404153301423</v>
      </c>
      <c r="P195" s="87">
        <f t="shared" si="93"/>
        <v>0.61602338800973755</v>
      </c>
      <c r="Q195" s="86">
        <f t="shared" si="94"/>
        <v>-0.23730338078644553</v>
      </c>
      <c r="R195" s="85">
        <f t="shared" si="95"/>
        <v>-0.21668698393295374</v>
      </c>
    </row>
    <row r="196" spans="2:18">
      <c r="B196" s="83"/>
      <c r="C196" s="84">
        <v>26</v>
      </c>
      <c r="D196" s="84">
        <v>32</v>
      </c>
      <c r="E196" s="84">
        <v>1.36662325</v>
      </c>
      <c r="F196" s="78"/>
      <c r="G196" s="85">
        <f t="shared" si="84"/>
        <v>0.25831138600498749</v>
      </c>
      <c r="H196" s="86">
        <f t="shared" si="85"/>
        <v>-0.30952380952380953</v>
      </c>
      <c r="I196" s="85">
        <f t="shared" si="86"/>
        <v>-0.5</v>
      </c>
      <c r="J196" s="85">
        <f t="shared" si="87"/>
        <v>-0.2017277035105503</v>
      </c>
      <c r="K196" s="86">
        <f t="shared" si="88"/>
        <v>-0.36398293269691379</v>
      </c>
      <c r="L196" s="87">
        <f t="shared" si="89"/>
        <v>5.6232339827718691E-2</v>
      </c>
      <c r="M196" s="86">
        <f t="shared" si="90"/>
        <v>-0.29883623873011977</v>
      </c>
      <c r="N196" s="87">
        <f t="shared" si="91"/>
        <v>0.14572687514066229</v>
      </c>
      <c r="O196" s="86">
        <f t="shared" si="92"/>
        <v>-0.36398293269691379</v>
      </c>
      <c r="P196" s="87">
        <f t="shared" si="93"/>
        <v>5.6232339827718691E-2</v>
      </c>
      <c r="Q196" s="86">
        <f t="shared" si="94"/>
        <v>-0.36398293269691384</v>
      </c>
      <c r="R196" s="85">
        <f t="shared" si="95"/>
        <v>-0.2020790461772688</v>
      </c>
    </row>
    <row r="197" spans="2:18">
      <c r="B197" s="83"/>
      <c r="C197" s="84">
        <v>26</v>
      </c>
      <c r="D197" s="84">
        <v>64</v>
      </c>
      <c r="E197" s="84">
        <v>1.8127215000000001</v>
      </c>
      <c r="F197" s="78"/>
      <c r="G197" s="85">
        <f t="shared" si="84"/>
        <v>0.42853603552553299</v>
      </c>
      <c r="H197" s="86">
        <f t="shared" si="85"/>
        <v>-0.30952380952380953</v>
      </c>
      <c r="I197" s="85">
        <f t="shared" si="86"/>
        <v>-0.467741935483871</v>
      </c>
      <c r="J197" s="85">
        <f t="shared" si="87"/>
        <v>-5.1692090637570631E-3</v>
      </c>
      <c r="K197" s="86">
        <f t="shared" si="88"/>
        <v>-0.33367026751027162</v>
      </c>
      <c r="L197" s="87">
        <f t="shared" si="89"/>
        <v>0.2209405354236566</v>
      </c>
      <c r="M197" s="86">
        <f t="shared" si="90"/>
        <v>-0.26852357354347756</v>
      </c>
      <c r="N197" s="87">
        <f t="shared" si="91"/>
        <v>0.3104350707366002</v>
      </c>
      <c r="O197" s="86">
        <f t="shared" si="92"/>
        <v>-0.36398293269691379</v>
      </c>
      <c r="P197" s="87">
        <f t="shared" si="93"/>
        <v>0.22645698934826416</v>
      </c>
      <c r="Q197" s="86">
        <f t="shared" si="94"/>
        <v>-0.33367026751027168</v>
      </c>
      <c r="R197" s="85">
        <f t="shared" si="95"/>
        <v>-0.20759550010187636</v>
      </c>
    </row>
    <row r="198" spans="2:18">
      <c r="B198" s="83"/>
      <c r="C198" s="84">
        <v>26</v>
      </c>
      <c r="D198" s="84">
        <v>96</v>
      </c>
      <c r="E198" s="84">
        <v>2.1288149999999999</v>
      </c>
      <c r="F198" s="78"/>
      <c r="G198" s="85">
        <f t="shared" si="84"/>
        <v>0.54915275001213426</v>
      </c>
      <c r="H198" s="86">
        <f t="shared" si="85"/>
        <v>-0.30952380952380953</v>
      </c>
      <c r="I198" s="85">
        <f t="shared" si="86"/>
        <v>-0.43548387096774194</v>
      </c>
      <c r="J198" s="85">
        <f t="shared" si="87"/>
        <v>0.13410697609145783</v>
      </c>
      <c r="K198" s="86">
        <f t="shared" si="88"/>
        <v>-0.30335760232362941</v>
      </c>
      <c r="L198" s="87">
        <f t="shared" si="89"/>
        <v>0.33604079598565029</v>
      </c>
      <c r="M198" s="86">
        <f t="shared" si="90"/>
        <v>-0.23821090835683534</v>
      </c>
      <c r="N198" s="87">
        <f t="shared" si="91"/>
        <v>0.42553533129859389</v>
      </c>
      <c r="O198" s="86">
        <f t="shared" si="92"/>
        <v>-0.36398293269691379</v>
      </c>
      <c r="P198" s="87">
        <f t="shared" si="93"/>
        <v>0.34707370383486541</v>
      </c>
      <c r="Q198" s="86">
        <f t="shared" si="94"/>
        <v>-0.30335760232362946</v>
      </c>
      <c r="R198" s="85">
        <f t="shared" si="95"/>
        <v>-0.21311195402648392</v>
      </c>
    </row>
    <row r="199" spans="2:18">
      <c r="B199" s="83"/>
      <c r="C199" s="84">
        <v>26</v>
      </c>
      <c r="D199" s="84">
        <v>128</v>
      </c>
      <c r="E199" s="84">
        <v>2.5265037499999998</v>
      </c>
      <c r="F199" s="78"/>
      <c r="G199" s="85">
        <f t="shared" si="84"/>
        <v>0.70090503347662614</v>
      </c>
      <c r="H199" s="86">
        <f t="shared" si="85"/>
        <v>-0.30952380952380953</v>
      </c>
      <c r="I199" s="85">
        <f t="shared" si="86"/>
        <v>-0.40322580645161288</v>
      </c>
      <c r="J199" s="85">
        <f t="shared" si="87"/>
        <v>0.30933541950818744</v>
      </c>
      <c r="K199" s="86">
        <f t="shared" si="88"/>
        <v>-0.27304493713698708</v>
      </c>
      <c r="L199" s="87">
        <f t="shared" si="89"/>
        <v>0.48227662552553463</v>
      </c>
      <c r="M199" s="86">
        <f t="shared" si="90"/>
        <v>-0.20789824317019306</v>
      </c>
      <c r="N199" s="87">
        <f t="shared" si="91"/>
        <v>0.57177116083847823</v>
      </c>
      <c r="O199" s="86">
        <f t="shared" si="92"/>
        <v>-0.36398293269691373</v>
      </c>
      <c r="P199" s="87">
        <f t="shared" si="93"/>
        <v>0.49882598729935734</v>
      </c>
      <c r="Q199" s="86">
        <f t="shared" si="94"/>
        <v>-0.27304493713698719</v>
      </c>
      <c r="R199" s="85">
        <f t="shared" si="95"/>
        <v>-0.21862840795109151</v>
      </c>
    </row>
    <row r="200" spans="2:18">
      <c r="B200" s="83"/>
      <c r="C200" s="84">
        <v>28</v>
      </c>
      <c r="D200" s="84">
        <v>32</v>
      </c>
      <c r="E200" s="84">
        <v>1.439284</v>
      </c>
      <c r="F200" s="78"/>
      <c r="G200" s="85">
        <f t="shared" si="84"/>
        <v>0.28603767881750131</v>
      </c>
      <c r="H200" s="86">
        <f t="shared" si="85"/>
        <v>-0.29365079365079366</v>
      </c>
      <c r="I200" s="85">
        <f t="shared" si="86"/>
        <v>-0.5</v>
      </c>
      <c r="J200" s="85">
        <f t="shared" si="87"/>
        <v>-0.16971213827267984</v>
      </c>
      <c r="K200" s="86">
        <f t="shared" si="88"/>
        <v>-0.36941182386081328</v>
      </c>
      <c r="L200" s="87">
        <f t="shared" si="89"/>
        <v>7.6500754697487211E-2</v>
      </c>
      <c r="M200" s="86">
        <f t="shared" si="90"/>
        <v>-0.29883623873011977</v>
      </c>
      <c r="N200" s="87">
        <f t="shared" si="91"/>
        <v>0.17345316795317611</v>
      </c>
      <c r="O200" s="86">
        <f t="shared" si="92"/>
        <v>-0.36941182386081328</v>
      </c>
      <c r="P200" s="87">
        <f t="shared" si="93"/>
        <v>7.6500754697487211E-2</v>
      </c>
      <c r="Q200" s="86">
        <f t="shared" si="94"/>
        <v>-0.36941182386081334</v>
      </c>
      <c r="R200" s="85">
        <f t="shared" si="95"/>
        <v>-0.2095369241200141</v>
      </c>
    </row>
    <row r="201" spans="2:18">
      <c r="B201" s="83"/>
      <c r="C201" s="84">
        <v>28</v>
      </c>
      <c r="D201" s="84">
        <v>64</v>
      </c>
      <c r="E201" s="84">
        <v>1.8608359999999999</v>
      </c>
      <c r="F201" s="78"/>
      <c r="G201" s="85">
        <f t="shared" si="84"/>
        <v>0.44689583384206133</v>
      </c>
      <c r="H201" s="86">
        <f t="shared" si="85"/>
        <v>-0.29365079365079366</v>
      </c>
      <c r="I201" s="85">
        <f t="shared" si="86"/>
        <v>-0.467741935483871</v>
      </c>
      <c r="J201" s="85">
        <f t="shared" si="87"/>
        <v>1.6030859936872699E-2</v>
      </c>
      <c r="K201" s="86">
        <f t="shared" si="88"/>
        <v>-0.33909915867417117</v>
      </c>
      <c r="L201" s="87">
        <f t="shared" si="89"/>
        <v>0.23184245579743964</v>
      </c>
      <c r="M201" s="86">
        <f t="shared" si="90"/>
        <v>-0.26852357354347756</v>
      </c>
      <c r="N201" s="87">
        <f t="shared" si="91"/>
        <v>0.32879486905312855</v>
      </c>
      <c r="O201" s="86">
        <f t="shared" si="92"/>
        <v>-0.36941182386081328</v>
      </c>
      <c r="P201" s="87">
        <f t="shared" si="93"/>
        <v>0.23735890972204721</v>
      </c>
      <c r="Q201" s="86">
        <f t="shared" si="94"/>
        <v>-0.33909915867417123</v>
      </c>
      <c r="R201" s="85">
        <f t="shared" si="95"/>
        <v>-0.21505337804462166</v>
      </c>
    </row>
    <row r="202" spans="2:18">
      <c r="B202" s="83"/>
      <c r="C202" s="84">
        <v>28</v>
      </c>
      <c r="D202" s="84">
        <v>96</v>
      </c>
      <c r="E202" s="84">
        <v>2.2042302500000002</v>
      </c>
      <c r="F202" s="78"/>
      <c r="G202" s="85">
        <f t="shared" si="84"/>
        <v>0.57793012024336543</v>
      </c>
      <c r="H202" s="86">
        <f t="shared" si="85"/>
        <v>-0.29365079365079366</v>
      </c>
      <c r="I202" s="85">
        <f t="shared" si="86"/>
        <v>-0.43548387096774194</v>
      </c>
      <c r="J202" s="85">
        <f t="shared" si="87"/>
        <v>0.16733622099059964</v>
      </c>
      <c r="K202" s="86">
        <f t="shared" si="88"/>
        <v>-0.30878649348752896</v>
      </c>
      <c r="L202" s="87">
        <f t="shared" si="89"/>
        <v>0.35736028827413624</v>
      </c>
      <c r="M202" s="86">
        <f t="shared" si="90"/>
        <v>-0.23821090835683534</v>
      </c>
      <c r="N202" s="87">
        <f t="shared" si="91"/>
        <v>0.45431270152982517</v>
      </c>
      <c r="O202" s="86">
        <f t="shared" si="92"/>
        <v>-0.36941182386081328</v>
      </c>
      <c r="P202" s="87">
        <f t="shared" si="93"/>
        <v>0.36839319612335142</v>
      </c>
      <c r="Q202" s="86">
        <f t="shared" si="94"/>
        <v>-0.30878649348752901</v>
      </c>
      <c r="R202" s="85">
        <f t="shared" si="95"/>
        <v>-0.22056983196922922</v>
      </c>
    </row>
    <row r="203" spans="2:18">
      <c r="B203" s="83"/>
      <c r="C203" s="84">
        <v>28</v>
      </c>
      <c r="D203" s="84">
        <v>128</v>
      </c>
      <c r="E203" s="84">
        <v>2.670353</v>
      </c>
      <c r="F203" s="78"/>
      <c r="G203" s="85">
        <f t="shared" si="84"/>
        <v>0.75579582976431259</v>
      </c>
      <c r="H203" s="86">
        <f t="shared" si="85"/>
        <v>-0.29365079365079366</v>
      </c>
      <c r="I203" s="85">
        <f t="shared" si="86"/>
        <v>-0.40322580645161288</v>
      </c>
      <c r="J203" s="85">
        <f t="shared" si="87"/>
        <v>0.37271785153364467</v>
      </c>
      <c r="K203" s="86">
        <f t="shared" si="88"/>
        <v>-0.27847382830088657</v>
      </c>
      <c r="L203" s="87">
        <f t="shared" si="89"/>
        <v>0.52970954387047575</v>
      </c>
      <c r="M203" s="86">
        <f t="shared" si="90"/>
        <v>-0.20789824317019304</v>
      </c>
      <c r="N203" s="87">
        <f t="shared" si="91"/>
        <v>0.62666195712616457</v>
      </c>
      <c r="O203" s="86">
        <f t="shared" si="92"/>
        <v>-0.36941182386081323</v>
      </c>
      <c r="P203" s="87">
        <f t="shared" si="93"/>
        <v>0.54625890564429835</v>
      </c>
      <c r="Q203" s="86">
        <f t="shared" si="94"/>
        <v>-0.27847382830088668</v>
      </c>
      <c r="R203" s="85">
        <f t="shared" si="95"/>
        <v>-0.22608628589383678</v>
      </c>
    </row>
    <row r="204" spans="2:18">
      <c r="B204" s="83"/>
      <c r="C204" s="84">
        <v>30</v>
      </c>
      <c r="D204" s="84">
        <v>32</v>
      </c>
      <c r="E204" s="84">
        <v>1.57712875</v>
      </c>
      <c r="F204" s="78"/>
      <c r="G204" s="85">
        <f t="shared" si="84"/>
        <v>0.33863724462390643</v>
      </c>
      <c r="H204" s="86">
        <f t="shared" si="85"/>
        <v>-0.27777777777777779</v>
      </c>
      <c r="I204" s="85">
        <f t="shared" si="86"/>
        <v>-0.5</v>
      </c>
      <c r="J204" s="85">
        <f t="shared" si="87"/>
        <v>-0.10897539131750894</v>
      </c>
      <c r="K204" s="86">
        <f t="shared" si="88"/>
        <v>-0.37484071502471283</v>
      </c>
      <c r="L204" s="87">
        <f t="shared" si="89"/>
        <v>0.12164244256114706</v>
      </c>
      <c r="M204" s="86">
        <f t="shared" si="90"/>
        <v>-0.29883623873011977</v>
      </c>
      <c r="N204" s="87">
        <f t="shared" si="91"/>
        <v>0.22605273375958126</v>
      </c>
      <c r="O204" s="86">
        <f t="shared" si="92"/>
        <v>-0.37484071502471283</v>
      </c>
      <c r="P204" s="87">
        <f t="shared" si="93"/>
        <v>0.12164244256114706</v>
      </c>
      <c r="Q204" s="86">
        <f t="shared" si="94"/>
        <v>-0.37484071502471289</v>
      </c>
      <c r="R204" s="85">
        <f t="shared" si="95"/>
        <v>-0.2169948020627594</v>
      </c>
    </row>
    <row r="205" spans="2:18">
      <c r="B205" s="83"/>
      <c r="C205" s="84">
        <v>30</v>
      </c>
      <c r="D205" s="84">
        <v>64</v>
      </c>
      <c r="E205" s="84">
        <v>1.9092415</v>
      </c>
      <c r="F205" s="78"/>
      <c r="G205" s="85">
        <f t="shared" si="84"/>
        <v>0.46536667355588396</v>
      </c>
      <c r="H205" s="86">
        <f t="shared" si="85"/>
        <v>-0.27777777777777779</v>
      </c>
      <c r="I205" s="85">
        <f t="shared" si="86"/>
        <v>-0.467741935483871</v>
      </c>
      <c r="J205" s="85">
        <f t="shared" si="87"/>
        <v>3.7359148498740558E-2</v>
      </c>
      <c r="K205" s="86">
        <f t="shared" si="88"/>
        <v>-0.34452804983807067</v>
      </c>
      <c r="L205" s="87">
        <f t="shared" si="89"/>
        <v>0.242855417568517</v>
      </c>
      <c r="M205" s="86">
        <f t="shared" si="90"/>
        <v>-0.26852357354347756</v>
      </c>
      <c r="N205" s="87">
        <f t="shared" si="91"/>
        <v>0.34726570876695118</v>
      </c>
      <c r="O205" s="86">
        <f t="shared" si="92"/>
        <v>-0.37484071502471283</v>
      </c>
      <c r="P205" s="87">
        <f t="shared" si="93"/>
        <v>0.24837187149312456</v>
      </c>
      <c r="Q205" s="86">
        <f t="shared" si="94"/>
        <v>-0.34452804983807073</v>
      </c>
      <c r="R205" s="85">
        <f t="shared" si="95"/>
        <v>-0.22251125598736696</v>
      </c>
    </row>
    <row r="206" spans="2:18">
      <c r="B206" s="83"/>
      <c r="C206" s="84">
        <v>30</v>
      </c>
      <c r="D206" s="84">
        <v>96</v>
      </c>
      <c r="E206" s="84">
        <v>2.2966782499999998</v>
      </c>
      <c r="F206" s="78"/>
      <c r="G206" s="85">
        <f t="shared" si="84"/>
        <v>0.61320694188271352</v>
      </c>
      <c r="H206" s="86">
        <f t="shared" si="85"/>
        <v>-0.27777777777777779</v>
      </c>
      <c r="I206" s="85">
        <f t="shared" si="86"/>
        <v>-0.43548387096774194</v>
      </c>
      <c r="J206" s="85">
        <f t="shared" si="87"/>
        <v>0.20807038592986371</v>
      </c>
      <c r="K206" s="86">
        <f t="shared" si="88"/>
        <v>-0.31421538465142845</v>
      </c>
      <c r="L206" s="87">
        <f t="shared" si="89"/>
        <v>0.38517923197073906</v>
      </c>
      <c r="M206" s="86">
        <f t="shared" si="90"/>
        <v>-0.23821090835683534</v>
      </c>
      <c r="N206" s="87">
        <f t="shared" si="91"/>
        <v>0.48958952316917326</v>
      </c>
      <c r="O206" s="86">
        <f t="shared" si="92"/>
        <v>-0.37484071502471283</v>
      </c>
      <c r="P206" s="87">
        <f t="shared" si="93"/>
        <v>0.39621213981995418</v>
      </c>
      <c r="Q206" s="86">
        <f t="shared" si="94"/>
        <v>-0.31421538465142851</v>
      </c>
      <c r="R206" s="85">
        <f t="shared" si="95"/>
        <v>-0.22802770991197452</v>
      </c>
    </row>
    <row r="207" spans="2:18">
      <c r="B207" s="83"/>
      <c r="C207" s="84">
        <v>30</v>
      </c>
      <c r="D207" s="84">
        <v>128</v>
      </c>
      <c r="E207" s="84">
        <v>2.81567225</v>
      </c>
      <c r="F207" s="78"/>
      <c r="G207" s="85">
        <f t="shared" si="84"/>
        <v>0.81124755682183514</v>
      </c>
      <c r="H207" s="86">
        <f t="shared" si="85"/>
        <v>-0.27777777777777779</v>
      </c>
      <c r="I207" s="85">
        <f t="shared" si="86"/>
        <v>-0.40322580645161288</v>
      </c>
      <c r="J207" s="85">
        <f t="shared" si="87"/>
        <v>0.43674799062102543</v>
      </c>
      <c r="K207" s="86">
        <f t="shared" si="88"/>
        <v>-0.28390271946478612</v>
      </c>
      <c r="L207" s="87">
        <f t="shared" si="89"/>
        <v>0.57770339298525308</v>
      </c>
      <c r="M207" s="86">
        <f t="shared" si="90"/>
        <v>-0.20789824317019304</v>
      </c>
      <c r="N207" s="87">
        <f t="shared" si="91"/>
        <v>0.68211368418368723</v>
      </c>
      <c r="O207" s="86">
        <f t="shared" si="92"/>
        <v>-0.37484071502471278</v>
      </c>
      <c r="P207" s="87">
        <f t="shared" si="93"/>
        <v>0.59425275475907569</v>
      </c>
      <c r="Q207" s="86">
        <f t="shared" si="94"/>
        <v>-0.28390271946478624</v>
      </c>
      <c r="R207" s="85">
        <f t="shared" si="95"/>
        <v>-0.23354416383658211</v>
      </c>
    </row>
    <row r="208" spans="2:18">
      <c r="B208" s="83"/>
      <c r="C208" s="84">
        <v>32</v>
      </c>
      <c r="D208" s="84">
        <v>32</v>
      </c>
      <c r="E208" s="84">
        <v>1.6362669999999999</v>
      </c>
      <c r="F208" s="78"/>
      <c r="G208" s="85">
        <f t="shared" si="84"/>
        <v>0.36120354673226129</v>
      </c>
      <c r="H208" s="86">
        <f t="shared" si="85"/>
        <v>-0.26190476190476192</v>
      </c>
      <c r="I208" s="85">
        <f t="shared" si="86"/>
        <v>-0.5</v>
      </c>
      <c r="J208" s="85">
        <f t="shared" si="87"/>
        <v>-8.2918070123762788E-2</v>
      </c>
      <c r="K208" s="86">
        <f t="shared" si="88"/>
        <v>-0.38026960618861233</v>
      </c>
      <c r="L208" s="87">
        <f t="shared" si="89"/>
        <v>0.13675086672675663</v>
      </c>
      <c r="M208" s="86">
        <f t="shared" si="90"/>
        <v>-0.29883623873011977</v>
      </c>
      <c r="N208" s="87">
        <f t="shared" si="91"/>
        <v>0.2486190358679361</v>
      </c>
      <c r="O208" s="86">
        <f t="shared" si="92"/>
        <v>-0.38026960618861233</v>
      </c>
      <c r="P208" s="87">
        <f t="shared" si="93"/>
        <v>0.13675086672675663</v>
      </c>
      <c r="Q208" s="86">
        <f t="shared" si="94"/>
        <v>-0.38026960618861239</v>
      </c>
      <c r="R208" s="85">
        <f t="shared" si="95"/>
        <v>-0.22445268000550467</v>
      </c>
    </row>
    <row r="209" spans="2:18">
      <c r="B209" s="83"/>
      <c r="C209" s="84">
        <v>32</v>
      </c>
      <c r="D209" s="84">
        <v>64</v>
      </c>
      <c r="E209" s="84">
        <v>1.9462727500000001</v>
      </c>
      <c r="F209" s="78"/>
      <c r="G209" s="85">
        <f t="shared" si="84"/>
        <v>0.4794972637399022</v>
      </c>
      <c r="H209" s="86">
        <f t="shared" si="85"/>
        <v>-0.26190476190476192</v>
      </c>
      <c r="I209" s="85">
        <f t="shared" si="86"/>
        <v>-0.467741935483871</v>
      </c>
      <c r="J209" s="85">
        <f t="shared" si="87"/>
        <v>5.3675748591842987E-2</v>
      </c>
      <c r="K209" s="86">
        <f t="shared" si="88"/>
        <v>-0.34995694100197017</v>
      </c>
      <c r="L209" s="87">
        <f t="shared" si="89"/>
        <v>0.24952812980978994</v>
      </c>
      <c r="M209" s="86">
        <f t="shared" si="90"/>
        <v>-0.26852357354347756</v>
      </c>
      <c r="N209" s="87">
        <f t="shared" si="91"/>
        <v>0.36139629895096942</v>
      </c>
      <c r="O209" s="86">
        <f t="shared" si="92"/>
        <v>-0.38026960618861233</v>
      </c>
      <c r="P209" s="87">
        <f t="shared" si="93"/>
        <v>0.25504458373439753</v>
      </c>
      <c r="Q209" s="86">
        <f t="shared" si="94"/>
        <v>-0.34995694100197022</v>
      </c>
      <c r="R209" s="85">
        <f t="shared" si="95"/>
        <v>-0.22996913393011226</v>
      </c>
    </row>
    <row r="210" spans="2:18">
      <c r="B210" s="83"/>
      <c r="C210" s="84">
        <v>32</v>
      </c>
      <c r="D210" s="84">
        <v>96</v>
      </c>
      <c r="E210" s="84">
        <v>2.3968872499999998</v>
      </c>
      <c r="F210" s="78"/>
      <c r="G210" s="85">
        <f t="shared" si="84"/>
        <v>0.65144524903546386</v>
      </c>
      <c r="H210" s="86">
        <f t="shared" si="85"/>
        <v>-0.26190476190476192</v>
      </c>
      <c r="I210" s="85">
        <f t="shared" si="86"/>
        <v>-0.43548387096774194</v>
      </c>
      <c r="J210" s="85">
        <f t="shared" si="87"/>
        <v>0.25222417978585554</v>
      </c>
      <c r="K210" s="86">
        <f t="shared" si="88"/>
        <v>-0.31964427581532789</v>
      </c>
      <c r="L210" s="87">
        <f t="shared" si="89"/>
        <v>0.41595966118074401</v>
      </c>
      <c r="M210" s="86">
        <f t="shared" si="90"/>
        <v>-0.23821090835683534</v>
      </c>
      <c r="N210" s="87">
        <f t="shared" si="91"/>
        <v>0.52782783032192349</v>
      </c>
      <c r="O210" s="86">
        <f t="shared" si="92"/>
        <v>-0.38026960618861227</v>
      </c>
      <c r="P210" s="87">
        <f t="shared" si="93"/>
        <v>0.42699256902995908</v>
      </c>
      <c r="Q210" s="86">
        <f t="shared" si="94"/>
        <v>-0.31964427581532801</v>
      </c>
      <c r="R210" s="85">
        <f t="shared" si="95"/>
        <v>-0.23548558785471979</v>
      </c>
    </row>
    <row r="211" spans="2:18">
      <c r="B211" s="83"/>
      <c r="C211" s="84">
        <v>32</v>
      </c>
      <c r="D211" s="84">
        <v>128</v>
      </c>
      <c r="E211" s="84">
        <v>2.9592255000000001</v>
      </c>
      <c r="F211" s="78"/>
      <c r="G211" s="85">
        <f t="shared" si="84"/>
        <v>0.86602540378443871</v>
      </c>
      <c r="H211" s="86">
        <f t="shared" si="85"/>
        <v>-0.26190476190476192</v>
      </c>
      <c r="I211" s="85">
        <f t="shared" si="86"/>
        <v>-0.40322580645161288</v>
      </c>
      <c r="J211" s="85">
        <f t="shared" si="87"/>
        <v>0.5</v>
      </c>
      <c r="K211" s="86">
        <f t="shared" si="88"/>
        <v>-0.28933161062868562</v>
      </c>
      <c r="L211" s="87">
        <f t="shared" si="89"/>
        <v>0.62502336200511133</v>
      </c>
      <c r="M211" s="86">
        <f t="shared" si="90"/>
        <v>-0.20789824317019304</v>
      </c>
      <c r="N211" s="87">
        <f t="shared" si="91"/>
        <v>0.7368915311462908</v>
      </c>
      <c r="O211" s="86">
        <f t="shared" si="92"/>
        <v>-0.38026960618861227</v>
      </c>
      <c r="P211" s="87">
        <f t="shared" si="93"/>
        <v>0.64157272377893404</v>
      </c>
      <c r="Q211" s="86">
        <f t="shared" si="94"/>
        <v>-0.28933161062868573</v>
      </c>
      <c r="R211" s="85">
        <f t="shared" si="95"/>
        <v>-0.24100204177932738</v>
      </c>
    </row>
    <row r="212" spans="2:18">
      <c r="B212" s="83"/>
      <c r="C212" s="84">
        <v>34</v>
      </c>
      <c r="D212" s="84">
        <v>32</v>
      </c>
      <c r="E212" s="84">
        <v>1.653705</v>
      </c>
      <c r="F212" s="78"/>
      <c r="G212" s="85">
        <f t="shared" si="84"/>
        <v>0.36785763568764113</v>
      </c>
      <c r="H212" s="86">
        <f t="shared" si="85"/>
        <v>-0.24603174603174605</v>
      </c>
      <c r="I212" s="85">
        <f t="shared" si="86"/>
        <v>-0.5</v>
      </c>
      <c r="J212" s="85">
        <f t="shared" si="87"/>
        <v>-7.5234590024562231E-2</v>
      </c>
      <c r="K212" s="86">
        <f t="shared" si="88"/>
        <v>-0.38569849735251183</v>
      </c>
      <c r="L212" s="87">
        <f t="shared" si="89"/>
        <v>0.13594707773939113</v>
      </c>
      <c r="M212" s="86">
        <f t="shared" si="90"/>
        <v>-0.29883623873011977</v>
      </c>
      <c r="N212" s="87">
        <f t="shared" si="91"/>
        <v>0.25527312482331593</v>
      </c>
      <c r="O212" s="86">
        <f t="shared" si="92"/>
        <v>-0.38569849735251183</v>
      </c>
      <c r="P212" s="87">
        <f t="shared" si="93"/>
        <v>0.13594707773939113</v>
      </c>
      <c r="Q212" s="86">
        <f t="shared" si="94"/>
        <v>-0.38569849735251188</v>
      </c>
      <c r="R212" s="85">
        <f t="shared" si="95"/>
        <v>-0.23191055794825</v>
      </c>
    </row>
    <row r="213" spans="2:18">
      <c r="B213" s="83"/>
      <c r="C213" s="84">
        <v>34</v>
      </c>
      <c r="D213" s="84">
        <v>64</v>
      </c>
      <c r="E213" s="84">
        <v>1.99588725</v>
      </c>
      <c r="F213" s="78"/>
      <c r="G213" s="85">
        <f t="shared" si="84"/>
        <v>0.49842944039299836</v>
      </c>
      <c r="H213" s="86">
        <f t="shared" si="85"/>
        <v>-0.24603174603174605</v>
      </c>
      <c r="I213" s="85">
        <f t="shared" si="86"/>
        <v>-0.467741935483871</v>
      </c>
      <c r="J213" s="85">
        <f t="shared" si="87"/>
        <v>7.5536743165864229E-2</v>
      </c>
      <c r="K213" s="86">
        <f t="shared" si="88"/>
        <v>-0.35538583216586966</v>
      </c>
      <c r="L213" s="87">
        <f t="shared" si="89"/>
        <v>0.26100242852014083</v>
      </c>
      <c r="M213" s="86">
        <f t="shared" si="90"/>
        <v>-0.26852357354347756</v>
      </c>
      <c r="N213" s="87">
        <f t="shared" si="91"/>
        <v>0.38032847560406557</v>
      </c>
      <c r="O213" s="86">
        <f t="shared" si="92"/>
        <v>-0.38569849735251183</v>
      </c>
      <c r="P213" s="87">
        <f t="shared" si="93"/>
        <v>0.26651888244474836</v>
      </c>
      <c r="Q213" s="86">
        <f t="shared" si="94"/>
        <v>-0.35538583216586972</v>
      </c>
      <c r="R213" s="85">
        <f t="shared" si="95"/>
        <v>-0.23742701187285753</v>
      </c>
    </row>
    <row r="214" spans="2:18">
      <c r="B214" s="83"/>
      <c r="C214" s="84">
        <v>34</v>
      </c>
      <c r="D214" s="84">
        <v>96</v>
      </c>
      <c r="E214" s="84">
        <v>2.4937014999999998</v>
      </c>
      <c r="F214" s="78"/>
      <c r="G214" s="85">
        <f t="shared" si="84"/>
        <v>0.68838816861617147</v>
      </c>
      <c r="H214" s="86">
        <f t="shared" si="85"/>
        <v>-0.24603174603174605</v>
      </c>
      <c r="I214" s="85">
        <f t="shared" si="86"/>
        <v>-0.43548387096774194</v>
      </c>
      <c r="J214" s="85">
        <f t="shared" si="87"/>
        <v>0.29488218891500018</v>
      </c>
      <c r="K214" s="86">
        <f t="shared" si="88"/>
        <v>-0.32507316697922739</v>
      </c>
      <c r="L214" s="87">
        <f t="shared" si="89"/>
        <v>0.44544470281870641</v>
      </c>
      <c r="M214" s="86">
        <f t="shared" si="90"/>
        <v>-0.23821090835683534</v>
      </c>
      <c r="N214" s="87">
        <f t="shared" si="91"/>
        <v>0.56477074990263121</v>
      </c>
      <c r="O214" s="86">
        <f t="shared" si="92"/>
        <v>-0.38569849735251177</v>
      </c>
      <c r="P214" s="87">
        <f t="shared" si="93"/>
        <v>0.45647761066792153</v>
      </c>
      <c r="Q214" s="86">
        <f t="shared" si="94"/>
        <v>-0.3250731669792275</v>
      </c>
      <c r="R214" s="85">
        <f t="shared" si="95"/>
        <v>-0.24294346579746512</v>
      </c>
    </row>
    <row r="215" spans="2:18">
      <c r="B215" s="83"/>
      <c r="C215" s="84">
        <v>36</v>
      </c>
      <c r="D215" s="84">
        <v>32</v>
      </c>
      <c r="E215" s="84">
        <v>1.6725509999999999</v>
      </c>
      <c r="F215" s="78"/>
      <c r="G215" s="85">
        <f t="shared" si="84"/>
        <v>0.37504899710827927</v>
      </c>
      <c r="H215" s="86">
        <f t="shared" si="85"/>
        <v>-0.23015873015873017</v>
      </c>
      <c r="I215" s="85">
        <f t="shared" si="86"/>
        <v>-0.5</v>
      </c>
      <c r="J215" s="85">
        <f t="shared" si="87"/>
        <v>-6.6930721120471603E-2</v>
      </c>
      <c r="K215" s="86">
        <f t="shared" si="88"/>
        <v>-0.39112738851641132</v>
      </c>
      <c r="L215" s="87">
        <f t="shared" si="89"/>
        <v>0.135680561217284</v>
      </c>
      <c r="M215" s="86">
        <f t="shared" si="90"/>
        <v>-0.29883623873011977</v>
      </c>
      <c r="N215" s="87">
        <f t="shared" si="91"/>
        <v>0.26246448624395408</v>
      </c>
      <c r="O215" s="86">
        <f t="shared" si="92"/>
        <v>-0.39112738851641132</v>
      </c>
      <c r="P215" s="87">
        <f t="shared" si="93"/>
        <v>0.135680561217284</v>
      </c>
      <c r="Q215" s="86">
        <f t="shared" si="94"/>
        <v>-0.39112738851641138</v>
      </c>
      <c r="R215" s="85">
        <f t="shared" si="95"/>
        <v>-0.23936843589099527</v>
      </c>
    </row>
    <row r="216" spans="2:18">
      <c r="B216" s="83"/>
      <c r="C216" s="84">
        <v>36</v>
      </c>
      <c r="D216" s="84">
        <v>64</v>
      </c>
      <c r="E216" s="84">
        <v>2.0520450000000001</v>
      </c>
      <c r="F216" s="78"/>
      <c r="G216" s="85">
        <f t="shared" si="84"/>
        <v>0.51985842674659299</v>
      </c>
      <c r="H216" s="86">
        <f t="shared" si="85"/>
        <v>-0.23015873015873017</v>
      </c>
      <c r="I216" s="85">
        <f t="shared" si="86"/>
        <v>-0.467741935483871</v>
      </c>
      <c r="J216" s="85">
        <f t="shared" si="87"/>
        <v>0.1002808052452816</v>
      </c>
      <c r="K216" s="86">
        <f t="shared" si="88"/>
        <v>-0.36081472332976916</v>
      </c>
      <c r="L216" s="87">
        <f t="shared" si="89"/>
        <v>0.27497353693099014</v>
      </c>
      <c r="M216" s="86">
        <f t="shared" si="90"/>
        <v>-0.26852357354347756</v>
      </c>
      <c r="N216" s="87">
        <f t="shared" si="91"/>
        <v>0.40175746195766021</v>
      </c>
      <c r="O216" s="86">
        <f t="shared" si="92"/>
        <v>-0.39112738851641132</v>
      </c>
      <c r="P216" s="87">
        <f t="shared" si="93"/>
        <v>0.28048999085559773</v>
      </c>
      <c r="Q216" s="86">
        <f t="shared" si="94"/>
        <v>-0.36081472332976922</v>
      </c>
      <c r="R216" s="85">
        <f t="shared" si="95"/>
        <v>-0.24488488981560286</v>
      </c>
    </row>
    <row r="217" spans="2:18">
      <c r="B217" s="83"/>
      <c r="C217" s="84">
        <v>36</v>
      </c>
      <c r="D217" s="84">
        <v>96</v>
      </c>
      <c r="E217" s="84">
        <v>2.5970342500000001</v>
      </c>
      <c r="F217" s="78"/>
      <c r="G217" s="85">
        <f t="shared" si="84"/>
        <v>0.72781845365482423</v>
      </c>
      <c r="H217" s="86">
        <f t="shared" si="85"/>
        <v>-0.23015873015873017</v>
      </c>
      <c r="I217" s="85">
        <f t="shared" si="86"/>
        <v>-0.43548387096774194</v>
      </c>
      <c r="J217" s="85">
        <f t="shared" si="87"/>
        <v>0.34041236027757982</v>
      </c>
      <c r="K217" s="86">
        <f t="shared" si="88"/>
        <v>-0.33050205814312689</v>
      </c>
      <c r="L217" s="87">
        <f t="shared" si="89"/>
        <v>0.47741710991461384</v>
      </c>
      <c r="M217" s="86">
        <f t="shared" si="90"/>
        <v>-0.23821090835683531</v>
      </c>
      <c r="N217" s="87">
        <f t="shared" si="91"/>
        <v>0.60420103494128385</v>
      </c>
      <c r="O217" s="86">
        <f t="shared" si="92"/>
        <v>-0.39112738851641127</v>
      </c>
      <c r="P217" s="87">
        <f t="shared" si="93"/>
        <v>0.48845001776382896</v>
      </c>
      <c r="Q217" s="86">
        <f t="shared" si="94"/>
        <v>-0.330502058143127</v>
      </c>
      <c r="R217" s="85">
        <f t="shared" si="95"/>
        <v>-0.25040134374021039</v>
      </c>
    </row>
    <row r="218" spans="2:18">
      <c r="B218" s="83"/>
      <c r="C218" s="84">
        <v>38</v>
      </c>
      <c r="D218" s="84">
        <v>32</v>
      </c>
      <c r="E218" s="84">
        <v>1.68700425</v>
      </c>
      <c r="F218" s="78"/>
      <c r="G218" s="85">
        <f t="shared" si="84"/>
        <v>0.38056414857027854</v>
      </c>
      <c r="H218" s="86">
        <f t="shared" si="85"/>
        <v>-0.2142857142857143</v>
      </c>
      <c r="I218" s="85">
        <f t="shared" si="86"/>
        <v>-0.5</v>
      </c>
      <c r="J218" s="85">
        <f t="shared" si="87"/>
        <v>-6.0562372758057925E-2</v>
      </c>
      <c r="K218" s="86">
        <f t="shared" si="88"/>
        <v>-0.39655627968031082</v>
      </c>
      <c r="L218" s="87">
        <f t="shared" si="89"/>
        <v>0.13373783473653794</v>
      </c>
      <c r="M218" s="86">
        <f t="shared" si="90"/>
        <v>-0.29883623873011977</v>
      </c>
      <c r="N218" s="87">
        <f t="shared" si="91"/>
        <v>0.26797963770595334</v>
      </c>
      <c r="O218" s="86">
        <f t="shared" si="92"/>
        <v>-0.39655627968031082</v>
      </c>
      <c r="P218" s="87">
        <f t="shared" si="93"/>
        <v>0.13373783473653794</v>
      </c>
      <c r="Q218" s="86">
        <f t="shared" si="94"/>
        <v>-0.39655627968031087</v>
      </c>
      <c r="R218" s="85">
        <f t="shared" si="95"/>
        <v>-0.2468263138337406</v>
      </c>
    </row>
    <row r="219" spans="2:18">
      <c r="B219" s="83"/>
      <c r="C219" s="84">
        <v>38</v>
      </c>
      <c r="D219" s="84">
        <v>64</v>
      </c>
      <c r="E219" s="84">
        <v>2.1053009999999999</v>
      </c>
      <c r="F219" s="78"/>
      <c r="G219" s="85">
        <f t="shared" si="84"/>
        <v>0.54018014720809704</v>
      </c>
      <c r="H219" s="86">
        <f t="shared" si="85"/>
        <v>-0.2142857142857143</v>
      </c>
      <c r="I219" s="85">
        <f t="shared" si="86"/>
        <v>-0.467741935483871</v>
      </c>
      <c r="J219" s="85">
        <f t="shared" si="87"/>
        <v>0.12374630680297294</v>
      </c>
      <c r="K219" s="86">
        <f t="shared" si="88"/>
        <v>-0.36624361449366866</v>
      </c>
      <c r="L219" s="87">
        <f t="shared" si="89"/>
        <v>0.28783737944974891</v>
      </c>
      <c r="M219" s="86">
        <f t="shared" si="90"/>
        <v>-0.26852357354347756</v>
      </c>
      <c r="N219" s="87">
        <f t="shared" si="91"/>
        <v>0.42207918241916426</v>
      </c>
      <c r="O219" s="86">
        <f t="shared" si="92"/>
        <v>-0.39655627968031082</v>
      </c>
      <c r="P219" s="87">
        <f t="shared" si="93"/>
        <v>0.29335383337435644</v>
      </c>
      <c r="Q219" s="86">
        <f t="shared" si="94"/>
        <v>-0.36624361449366871</v>
      </c>
      <c r="R219" s="85">
        <f t="shared" si="95"/>
        <v>-0.25234276775834813</v>
      </c>
    </row>
    <row r="220" spans="2:18">
      <c r="B220" s="83"/>
      <c r="C220" s="84">
        <v>38</v>
      </c>
      <c r="D220" s="84">
        <v>96</v>
      </c>
      <c r="E220" s="84">
        <v>2.7063682500000001</v>
      </c>
      <c r="F220" s="78"/>
      <c r="G220" s="85">
        <f t="shared" si="84"/>
        <v>0.76953872902169551</v>
      </c>
      <c r="H220" s="86">
        <f t="shared" si="85"/>
        <v>-0.2142857142857143</v>
      </c>
      <c r="I220" s="85">
        <f t="shared" si="86"/>
        <v>-0.43548387096774194</v>
      </c>
      <c r="J220" s="85">
        <f t="shared" si="87"/>
        <v>0.38858678470503671</v>
      </c>
      <c r="K220" s="86">
        <f t="shared" si="88"/>
        <v>-0.33593094930702638</v>
      </c>
      <c r="L220" s="87">
        <f t="shared" si="89"/>
        <v>0.51167950733873979</v>
      </c>
      <c r="M220" s="86">
        <f t="shared" si="90"/>
        <v>-0.23821090835683531</v>
      </c>
      <c r="N220" s="87">
        <f t="shared" si="91"/>
        <v>0.64592131030815514</v>
      </c>
      <c r="O220" s="86">
        <f t="shared" si="92"/>
        <v>-0.39655627968031076</v>
      </c>
      <c r="P220" s="87">
        <f t="shared" si="93"/>
        <v>0.52271241518795497</v>
      </c>
      <c r="Q220" s="86">
        <f t="shared" si="94"/>
        <v>-0.33593094930702649</v>
      </c>
      <c r="R220" s="85">
        <f t="shared" si="95"/>
        <v>-0.25785922168295572</v>
      </c>
    </row>
    <row r="221" spans="2:18">
      <c r="B221" s="83"/>
      <c r="C221" s="84">
        <v>40</v>
      </c>
      <c r="D221" s="84">
        <v>32</v>
      </c>
      <c r="E221" s="84">
        <v>1.7062792499999999</v>
      </c>
      <c r="F221" s="78"/>
      <c r="G221" s="85">
        <f t="shared" si="84"/>
        <v>0.38791921019517511</v>
      </c>
      <c r="H221" s="86">
        <f t="shared" si="85"/>
        <v>-0.19841269841269843</v>
      </c>
      <c r="I221" s="85">
        <f t="shared" si="86"/>
        <v>-0.5</v>
      </c>
      <c r="J221" s="85">
        <f t="shared" si="87"/>
        <v>-5.2069479139977282E-2</v>
      </c>
      <c r="K221" s="86">
        <f t="shared" si="88"/>
        <v>-0.40198517084421037</v>
      </c>
      <c r="L221" s="87">
        <f t="shared" si="89"/>
        <v>0.13363501841868924</v>
      </c>
      <c r="M221" s="86">
        <f t="shared" si="90"/>
        <v>-0.29883623873011977</v>
      </c>
      <c r="N221" s="87">
        <f t="shared" si="91"/>
        <v>0.27533469933084992</v>
      </c>
      <c r="O221" s="86">
        <f t="shared" si="92"/>
        <v>-0.40198517084421037</v>
      </c>
      <c r="P221" s="87">
        <f t="shared" si="93"/>
        <v>0.13363501841868924</v>
      </c>
      <c r="Q221" s="86">
        <f t="shared" si="94"/>
        <v>-0.40198517084421043</v>
      </c>
      <c r="R221" s="85">
        <f t="shared" si="95"/>
        <v>-0.25428419177648587</v>
      </c>
    </row>
    <row r="222" spans="2:18">
      <c r="B222" s="83"/>
      <c r="C222" s="84">
        <v>40</v>
      </c>
      <c r="D222" s="84">
        <v>64</v>
      </c>
      <c r="E222" s="84">
        <v>2.1548812499999999</v>
      </c>
      <c r="F222" s="78"/>
      <c r="G222" s="85">
        <f t="shared" ref="G222:G253" si="96">D$19*(L222-R222)</f>
        <v>0.55909925455584153</v>
      </c>
      <c r="H222" s="86">
        <f t="shared" ref="H222:H253" si="97">(C222-H$16)/H$17-0.5</f>
        <v>-0.19841269841269843</v>
      </c>
      <c r="I222" s="85">
        <f t="shared" ref="I222:I253" si="98">(D222-I$16)/I$17-0.5</f>
        <v>-0.467741935483871</v>
      </c>
      <c r="J222" s="85">
        <f t="shared" ref="J222:J253" si="99">(E222-J$16)/J$17-0.5</f>
        <v>0.14559221024306845</v>
      </c>
      <c r="K222" s="86">
        <f t="shared" ref="K222:K253" si="100">(H222*$H$13+I222*$I$13+J222*$J$13+$D$27)*$C$27</f>
        <v>-0.37167250565756815</v>
      </c>
      <c r="L222" s="87">
        <f t="shared" ref="L222:L253" si="101">(H222*$H$14+I222*$I$14+J222*$J$14+$E$27)*$C$27</f>
        <v>0.29929860885474813</v>
      </c>
      <c r="M222" s="86">
        <f t="shared" ref="M222:M253" si="102">(H$27*$H$13+I222*$I$13+J222*$J$13+$D$27)*$C$27</f>
        <v>-0.26852357354347756</v>
      </c>
      <c r="N222" s="87">
        <f t="shared" ref="N222:N253" si="103">(H$27*$H$14+I222*$I$14+J222*$J$14+$E$27)*$C$27</f>
        <v>0.4409982897669088</v>
      </c>
      <c r="O222" s="86">
        <f t="shared" ref="O222:O253" si="104">(H222*$H$13+I$27*$I$13+J222*$J$13+$D$27)*$C$27</f>
        <v>-0.40198517084421037</v>
      </c>
      <c r="P222" s="87">
        <f t="shared" ref="P222:P253" si="105">(H222*$H$14+I$27*$I$14+J222*$J$14+$E$27)*$C$27</f>
        <v>0.30481506277935577</v>
      </c>
      <c r="Q222" s="86">
        <f t="shared" ref="Q222:Q253" si="106">(H222*$H$13+I222*$I$13+J$27*$J$13+$D$27)*$C$27</f>
        <v>-0.37167250565756821</v>
      </c>
      <c r="R222" s="85">
        <f t="shared" ref="R222:R253" si="107">(H222*$H$14+I222*$I$14+J$27*$J$14+$E$27)*$C$27</f>
        <v>-0.25980064570109346</v>
      </c>
    </row>
    <row r="223" spans="2:18">
      <c r="B223" s="83"/>
      <c r="C223" s="84">
        <v>40</v>
      </c>
      <c r="D223" s="84">
        <v>96</v>
      </c>
      <c r="E223" s="84">
        <v>2.8165022500000001</v>
      </c>
      <c r="F223" s="78"/>
      <c r="G223" s="85">
        <f t="shared" si="96"/>
        <v>0.81156427283473587</v>
      </c>
      <c r="H223" s="86">
        <f t="shared" si="97"/>
        <v>-0.19841269841269843</v>
      </c>
      <c r="I223" s="85">
        <f t="shared" si="98"/>
        <v>-0.43548387096774194</v>
      </c>
      <c r="J223" s="85">
        <f t="shared" si="99"/>
        <v>0.4371137027716353</v>
      </c>
      <c r="K223" s="86">
        <f t="shared" si="100"/>
        <v>-0.34135984047092588</v>
      </c>
      <c r="L223" s="87">
        <f t="shared" si="101"/>
        <v>0.54624717320903493</v>
      </c>
      <c r="M223" s="86">
        <f t="shared" si="102"/>
        <v>-0.23821090835683531</v>
      </c>
      <c r="N223" s="87">
        <f t="shared" si="103"/>
        <v>0.68794685412119561</v>
      </c>
      <c r="O223" s="86">
        <f t="shared" si="104"/>
        <v>-0.40198517084421032</v>
      </c>
      <c r="P223" s="87">
        <f t="shared" si="105"/>
        <v>0.55728008105825011</v>
      </c>
      <c r="Q223" s="86">
        <f t="shared" si="106"/>
        <v>-0.34135984047092599</v>
      </c>
      <c r="R223" s="85">
        <f t="shared" si="107"/>
        <v>-0.26531709962570099</v>
      </c>
    </row>
    <row r="224" spans="2:18">
      <c r="B224" s="83"/>
      <c r="C224" s="84">
        <v>42</v>
      </c>
      <c r="D224" s="84">
        <v>32</v>
      </c>
      <c r="E224" s="84">
        <v>1.7136275000000001</v>
      </c>
      <c r="F224" s="78"/>
      <c r="G224" s="85">
        <f t="shared" si="96"/>
        <v>0.39072319626963148</v>
      </c>
      <c r="H224" s="86">
        <f t="shared" si="97"/>
        <v>-0.18253968253968256</v>
      </c>
      <c r="I224" s="85">
        <f t="shared" si="98"/>
        <v>-0.5</v>
      </c>
      <c r="J224" s="85">
        <f t="shared" si="99"/>
        <v>-4.8831714910194557E-2</v>
      </c>
      <c r="K224" s="86">
        <f t="shared" si="100"/>
        <v>-0.40741406200810987</v>
      </c>
      <c r="L224" s="87">
        <f t="shared" si="101"/>
        <v>0.12898112655040031</v>
      </c>
      <c r="M224" s="86">
        <f t="shared" si="102"/>
        <v>-0.29883623873011977</v>
      </c>
      <c r="N224" s="87">
        <f t="shared" si="103"/>
        <v>0.27813868540530634</v>
      </c>
      <c r="O224" s="86">
        <f t="shared" si="104"/>
        <v>-0.40741406200810987</v>
      </c>
      <c r="P224" s="87">
        <f t="shared" si="105"/>
        <v>0.12898112655040031</v>
      </c>
      <c r="Q224" s="86">
        <f t="shared" si="106"/>
        <v>-0.40741406200810992</v>
      </c>
      <c r="R224" s="85">
        <f t="shared" si="107"/>
        <v>-0.2617420697192312</v>
      </c>
    </row>
    <row r="225" spans="2:18">
      <c r="B225" s="83"/>
      <c r="C225" s="84">
        <v>42</v>
      </c>
      <c r="D225" s="84">
        <v>64</v>
      </c>
      <c r="E225" s="84">
        <v>2.20583025</v>
      </c>
      <c r="F225" s="78"/>
      <c r="G225" s="85">
        <f t="shared" si="96"/>
        <v>0.57854065713570435</v>
      </c>
      <c r="H225" s="86">
        <f t="shared" si="97"/>
        <v>-0.18253968253968256</v>
      </c>
      <c r="I225" s="85">
        <f t="shared" si="98"/>
        <v>-0.467741935483871</v>
      </c>
      <c r="J225" s="85">
        <f t="shared" si="99"/>
        <v>0.1680412082688838</v>
      </c>
      <c r="K225" s="86">
        <f t="shared" si="100"/>
        <v>-0.3771013968214677</v>
      </c>
      <c r="L225" s="87">
        <f t="shared" si="101"/>
        <v>0.31128213349186568</v>
      </c>
      <c r="M225" s="86">
        <f t="shared" si="102"/>
        <v>-0.26852357354347756</v>
      </c>
      <c r="N225" s="87">
        <f t="shared" si="103"/>
        <v>0.46043969234677162</v>
      </c>
      <c r="O225" s="86">
        <f t="shared" si="104"/>
        <v>-0.40741406200810987</v>
      </c>
      <c r="P225" s="87">
        <f t="shared" si="105"/>
        <v>0.31679858741647321</v>
      </c>
      <c r="Q225" s="86">
        <f t="shared" si="106"/>
        <v>-0.37710139682146776</v>
      </c>
      <c r="R225" s="85">
        <f t="shared" si="107"/>
        <v>-0.26725852364383873</v>
      </c>
    </row>
    <row r="226" spans="2:18">
      <c r="B226" s="83"/>
      <c r="C226" s="84">
        <v>42</v>
      </c>
      <c r="D226" s="84">
        <v>96</v>
      </c>
      <c r="E226" s="84">
        <v>2.9235660000000001</v>
      </c>
      <c r="F226" s="78"/>
      <c r="G226" s="85">
        <f t="shared" si="96"/>
        <v>0.85241825358921153</v>
      </c>
      <c r="H226" s="86">
        <f t="shared" si="97"/>
        <v>-0.18253968253968256</v>
      </c>
      <c r="I226" s="85">
        <f t="shared" si="98"/>
        <v>-0.43548387096774194</v>
      </c>
      <c r="J226" s="85">
        <f t="shared" si="99"/>
        <v>0.48428781634376394</v>
      </c>
      <c r="K226" s="86">
        <f t="shared" si="100"/>
        <v>-0.34678873163482543</v>
      </c>
      <c r="L226" s="87">
        <f t="shared" si="101"/>
        <v>0.57964327602076526</v>
      </c>
      <c r="M226" s="86">
        <f t="shared" si="102"/>
        <v>-0.23821090835683531</v>
      </c>
      <c r="N226" s="87">
        <f t="shared" si="103"/>
        <v>0.72880083487567138</v>
      </c>
      <c r="O226" s="86">
        <f t="shared" si="104"/>
        <v>-0.40741406200810981</v>
      </c>
      <c r="P226" s="87">
        <f t="shared" si="105"/>
        <v>0.59067618386998044</v>
      </c>
      <c r="Q226" s="86">
        <f t="shared" si="106"/>
        <v>-0.34678873163482554</v>
      </c>
      <c r="R226" s="85">
        <f t="shared" si="107"/>
        <v>-0.27277497756844632</v>
      </c>
    </row>
    <row r="227" spans="2:18">
      <c r="B227" s="83"/>
      <c r="C227" s="84">
        <v>44</v>
      </c>
      <c r="D227" s="84">
        <v>32</v>
      </c>
      <c r="E227" s="84">
        <v>1.73511525</v>
      </c>
      <c r="F227" s="78"/>
      <c r="G227" s="85">
        <f t="shared" si="96"/>
        <v>0.39892261133735502</v>
      </c>
      <c r="H227" s="86">
        <f t="shared" si="97"/>
        <v>-0.16666666666666669</v>
      </c>
      <c r="I227" s="85">
        <f t="shared" si="98"/>
        <v>-0.5</v>
      </c>
      <c r="J227" s="85">
        <f t="shared" si="99"/>
        <v>-3.9363845917099294E-2</v>
      </c>
      <c r="K227" s="86">
        <f t="shared" si="100"/>
        <v>-0.41284295317200936</v>
      </c>
      <c r="L227" s="87">
        <f t="shared" si="101"/>
        <v>0.12972266367537855</v>
      </c>
      <c r="M227" s="86">
        <f t="shared" si="102"/>
        <v>-0.29883623873011977</v>
      </c>
      <c r="N227" s="87">
        <f t="shared" si="103"/>
        <v>0.28633810047302982</v>
      </c>
      <c r="O227" s="86">
        <f t="shared" si="104"/>
        <v>-0.41284295317200936</v>
      </c>
      <c r="P227" s="87">
        <f t="shared" si="105"/>
        <v>0.12972266367537855</v>
      </c>
      <c r="Q227" s="86">
        <f t="shared" si="106"/>
        <v>-0.41284295317200942</v>
      </c>
      <c r="R227" s="85">
        <f t="shared" si="107"/>
        <v>-0.26919994766197647</v>
      </c>
    </row>
    <row r="228" spans="2:18">
      <c r="B228" s="83"/>
      <c r="C228" s="84">
        <v>44</v>
      </c>
      <c r="D228" s="84">
        <v>64</v>
      </c>
      <c r="E228" s="84">
        <v>2.26546475</v>
      </c>
      <c r="F228" s="78"/>
      <c r="G228" s="85">
        <f t="shared" si="96"/>
        <v>0.60129632107707387</v>
      </c>
      <c r="H228" s="86">
        <f t="shared" si="97"/>
        <v>-0.16666666666666669</v>
      </c>
      <c r="I228" s="85">
        <f t="shared" si="98"/>
        <v>-0.467741935483871</v>
      </c>
      <c r="J228" s="85">
        <f t="shared" si="99"/>
        <v>0.19431718567316036</v>
      </c>
      <c r="K228" s="86">
        <f t="shared" si="100"/>
        <v>-0.3825302879853672</v>
      </c>
      <c r="L228" s="87">
        <f t="shared" si="101"/>
        <v>0.32657991949048976</v>
      </c>
      <c r="M228" s="86">
        <f t="shared" si="102"/>
        <v>-0.26852357354347756</v>
      </c>
      <c r="N228" s="87">
        <f t="shared" si="103"/>
        <v>0.48319535628814103</v>
      </c>
      <c r="O228" s="86">
        <f t="shared" si="104"/>
        <v>-0.41284295317200936</v>
      </c>
      <c r="P228" s="87">
        <f t="shared" si="105"/>
        <v>0.33209637341509735</v>
      </c>
      <c r="Q228" s="86">
        <f t="shared" si="106"/>
        <v>-0.38253028798536726</v>
      </c>
      <c r="R228" s="85">
        <f t="shared" si="107"/>
        <v>-0.27471640158658406</v>
      </c>
    </row>
    <row r="229" spans="2:18">
      <c r="B229" s="83"/>
      <c r="C229" s="84">
        <v>46</v>
      </c>
      <c r="D229" s="84">
        <v>32</v>
      </c>
      <c r="E229" s="84">
        <v>1.753015</v>
      </c>
      <c r="F229" s="78"/>
      <c r="G229" s="85">
        <f t="shared" si="96"/>
        <v>0.40575289742400833</v>
      </c>
      <c r="H229" s="86">
        <f t="shared" si="97"/>
        <v>-0.15079365079365081</v>
      </c>
      <c r="I229" s="85">
        <f t="shared" si="98"/>
        <v>-0.5</v>
      </c>
      <c r="J229" s="85">
        <f t="shared" si="99"/>
        <v>-3.1476910895556431E-2</v>
      </c>
      <c r="K229" s="86">
        <f t="shared" si="100"/>
        <v>-0.41827184433590886</v>
      </c>
      <c r="L229" s="87">
        <f t="shared" si="101"/>
        <v>0.12909507181928651</v>
      </c>
      <c r="M229" s="86">
        <f t="shared" si="102"/>
        <v>-0.29883623873011977</v>
      </c>
      <c r="N229" s="87">
        <f t="shared" si="103"/>
        <v>0.29316838655968308</v>
      </c>
      <c r="O229" s="86">
        <f t="shared" si="104"/>
        <v>-0.41827184433590886</v>
      </c>
      <c r="P229" s="87">
        <f t="shared" si="105"/>
        <v>0.12909507181928651</v>
      </c>
      <c r="Q229" s="86">
        <f t="shared" si="106"/>
        <v>-0.41827184433590892</v>
      </c>
      <c r="R229" s="85">
        <f t="shared" si="107"/>
        <v>-0.2766578256047218</v>
      </c>
    </row>
    <row r="230" spans="2:18">
      <c r="B230" s="83"/>
      <c r="C230" s="84">
        <v>46</v>
      </c>
      <c r="D230" s="84">
        <v>64</v>
      </c>
      <c r="E230" s="84">
        <v>2.3261590000000001</v>
      </c>
      <c r="F230" s="78"/>
      <c r="G230" s="85">
        <f t="shared" si="96"/>
        <v>0.62445637031322843</v>
      </c>
      <c r="H230" s="86">
        <f t="shared" si="97"/>
        <v>-0.15079365079365081</v>
      </c>
      <c r="I230" s="85">
        <f t="shared" si="98"/>
        <v>-0.467741935483871</v>
      </c>
      <c r="J230" s="85">
        <f t="shared" si="99"/>
        <v>0.22106010699503797</v>
      </c>
      <c r="K230" s="86">
        <f t="shared" si="100"/>
        <v>-0.3879591791492667</v>
      </c>
      <c r="L230" s="87">
        <f t="shared" si="101"/>
        <v>0.34228209078389904</v>
      </c>
      <c r="M230" s="86">
        <f t="shared" si="102"/>
        <v>-0.26852357354347756</v>
      </c>
      <c r="N230" s="87">
        <f t="shared" si="103"/>
        <v>0.50635540552429559</v>
      </c>
      <c r="O230" s="86">
        <f t="shared" si="104"/>
        <v>-0.41827184433590886</v>
      </c>
      <c r="P230" s="87">
        <f t="shared" si="105"/>
        <v>0.34779854470850657</v>
      </c>
      <c r="Q230" s="86">
        <f t="shared" si="106"/>
        <v>-0.38795917914926675</v>
      </c>
      <c r="R230" s="85">
        <f t="shared" si="107"/>
        <v>-0.28217427952932933</v>
      </c>
    </row>
    <row r="231" spans="2:18">
      <c r="B231" s="83"/>
      <c r="C231" s="84">
        <v>48</v>
      </c>
      <c r="D231" s="84">
        <v>32</v>
      </c>
      <c r="E231" s="84">
        <v>1.7724059999999999</v>
      </c>
      <c r="F231" s="78"/>
      <c r="G231" s="85">
        <f t="shared" si="96"/>
        <v>0.41315222297359944</v>
      </c>
      <c r="H231" s="86">
        <f t="shared" si="97"/>
        <v>-0.13492063492063494</v>
      </c>
      <c r="I231" s="85">
        <f t="shared" si="98"/>
        <v>-0.5</v>
      </c>
      <c r="J231" s="85">
        <f t="shared" si="99"/>
        <v>-2.2932905699800221E-2</v>
      </c>
      <c r="K231" s="86">
        <f t="shared" si="100"/>
        <v>-0.42370073549980836</v>
      </c>
      <c r="L231" s="87">
        <f t="shared" si="101"/>
        <v>0.12903651942613234</v>
      </c>
      <c r="M231" s="86">
        <f t="shared" si="102"/>
        <v>-0.29883623873011977</v>
      </c>
      <c r="N231" s="87">
        <f t="shared" si="103"/>
        <v>0.30056771210927424</v>
      </c>
      <c r="O231" s="86">
        <f t="shared" si="104"/>
        <v>-0.42370073549980836</v>
      </c>
      <c r="P231" s="87">
        <f t="shared" si="105"/>
        <v>0.12903651942613234</v>
      </c>
      <c r="Q231" s="86">
        <f t="shared" si="106"/>
        <v>-0.42370073549980841</v>
      </c>
      <c r="R231" s="85">
        <f t="shared" si="107"/>
        <v>-0.28411570354746707</v>
      </c>
    </row>
    <row r="232" spans="2:18">
      <c r="B232" s="83"/>
      <c r="C232" s="84">
        <v>48</v>
      </c>
      <c r="D232" s="84">
        <v>64</v>
      </c>
      <c r="E232" s="84">
        <v>2.3972950000000002</v>
      </c>
      <c r="F232" s="78"/>
      <c r="G232" s="85">
        <f t="shared" si="96"/>
        <v>0.65160084054662093</v>
      </c>
      <c r="H232" s="86">
        <f t="shared" si="97"/>
        <v>-0.13492063492063494</v>
      </c>
      <c r="I232" s="85">
        <f t="shared" si="98"/>
        <v>-0.467741935483871</v>
      </c>
      <c r="J232" s="85">
        <f t="shared" si="99"/>
        <v>0.25240384138755589</v>
      </c>
      <c r="K232" s="86">
        <f t="shared" si="100"/>
        <v>-0.39338807031316614</v>
      </c>
      <c r="L232" s="87">
        <f t="shared" si="101"/>
        <v>0.36196868307454622</v>
      </c>
      <c r="M232" s="86">
        <f t="shared" si="102"/>
        <v>-0.2685235735434775</v>
      </c>
      <c r="N232" s="87">
        <f t="shared" si="103"/>
        <v>0.53349987575768809</v>
      </c>
      <c r="O232" s="86">
        <f t="shared" si="104"/>
        <v>-0.4237007354998083</v>
      </c>
      <c r="P232" s="87">
        <f t="shared" si="105"/>
        <v>0.36748513699915381</v>
      </c>
      <c r="Q232" s="86">
        <f t="shared" si="106"/>
        <v>-0.39338807031316625</v>
      </c>
      <c r="R232" s="85">
        <f t="shared" si="107"/>
        <v>-0.28963215747207466</v>
      </c>
    </row>
    <row r="233" spans="2:18">
      <c r="B233" s="83"/>
      <c r="C233" s="84">
        <v>50</v>
      </c>
      <c r="D233" s="84">
        <v>32</v>
      </c>
      <c r="E233" s="84">
        <v>1.7942165000000001</v>
      </c>
      <c r="F233" s="78"/>
      <c r="G233" s="85">
        <f t="shared" si="96"/>
        <v>0.42147479478007455</v>
      </c>
      <c r="H233" s="86">
        <f t="shared" si="97"/>
        <v>-0.11904761904761907</v>
      </c>
      <c r="I233" s="85">
        <f t="shared" si="98"/>
        <v>-0.5</v>
      </c>
      <c r="J233" s="85">
        <f t="shared" si="99"/>
        <v>-1.3322827554163419E-2</v>
      </c>
      <c r="K233" s="86">
        <f t="shared" si="100"/>
        <v>-0.42912962666370785</v>
      </c>
      <c r="L233" s="87">
        <f t="shared" si="101"/>
        <v>0.12990121328986215</v>
      </c>
      <c r="M233" s="86">
        <f t="shared" si="102"/>
        <v>-0.29883623873011977</v>
      </c>
      <c r="N233" s="87">
        <f t="shared" si="103"/>
        <v>0.30889028391574935</v>
      </c>
      <c r="O233" s="86">
        <f t="shared" si="104"/>
        <v>-0.42912962666370785</v>
      </c>
      <c r="P233" s="87">
        <f t="shared" si="105"/>
        <v>0.12990121328986215</v>
      </c>
      <c r="Q233" s="86">
        <f t="shared" si="106"/>
        <v>-0.42912962666370791</v>
      </c>
      <c r="R233" s="85">
        <f t="shared" si="107"/>
        <v>-0.2915735814902124</v>
      </c>
    </row>
    <row r="234" spans="2:18">
      <c r="B234" s="83"/>
      <c r="C234" s="84">
        <v>50</v>
      </c>
      <c r="D234" s="84">
        <v>64</v>
      </c>
      <c r="E234" s="84">
        <v>2.4604287500000002</v>
      </c>
      <c r="F234" s="78"/>
      <c r="G234" s="85">
        <f t="shared" si="96"/>
        <v>0.67569176775081363</v>
      </c>
      <c r="H234" s="86">
        <f t="shared" si="97"/>
        <v>-0.11904761904761907</v>
      </c>
      <c r="I234" s="85">
        <f t="shared" si="98"/>
        <v>-0.467741935483871</v>
      </c>
      <c r="J234" s="85">
        <f t="shared" si="99"/>
        <v>0.28022164800029259</v>
      </c>
      <c r="K234" s="86">
        <f t="shared" si="100"/>
        <v>-0.39881696147706563</v>
      </c>
      <c r="L234" s="87">
        <f t="shared" si="101"/>
        <v>0.3786017323359937</v>
      </c>
      <c r="M234" s="86">
        <f t="shared" si="102"/>
        <v>-0.2685235735434775</v>
      </c>
      <c r="N234" s="87">
        <f t="shared" si="103"/>
        <v>0.55759080296188079</v>
      </c>
      <c r="O234" s="86">
        <f t="shared" si="104"/>
        <v>-0.4291296266637078</v>
      </c>
      <c r="P234" s="87">
        <f t="shared" si="105"/>
        <v>0.38411818626060124</v>
      </c>
      <c r="Q234" s="86">
        <f t="shared" si="106"/>
        <v>-0.39881696147706575</v>
      </c>
      <c r="R234" s="85">
        <f t="shared" si="107"/>
        <v>-0.29709003541481993</v>
      </c>
    </row>
    <row r="235" spans="2:18">
      <c r="B235" s="83"/>
      <c r="C235" s="84">
        <v>52</v>
      </c>
      <c r="D235" s="84">
        <v>32</v>
      </c>
      <c r="E235" s="84">
        <v>1.814311</v>
      </c>
      <c r="F235" s="78"/>
      <c r="G235" s="85">
        <f t="shared" si="96"/>
        <v>0.42914256576951593</v>
      </c>
      <c r="H235" s="86">
        <f t="shared" si="97"/>
        <v>-0.1031746031746032</v>
      </c>
      <c r="I235" s="85">
        <f t="shared" si="98"/>
        <v>-0.5</v>
      </c>
      <c r="J235" s="85">
        <f t="shared" si="99"/>
        <v>-4.4688482644866245E-3</v>
      </c>
      <c r="K235" s="86">
        <f t="shared" si="100"/>
        <v>-0.43455851782760735</v>
      </c>
      <c r="L235" s="87">
        <f t="shared" si="101"/>
        <v>0.13011110633655826</v>
      </c>
      <c r="M235" s="86">
        <f t="shared" si="102"/>
        <v>-0.29883623873011977</v>
      </c>
      <c r="N235" s="87">
        <f t="shared" si="103"/>
        <v>0.31655805490519073</v>
      </c>
      <c r="O235" s="86">
        <f t="shared" si="104"/>
        <v>-0.43455851782760735</v>
      </c>
      <c r="P235" s="87">
        <f t="shared" si="105"/>
        <v>0.13011110633655826</v>
      </c>
      <c r="Q235" s="86">
        <f t="shared" si="106"/>
        <v>-0.4345585178276074</v>
      </c>
      <c r="R235" s="85">
        <f t="shared" si="107"/>
        <v>-0.29903145943295767</v>
      </c>
    </row>
    <row r="236" spans="2:18">
      <c r="B236" s="83"/>
      <c r="C236" s="84">
        <v>52</v>
      </c>
      <c r="D236" s="84">
        <v>64</v>
      </c>
      <c r="E236" s="84">
        <v>2.52319425</v>
      </c>
      <c r="F236" s="78"/>
      <c r="G236" s="85">
        <f t="shared" si="96"/>
        <v>0.69964217607337875</v>
      </c>
      <c r="H236" s="86">
        <f t="shared" si="97"/>
        <v>-0.1031746031746032</v>
      </c>
      <c r="I236" s="85">
        <f t="shared" si="98"/>
        <v>-0.467741935483871</v>
      </c>
      <c r="J236" s="85">
        <f t="shared" si="99"/>
        <v>0.30787719738476149</v>
      </c>
      <c r="K236" s="86">
        <f t="shared" si="100"/>
        <v>-0.40424585264096513</v>
      </c>
      <c r="L236" s="87">
        <f t="shared" si="101"/>
        <v>0.39509426271581349</v>
      </c>
      <c r="M236" s="86">
        <f t="shared" si="102"/>
        <v>-0.2685235735434775</v>
      </c>
      <c r="N236" s="87">
        <f t="shared" si="103"/>
        <v>0.58154121128444602</v>
      </c>
      <c r="O236" s="86">
        <f t="shared" si="104"/>
        <v>-0.43455851782760729</v>
      </c>
      <c r="P236" s="87">
        <f t="shared" si="105"/>
        <v>0.40061071664042108</v>
      </c>
      <c r="Q236" s="86">
        <f t="shared" si="106"/>
        <v>-0.40424585264096524</v>
      </c>
      <c r="R236" s="85">
        <f t="shared" si="107"/>
        <v>-0.30454791335756526</v>
      </c>
    </row>
    <row r="237" spans="2:18">
      <c r="B237" s="83"/>
      <c r="C237" s="84">
        <v>54</v>
      </c>
      <c r="D237" s="84">
        <v>32</v>
      </c>
      <c r="E237" s="84">
        <v>1.8316364999999999</v>
      </c>
      <c r="F237" s="78"/>
      <c r="G237" s="85">
        <f t="shared" si="96"/>
        <v>0.43575372634965315</v>
      </c>
      <c r="H237" s="86">
        <f t="shared" si="97"/>
        <v>-8.7301587301587324E-2</v>
      </c>
      <c r="I237" s="85">
        <f t="shared" si="98"/>
        <v>-0.5</v>
      </c>
      <c r="J237" s="85">
        <f t="shared" si="99"/>
        <v>3.165062416709552E-3</v>
      </c>
      <c r="K237" s="86">
        <f t="shared" si="100"/>
        <v>-0.4399874089915069</v>
      </c>
      <c r="L237" s="87">
        <f t="shared" si="101"/>
        <v>0.12926438897395023</v>
      </c>
      <c r="M237" s="86">
        <f t="shared" si="102"/>
        <v>-0.29883623873011977</v>
      </c>
      <c r="N237" s="87">
        <f t="shared" si="103"/>
        <v>0.32316921548532801</v>
      </c>
      <c r="O237" s="86">
        <f t="shared" si="104"/>
        <v>-0.4399874089915069</v>
      </c>
      <c r="P237" s="87">
        <f t="shared" si="105"/>
        <v>0.12926438897395023</v>
      </c>
      <c r="Q237" s="86">
        <f t="shared" si="106"/>
        <v>-0.43998740899150696</v>
      </c>
      <c r="R237" s="85">
        <f t="shared" si="107"/>
        <v>-0.30648933737570294</v>
      </c>
    </row>
    <row r="238" spans="2:18">
      <c r="B238" s="83"/>
      <c r="C238" s="84">
        <v>54</v>
      </c>
      <c r="D238" s="84">
        <v>64</v>
      </c>
      <c r="E238" s="84">
        <v>2.59578525</v>
      </c>
      <c r="F238" s="78"/>
      <c r="G238" s="85">
        <f t="shared" si="96"/>
        <v>0.72734185329324208</v>
      </c>
      <c r="H238" s="86">
        <f t="shared" si="97"/>
        <v>-8.7301587301587324E-2</v>
      </c>
      <c r="I238" s="85">
        <f t="shared" si="98"/>
        <v>-0.467741935483871</v>
      </c>
      <c r="J238" s="85">
        <f t="shared" si="99"/>
        <v>0.33986202958346923</v>
      </c>
      <c r="K238" s="86">
        <f t="shared" si="100"/>
        <v>-0.40967474380486463</v>
      </c>
      <c r="L238" s="87">
        <f t="shared" si="101"/>
        <v>0.4153360619929316</v>
      </c>
      <c r="M238" s="86">
        <f t="shared" si="102"/>
        <v>-0.2685235735434775</v>
      </c>
      <c r="N238" s="87">
        <f t="shared" si="103"/>
        <v>0.60924088850430935</v>
      </c>
      <c r="O238" s="86">
        <f t="shared" si="104"/>
        <v>-0.43998740899150685</v>
      </c>
      <c r="P238" s="87">
        <f t="shared" si="105"/>
        <v>0.42085251591753914</v>
      </c>
      <c r="Q238" s="86">
        <f t="shared" si="106"/>
        <v>-0.40967474380486474</v>
      </c>
      <c r="R238" s="85">
        <f t="shared" si="107"/>
        <v>-0.31200579130031053</v>
      </c>
    </row>
    <row r="239" spans="2:18">
      <c r="B239" s="83"/>
      <c r="C239" s="84">
        <v>56</v>
      </c>
      <c r="D239" s="84">
        <v>32</v>
      </c>
      <c r="E239" s="84">
        <v>1.8570515000000001</v>
      </c>
      <c r="F239" s="78"/>
      <c r="G239" s="85">
        <f t="shared" si="96"/>
        <v>0.44545172329890076</v>
      </c>
      <c r="H239" s="86">
        <f t="shared" si="97"/>
        <v>-7.1428571428571452E-2</v>
      </c>
      <c r="I239" s="85">
        <f t="shared" si="98"/>
        <v>-0.5</v>
      </c>
      <c r="J239" s="85">
        <f t="shared" si="99"/>
        <v>1.4363344715206061E-2</v>
      </c>
      <c r="K239" s="86">
        <f t="shared" si="100"/>
        <v>-0.4454163001554064</v>
      </c>
      <c r="L239" s="87">
        <f t="shared" si="101"/>
        <v>0.13150450798045249</v>
      </c>
      <c r="M239" s="86">
        <f t="shared" si="102"/>
        <v>-0.29883623873011977</v>
      </c>
      <c r="N239" s="87">
        <f t="shared" si="103"/>
        <v>0.33286721243457557</v>
      </c>
      <c r="O239" s="86">
        <f t="shared" si="104"/>
        <v>-0.4454163001554064</v>
      </c>
      <c r="P239" s="87">
        <f t="shared" si="105"/>
        <v>0.13150450798045249</v>
      </c>
      <c r="Q239" s="86">
        <f t="shared" si="106"/>
        <v>-0.44541630015540645</v>
      </c>
      <c r="R239" s="85">
        <f t="shared" si="107"/>
        <v>-0.31394721531844827</v>
      </c>
    </row>
    <row r="240" spans="2:18">
      <c r="B240" s="83"/>
      <c r="C240" s="84">
        <v>56</v>
      </c>
      <c r="D240" s="84">
        <v>64</v>
      </c>
      <c r="E240" s="84">
        <v>2.6708295</v>
      </c>
      <c r="F240" s="78"/>
      <c r="G240" s="85">
        <f t="shared" si="96"/>
        <v>0.75597765528256211</v>
      </c>
      <c r="H240" s="86">
        <f t="shared" si="97"/>
        <v>-7.1428571428571452E-2</v>
      </c>
      <c r="I240" s="85">
        <f t="shared" si="98"/>
        <v>-0.467741935483871</v>
      </c>
      <c r="J240" s="85">
        <f t="shared" si="99"/>
        <v>0.37292780555745864</v>
      </c>
      <c r="K240" s="86">
        <f t="shared" si="100"/>
        <v>-0.41510363496876418</v>
      </c>
      <c r="L240" s="87">
        <f t="shared" si="101"/>
        <v>0.43651398603950631</v>
      </c>
      <c r="M240" s="86">
        <f t="shared" si="102"/>
        <v>-0.2685235735434775</v>
      </c>
      <c r="N240" s="87">
        <f t="shared" si="103"/>
        <v>0.63787669049362927</v>
      </c>
      <c r="O240" s="86">
        <f t="shared" si="104"/>
        <v>-0.44541630015540634</v>
      </c>
      <c r="P240" s="87">
        <f t="shared" si="105"/>
        <v>0.44203043996411384</v>
      </c>
      <c r="Q240" s="86">
        <f t="shared" si="106"/>
        <v>-0.41510363496876429</v>
      </c>
      <c r="R240" s="85">
        <f t="shared" si="107"/>
        <v>-0.3194636692430558</v>
      </c>
    </row>
    <row r="241" spans="2:18">
      <c r="B241" s="83"/>
      <c r="C241" s="84">
        <v>58</v>
      </c>
      <c r="D241" s="84">
        <v>32</v>
      </c>
      <c r="E241" s="84">
        <v>1.8770560000000001</v>
      </c>
      <c r="F241" s="78"/>
      <c r="G241" s="85">
        <f t="shared" si="96"/>
        <v>0.45308515158814816</v>
      </c>
      <c r="H241" s="86">
        <f t="shared" si="97"/>
        <v>-5.555555555555558E-2</v>
      </c>
      <c r="I241" s="85">
        <f t="shared" si="98"/>
        <v>-0.5</v>
      </c>
      <c r="J241" s="85">
        <f t="shared" si="99"/>
        <v>2.3177668470479418E-2</v>
      </c>
      <c r="K241" s="86">
        <f t="shared" si="100"/>
        <v>-0.45084519131930589</v>
      </c>
      <c r="L241" s="87">
        <f t="shared" si="101"/>
        <v>0.13168005832695456</v>
      </c>
      <c r="M241" s="86">
        <f t="shared" si="102"/>
        <v>-0.29883623873011977</v>
      </c>
      <c r="N241" s="87">
        <f t="shared" si="103"/>
        <v>0.34050064072382297</v>
      </c>
      <c r="O241" s="86">
        <f t="shared" si="104"/>
        <v>-0.45084519131930589</v>
      </c>
      <c r="P241" s="87">
        <f t="shared" si="105"/>
        <v>0.13168005832695456</v>
      </c>
      <c r="Q241" s="86">
        <f t="shared" si="106"/>
        <v>-0.45084519131930595</v>
      </c>
      <c r="R241" s="85">
        <f t="shared" si="107"/>
        <v>-0.3214050932611936</v>
      </c>
    </row>
    <row r="242" spans="2:18">
      <c r="B242" s="83"/>
      <c r="C242" s="84">
        <v>58</v>
      </c>
      <c r="D242" s="84">
        <v>64</v>
      </c>
      <c r="E242" s="84">
        <v>2.7373127500000001</v>
      </c>
      <c r="F242" s="78"/>
      <c r="G242" s="85">
        <f t="shared" si="96"/>
        <v>0.78134670331231071</v>
      </c>
      <c r="H242" s="86">
        <f t="shared" si="97"/>
        <v>-5.555555555555558E-2</v>
      </c>
      <c r="I242" s="85">
        <f t="shared" si="98"/>
        <v>-0.467741935483871</v>
      </c>
      <c r="J242" s="85">
        <f t="shared" si="99"/>
        <v>0.40222145897557837</v>
      </c>
      <c r="K242" s="86">
        <f t="shared" si="100"/>
        <v>-0.42053252613266368</v>
      </c>
      <c r="L242" s="87">
        <f t="shared" si="101"/>
        <v>0.45442515612650952</v>
      </c>
      <c r="M242" s="86">
        <f t="shared" si="102"/>
        <v>-0.2685235735434775</v>
      </c>
      <c r="N242" s="87">
        <f t="shared" si="103"/>
        <v>0.66324573852337787</v>
      </c>
      <c r="O242" s="86">
        <f t="shared" si="104"/>
        <v>-0.45084519131930584</v>
      </c>
      <c r="P242" s="87">
        <f t="shared" si="105"/>
        <v>0.45994161005111711</v>
      </c>
      <c r="Q242" s="86">
        <f t="shared" si="106"/>
        <v>-0.42053252613266379</v>
      </c>
      <c r="R242" s="85">
        <f t="shared" si="107"/>
        <v>-0.32692154718580113</v>
      </c>
    </row>
    <row r="243" spans="2:18">
      <c r="B243" s="83"/>
      <c r="C243" s="84">
        <v>60</v>
      </c>
      <c r="D243" s="84">
        <v>32</v>
      </c>
      <c r="E243" s="84">
        <v>1.90760325</v>
      </c>
      <c r="F243" s="78"/>
      <c r="G243" s="85">
        <f t="shared" si="96"/>
        <v>0.46474154101596249</v>
      </c>
      <c r="H243" s="86">
        <f t="shared" si="97"/>
        <v>-3.9682539682539708E-2</v>
      </c>
      <c r="I243" s="85">
        <f t="shared" si="98"/>
        <v>-0.5</v>
      </c>
      <c r="J243" s="85">
        <f t="shared" si="99"/>
        <v>3.6637307618334836E-2</v>
      </c>
      <c r="K243" s="86">
        <f t="shared" si="100"/>
        <v>-0.45627408248320539</v>
      </c>
      <c r="L243" s="87">
        <f t="shared" si="101"/>
        <v>0.13587856981202362</v>
      </c>
      <c r="M243" s="86">
        <f t="shared" si="102"/>
        <v>-0.29883623873011977</v>
      </c>
      <c r="N243" s="87">
        <f t="shared" si="103"/>
        <v>0.3521570301516373</v>
      </c>
      <c r="O243" s="86">
        <f t="shared" si="104"/>
        <v>-0.45627408248320539</v>
      </c>
      <c r="P243" s="87">
        <f t="shared" si="105"/>
        <v>0.13587856981202362</v>
      </c>
      <c r="Q243" s="86">
        <f t="shared" si="106"/>
        <v>-0.45627408248320545</v>
      </c>
      <c r="R243" s="85">
        <f t="shared" si="107"/>
        <v>-0.32886297120393887</v>
      </c>
    </row>
    <row r="244" spans="2:18">
      <c r="B244" s="83"/>
      <c r="C244" s="84">
        <v>60</v>
      </c>
      <c r="D244" s="84">
        <v>64</v>
      </c>
      <c r="E244" s="84">
        <v>2.812125</v>
      </c>
      <c r="F244" s="78"/>
      <c r="G244" s="85">
        <f t="shared" si="96"/>
        <v>0.80989397745224156</v>
      </c>
      <c r="H244" s="86">
        <f t="shared" si="97"/>
        <v>-3.9682539682539708E-2</v>
      </c>
      <c r="I244" s="85">
        <f t="shared" si="98"/>
        <v>-0.467741935483871</v>
      </c>
      <c r="J244" s="85">
        <f t="shared" si="99"/>
        <v>0.43518501179421665</v>
      </c>
      <c r="K244" s="86">
        <f t="shared" si="100"/>
        <v>-0.42596141729656317</v>
      </c>
      <c r="L244" s="87">
        <f t="shared" si="101"/>
        <v>0.47551455232369511</v>
      </c>
      <c r="M244" s="86">
        <f t="shared" si="102"/>
        <v>-0.2685235735434775</v>
      </c>
      <c r="N244" s="87">
        <f t="shared" si="103"/>
        <v>0.69179301266330873</v>
      </c>
      <c r="O244" s="86">
        <f t="shared" si="104"/>
        <v>-0.45627408248320533</v>
      </c>
      <c r="P244" s="87">
        <f t="shared" si="105"/>
        <v>0.48103100624830269</v>
      </c>
      <c r="Q244" s="86">
        <f t="shared" si="106"/>
        <v>-0.42596141729656328</v>
      </c>
      <c r="R244" s="85">
        <f t="shared" si="107"/>
        <v>-0.33437942512854646</v>
      </c>
    </row>
    <row r="245" spans="2:18">
      <c r="B245" s="83"/>
      <c r="C245" s="84">
        <v>62</v>
      </c>
      <c r="D245" s="84">
        <v>32</v>
      </c>
      <c r="E245" s="84">
        <v>1.9246785</v>
      </c>
      <c r="F245" s="78"/>
      <c r="G245" s="85">
        <f t="shared" si="96"/>
        <v>0.47125720981028218</v>
      </c>
      <c r="H245" s="86">
        <f t="shared" si="97"/>
        <v>-2.3809523809523836E-2</v>
      </c>
      <c r="I245" s="85">
        <f t="shared" si="98"/>
        <v>-0.5</v>
      </c>
      <c r="J245" s="85">
        <f t="shared" si="99"/>
        <v>4.4160953883036758E-2</v>
      </c>
      <c r="K245" s="86">
        <f t="shared" si="100"/>
        <v>-0.46170297364710489</v>
      </c>
      <c r="L245" s="87">
        <f t="shared" si="101"/>
        <v>0.13493636066359807</v>
      </c>
      <c r="M245" s="86">
        <f t="shared" si="102"/>
        <v>-0.29883623873011977</v>
      </c>
      <c r="N245" s="87">
        <f t="shared" si="103"/>
        <v>0.35867269894595705</v>
      </c>
      <c r="O245" s="86">
        <f t="shared" si="104"/>
        <v>-0.46170297364710489</v>
      </c>
      <c r="P245" s="87">
        <f t="shared" si="105"/>
        <v>0.13493636066359807</v>
      </c>
      <c r="Q245" s="86">
        <f t="shared" si="106"/>
        <v>-0.46170297364710494</v>
      </c>
      <c r="R245" s="85">
        <f t="shared" si="107"/>
        <v>-0.33632084914668414</v>
      </c>
    </row>
    <row r="246" spans="2:18">
      <c r="B246" s="83"/>
      <c r="C246" s="84">
        <v>62</v>
      </c>
      <c r="D246" s="84">
        <v>64</v>
      </c>
      <c r="E246" s="84">
        <v>2.8848220000000002</v>
      </c>
      <c r="F246" s="78"/>
      <c r="G246" s="85">
        <f t="shared" si="96"/>
        <v>0.83763410274122263</v>
      </c>
      <c r="H246" s="86">
        <f t="shared" si="97"/>
        <v>-2.3809523809523836E-2</v>
      </c>
      <c r="I246" s="85">
        <f t="shared" si="98"/>
        <v>-0.467741935483871</v>
      </c>
      <c r="J246" s="85">
        <f t="shared" si="99"/>
        <v>0.46721654940011093</v>
      </c>
      <c r="K246" s="86">
        <f t="shared" si="100"/>
        <v>-0.43139030846046267</v>
      </c>
      <c r="L246" s="87">
        <f t="shared" si="101"/>
        <v>0.49579679966993084</v>
      </c>
      <c r="M246" s="86">
        <f t="shared" si="102"/>
        <v>-0.2685235735434775</v>
      </c>
      <c r="N246" s="87">
        <f t="shared" si="103"/>
        <v>0.71953313795228979</v>
      </c>
      <c r="O246" s="86">
        <f t="shared" si="104"/>
        <v>-0.46170297364710483</v>
      </c>
      <c r="P246" s="87">
        <f t="shared" si="105"/>
        <v>0.50131325359453838</v>
      </c>
      <c r="Q246" s="86">
        <f t="shared" si="106"/>
        <v>-0.43139030846046278</v>
      </c>
      <c r="R246" s="85">
        <f t="shared" si="107"/>
        <v>-0.34183730307129173</v>
      </c>
    </row>
    <row r="247" spans="2:18">
      <c r="B247" s="83"/>
      <c r="C247" s="84">
        <v>64</v>
      </c>
      <c r="D247" s="84">
        <v>32</v>
      </c>
      <c r="E247" s="84">
        <v>1.9451130000000001</v>
      </c>
      <c r="F247" s="78"/>
      <c r="G247" s="85">
        <f t="shared" si="96"/>
        <v>0.47905471988934584</v>
      </c>
      <c r="H247" s="86">
        <f t="shared" si="97"/>
        <v>-7.9365079365079638E-3</v>
      </c>
      <c r="I247" s="85">
        <f t="shared" si="98"/>
        <v>-0.5</v>
      </c>
      <c r="J247" s="85">
        <f t="shared" si="99"/>
        <v>5.3164742969349144E-2</v>
      </c>
      <c r="K247" s="86">
        <f t="shared" si="100"/>
        <v>-0.46713186481100438</v>
      </c>
      <c r="L247" s="87">
        <f t="shared" si="101"/>
        <v>0.13527599279991637</v>
      </c>
      <c r="M247" s="86">
        <f t="shared" si="102"/>
        <v>-0.29883623873011977</v>
      </c>
      <c r="N247" s="87">
        <f t="shared" si="103"/>
        <v>0.36647020902502064</v>
      </c>
      <c r="O247" s="86">
        <f t="shared" si="104"/>
        <v>-0.46713186481100438</v>
      </c>
      <c r="P247" s="87">
        <f t="shared" si="105"/>
        <v>0.13527599279991637</v>
      </c>
      <c r="Q247" s="86">
        <f t="shared" si="106"/>
        <v>-0.46713186481100444</v>
      </c>
      <c r="R247" s="85">
        <f t="shared" si="107"/>
        <v>-0.34377872708942947</v>
      </c>
    </row>
    <row r="248" spans="2:18">
      <c r="B248" s="83"/>
      <c r="C248" s="84">
        <v>64</v>
      </c>
      <c r="D248" s="84">
        <v>64</v>
      </c>
      <c r="E248" s="84">
        <v>2.9572102500000002</v>
      </c>
      <c r="F248" s="78"/>
      <c r="G248" s="85">
        <f t="shared" si="96"/>
        <v>0.86525641348925963</v>
      </c>
      <c r="H248" s="86">
        <f t="shared" si="97"/>
        <v>-7.9365079365079638E-3</v>
      </c>
      <c r="I248" s="85">
        <f t="shared" si="98"/>
        <v>-0.467741935483871</v>
      </c>
      <c r="J248" s="85">
        <f t="shared" si="99"/>
        <v>0.49911204649214835</v>
      </c>
      <c r="K248" s="86">
        <f t="shared" si="100"/>
        <v>-0.43681919962436216</v>
      </c>
      <c r="L248" s="87">
        <f t="shared" si="101"/>
        <v>0.51596123247522263</v>
      </c>
      <c r="M248" s="86">
        <f t="shared" si="102"/>
        <v>-0.2685235735434775</v>
      </c>
      <c r="N248" s="87">
        <f t="shared" si="103"/>
        <v>0.74715544870032691</v>
      </c>
      <c r="O248" s="86">
        <f t="shared" si="104"/>
        <v>-0.46713186481100433</v>
      </c>
      <c r="P248" s="87">
        <f t="shared" si="105"/>
        <v>0.52147768639983028</v>
      </c>
      <c r="Q248" s="86">
        <f t="shared" si="106"/>
        <v>-0.43681919962436228</v>
      </c>
      <c r="R248" s="85">
        <f t="shared" si="107"/>
        <v>-0.349295181014037</v>
      </c>
    </row>
    <row r="249" spans="2:18">
      <c r="B249" s="83"/>
      <c r="C249" s="84">
        <v>66</v>
      </c>
      <c r="D249" s="84">
        <v>32</v>
      </c>
      <c r="E249" s="84">
        <v>1.9668987499999999</v>
      </c>
      <c r="F249" s="78"/>
      <c r="G249" s="85">
        <f t="shared" si="96"/>
        <v>0.48736784745326744</v>
      </c>
      <c r="H249" s="86">
        <f t="shared" si="97"/>
        <v>7.9365079365079083E-3</v>
      </c>
      <c r="I249" s="85">
        <f t="shared" si="98"/>
        <v>-0.5</v>
      </c>
      <c r="J249" s="85">
        <f t="shared" si="99"/>
        <v>6.2763915843024765E-2</v>
      </c>
      <c r="K249" s="86">
        <f t="shared" si="100"/>
        <v>-0.47256075597490388</v>
      </c>
      <c r="L249" s="87">
        <f t="shared" si="101"/>
        <v>0.13613124242109265</v>
      </c>
      <c r="M249" s="86">
        <f t="shared" si="102"/>
        <v>-0.29883623873011977</v>
      </c>
      <c r="N249" s="87">
        <f t="shared" si="103"/>
        <v>0.3747833365889422</v>
      </c>
      <c r="O249" s="86">
        <f t="shared" si="104"/>
        <v>-0.47256075597490388</v>
      </c>
      <c r="P249" s="87">
        <f t="shared" si="105"/>
        <v>0.13613124242109265</v>
      </c>
      <c r="Q249" s="86">
        <f t="shared" si="106"/>
        <v>-0.47256075597490393</v>
      </c>
      <c r="R249" s="85">
        <f t="shared" si="107"/>
        <v>-0.3512366050321748</v>
      </c>
    </row>
    <row r="250" spans="2:18">
      <c r="B250" s="83"/>
      <c r="C250" s="84">
        <v>68</v>
      </c>
      <c r="D250" s="84">
        <v>32</v>
      </c>
      <c r="E250" s="84">
        <v>1.9948269999999999</v>
      </c>
      <c r="F250" s="78"/>
      <c r="G250" s="85">
        <f t="shared" si="96"/>
        <v>0.49802486430543436</v>
      </c>
      <c r="H250" s="86">
        <f t="shared" si="97"/>
        <v>2.3809523809523836E-2</v>
      </c>
      <c r="I250" s="85">
        <f t="shared" si="98"/>
        <v>-0.5</v>
      </c>
      <c r="J250" s="85">
        <f t="shared" si="99"/>
        <v>7.5069578939738646E-2</v>
      </c>
      <c r="K250" s="86">
        <f t="shared" si="100"/>
        <v>-0.47798964713880343</v>
      </c>
      <c r="L250" s="87">
        <f t="shared" si="101"/>
        <v>0.13933038133051423</v>
      </c>
      <c r="M250" s="86">
        <f t="shared" si="102"/>
        <v>-0.29883623873011977</v>
      </c>
      <c r="N250" s="87">
        <f t="shared" si="103"/>
        <v>0.38544035344110911</v>
      </c>
      <c r="O250" s="86">
        <f t="shared" si="104"/>
        <v>-0.47798964713880343</v>
      </c>
      <c r="P250" s="87">
        <f t="shared" si="105"/>
        <v>0.13933038133051423</v>
      </c>
      <c r="Q250" s="86">
        <f t="shared" si="106"/>
        <v>-0.47798964713880349</v>
      </c>
      <c r="R250" s="85">
        <f t="shared" si="107"/>
        <v>-0.35869448297492013</v>
      </c>
    </row>
    <row r="251" spans="2:18">
      <c r="B251" s="83"/>
      <c r="C251" s="84">
        <v>70</v>
      </c>
      <c r="D251" s="84">
        <v>32</v>
      </c>
      <c r="E251" s="84">
        <v>2.026942</v>
      </c>
      <c r="F251" s="78"/>
      <c r="G251" s="85">
        <f t="shared" si="96"/>
        <v>0.51027948449135152</v>
      </c>
      <c r="H251" s="86">
        <f t="shared" si="97"/>
        <v>3.9682539682539653E-2</v>
      </c>
      <c r="I251" s="85">
        <f t="shared" si="98"/>
        <v>-0.5</v>
      </c>
      <c r="J251" s="85">
        <f t="shared" si="99"/>
        <v>8.9219995466050528E-2</v>
      </c>
      <c r="K251" s="86">
        <f t="shared" si="100"/>
        <v>-0.48341853830270293</v>
      </c>
      <c r="L251" s="87">
        <f t="shared" si="101"/>
        <v>0.14412712357368618</v>
      </c>
      <c r="M251" s="86">
        <f t="shared" si="102"/>
        <v>-0.29883623873011977</v>
      </c>
      <c r="N251" s="87">
        <f t="shared" si="103"/>
        <v>0.39769497362702633</v>
      </c>
      <c r="O251" s="86">
        <f t="shared" si="104"/>
        <v>-0.48341853830270293</v>
      </c>
      <c r="P251" s="87">
        <f t="shared" si="105"/>
        <v>0.14412712357368618</v>
      </c>
      <c r="Q251" s="86">
        <f t="shared" si="106"/>
        <v>-0.48341853830270298</v>
      </c>
      <c r="R251" s="85">
        <f t="shared" si="107"/>
        <v>-0.36615236091766534</v>
      </c>
    </row>
    <row r="252" spans="2:18">
      <c r="B252" s="83"/>
      <c r="C252" s="84">
        <v>72</v>
      </c>
      <c r="D252" s="84">
        <v>32</v>
      </c>
      <c r="E252" s="84">
        <v>2.0511262499999998</v>
      </c>
      <c r="F252" s="78"/>
      <c r="G252" s="85">
        <f t="shared" si="96"/>
        <v>0.51950784501544511</v>
      </c>
      <c r="H252" s="86">
        <f t="shared" si="97"/>
        <v>5.555555555555558E-2</v>
      </c>
      <c r="I252" s="85">
        <f t="shared" si="98"/>
        <v>-0.5</v>
      </c>
      <c r="J252" s="85">
        <f t="shared" si="99"/>
        <v>9.987598833157918E-2</v>
      </c>
      <c r="K252" s="86">
        <f t="shared" si="100"/>
        <v>-0.48884742946660242</v>
      </c>
      <c r="L252" s="87">
        <f t="shared" si="101"/>
        <v>0.14589760615503439</v>
      </c>
      <c r="M252" s="86">
        <f t="shared" si="102"/>
        <v>-0.29883623873011977</v>
      </c>
      <c r="N252" s="87">
        <f t="shared" si="103"/>
        <v>0.40692333415111992</v>
      </c>
      <c r="O252" s="86">
        <f t="shared" si="104"/>
        <v>-0.48884742946660242</v>
      </c>
      <c r="P252" s="87">
        <f t="shared" si="105"/>
        <v>0.14589760615503439</v>
      </c>
      <c r="Q252" s="86">
        <f t="shared" si="106"/>
        <v>-0.48884742946660248</v>
      </c>
      <c r="R252" s="85">
        <f t="shared" si="107"/>
        <v>-0.37361023886041067</v>
      </c>
    </row>
    <row r="253" spans="2:18">
      <c r="B253" s="83"/>
      <c r="C253" s="84">
        <v>74</v>
      </c>
      <c r="D253" s="84">
        <v>32</v>
      </c>
      <c r="E253" s="84">
        <v>2.07738975</v>
      </c>
      <c r="F253" s="78"/>
      <c r="G253" s="85">
        <f t="shared" si="96"/>
        <v>0.52952961731041115</v>
      </c>
      <c r="H253" s="86">
        <f t="shared" si="97"/>
        <v>7.1428571428571397E-2</v>
      </c>
      <c r="I253" s="85">
        <f t="shared" si="98"/>
        <v>-0.5</v>
      </c>
      <c r="J253" s="85">
        <f t="shared" si="99"/>
        <v>0.11144813419609079</v>
      </c>
      <c r="K253" s="86">
        <f t="shared" si="100"/>
        <v>-0.49427632063050192</v>
      </c>
      <c r="L253" s="87">
        <f t="shared" si="101"/>
        <v>0.14846150050725521</v>
      </c>
      <c r="M253" s="86">
        <f t="shared" si="102"/>
        <v>-0.29883623873011977</v>
      </c>
      <c r="N253" s="87">
        <f t="shared" si="103"/>
        <v>0.41694510644608601</v>
      </c>
      <c r="O253" s="86">
        <f t="shared" si="104"/>
        <v>-0.49427632063050192</v>
      </c>
      <c r="P253" s="87">
        <f t="shared" si="105"/>
        <v>0.14846150050725521</v>
      </c>
      <c r="Q253" s="86">
        <f t="shared" si="106"/>
        <v>-0.49427632063050198</v>
      </c>
      <c r="R253" s="85">
        <f t="shared" si="107"/>
        <v>-0.381068116803156</v>
      </c>
    </row>
    <row r="254" spans="2:18">
      <c r="B254" s="83"/>
      <c r="C254" s="84">
        <v>76</v>
      </c>
      <c r="D254" s="84">
        <v>32</v>
      </c>
      <c r="E254" s="84">
        <v>2.1011665000000002</v>
      </c>
      <c r="F254" s="78"/>
      <c r="G254" s="85">
        <f t="shared" ref="G254:G280" si="108">D$19*(L254-R254)</f>
        <v>0.53860248171973724</v>
      </c>
      <c r="H254" s="86">
        <f t="shared" ref="H254:H280" si="109">(C254-H$16)/H$17-0.5</f>
        <v>8.7301587301587324E-2</v>
      </c>
      <c r="I254" s="85">
        <f t="shared" ref="I254:I280" si="110">(D254-I$16)/I$17-0.5</f>
        <v>-0.5</v>
      </c>
      <c r="J254" s="85">
        <f t="shared" ref="J254:J280" si="111">(E254-J$16)/J$17-0.5</f>
        <v>0.12192457561418157</v>
      </c>
      <c r="K254" s="86">
        <f t="shared" ref="K254:K280" si="112">(H254*$H$13+I254*$I$13+J254*$J$13+$D$27)*$C$27</f>
        <v>-0.49970521179440142</v>
      </c>
      <c r="L254" s="87">
        <f t="shared" ref="L254:L280" si="113">(H254*$H$14+I254*$I$14+J254*$J$14+$E$27)*$C$27</f>
        <v>0.15007648697383599</v>
      </c>
      <c r="M254" s="86">
        <f t="shared" ref="M254:M280" si="114">(H$27*$H$13+I254*$I$13+J254*$J$13+$D$27)*$C$27</f>
        <v>-0.29883623873011977</v>
      </c>
      <c r="N254" s="87">
        <f t="shared" ref="N254:N280" si="115">(H$27*$H$14+I254*$I$14+J254*$J$14+$E$27)*$C$27</f>
        <v>0.4260179708554121</v>
      </c>
      <c r="O254" s="86">
        <f t="shared" ref="O254:O280" si="116">(H254*$H$13+I$27*$I$13+J254*$J$13+$D$27)*$C$27</f>
        <v>-0.49970521179440142</v>
      </c>
      <c r="P254" s="87">
        <f t="shared" ref="P254:P280" si="117">(H254*$H$14+I$27*$I$14+J254*$J$14+$E$27)*$C$27</f>
        <v>0.15007648697383599</v>
      </c>
      <c r="Q254" s="86">
        <f t="shared" ref="Q254:Q280" si="118">(H254*$H$13+I254*$I$13+J$27*$J$13+$D$27)*$C$27</f>
        <v>-0.49970521179440147</v>
      </c>
      <c r="R254" s="85">
        <f t="shared" ref="R254:R280" si="119">(H254*$H$14+I254*$I$14+J$27*$J$14+$E$27)*$C$27</f>
        <v>-0.38852599474590127</v>
      </c>
    </row>
    <row r="255" spans="2:18">
      <c r="B255" s="83"/>
      <c r="C255" s="84">
        <v>78</v>
      </c>
      <c r="D255" s="84">
        <v>32</v>
      </c>
      <c r="E255" s="84">
        <v>2.12696825</v>
      </c>
      <c r="F255" s="78"/>
      <c r="G255" s="85">
        <f t="shared" si="108"/>
        <v>0.54844805688342979</v>
      </c>
      <c r="H255" s="86">
        <f t="shared" si="109"/>
        <v>0.10317460317460314</v>
      </c>
      <c r="I255" s="85">
        <f t="shared" si="110"/>
        <v>-0.5</v>
      </c>
      <c r="J255" s="85">
        <f t="shared" si="111"/>
        <v>0.13329326655635076</v>
      </c>
      <c r="K255" s="86">
        <f t="shared" si="112"/>
        <v>-0.50513410295830097</v>
      </c>
      <c r="L255" s="87">
        <f t="shared" si="113"/>
        <v>0.15246418419478328</v>
      </c>
      <c r="M255" s="86">
        <f t="shared" si="114"/>
        <v>-0.29883623873011977</v>
      </c>
      <c r="N255" s="87">
        <f t="shared" si="115"/>
        <v>0.43586354601910465</v>
      </c>
      <c r="O255" s="86">
        <f t="shared" si="116"/>
        <v>-0.50513410295830097</v>
      </c>
      <c r="P255" s="87">
        <f t="shared" si="117"/>
        <v>0.15246418419478328</v>
      </c>
      <c r="Q255" s="86">
        <f t="shared" si="118"/>
        <v>-0.50513410295830108</v>
      </c>
      <c r="R255" s="85">
        <f t="shared" si="119"/>
        <v>-0.39598387268864654</v>
      </c>
    </row>
    <row r="256" spans="2:18">
      <c r="B256" s="83"/>
      <c r="C256" s="84">
        <v>80</v>
      </c>
      <c r="D256" s="84">
        <v>32</v>
      </c>
      <c r="E256" s="84">
        <v>2.1527340000000001</v>
      </c>
      <c r="F256" s="78"/>
      <c r="G256" s="85">
        <f t="shared" si="108"/>
        <v>0.55827989496704489</v>
      </c>
      <c r="H256" s="86">
        <f t="shared" si="109"/>
        <v>0.11904761904761907</v>
      </c>
      <c r="I256" s="85">
        <f t="shared" si="110"/>
        <v>-0.5</v>
      </c>
      <c r="J256" s="85">
        <f t="shared" si="111"/>
        <v>0.14464609528475869</v>
      </c>
      <c r="K256" s="86">
        <f t="shared" si="112"/>
        <v>-0.51056299412220041</v>
      </c>
      <c r="L256" s="87">
        <f t="shared" si="113"/>
        <v>0.15483814433565299</v>
      </c>
      <c r="M256" s="86">
        <f t="shared" si="114"/>
        <v>-0.29883623873011977</v>
      </c>
      <c r="N256" s="87">
        <f t="shared" si="115"/>
        <v>0.44569538410271969</v>
      </c>
      <c r="O256" s="86">
        <f t="shared" si="116"/>
        <v>-0.51056299412220041</v>
      </c>
      <c r="P256" s="87">
        <f t="shared" si="117"/>
        <v>0.15483814433565299</v>
      </c>
      <c r="Q256" s="86">
        <f t="shared" si="118"/>
        <v>-0.51056299412220052</v>
      </c>
      <c r="R256" s="85">
        <f t="shared" si="119"/>
        <v>-0.40344175063139187</v>
      </c>
    </row>
    <row r="257" spans="2:18">
      <c r="B257" s="83"/>
      <c r="C257" s="84">
        <v>82</v>
      </c>
      <c r="D257" s="84">
        <v>32</v>
      </c>
      <c r="E257" s="84">
        <v>2.1762592500000002</v>
      </c>
      <c r="F257" s="78"/>
      <c r="G257" s="85">
        <f t="shared" si="108"/>
        <v>0.56725679060860634</v>
      </c>
      <c r="H257" s="86">
        <f t="shared" si="109"/>
        <v>0.13492063492063489</v>
      </c>
      <c r="I257" s="85">
        <f t="shared" si="110"/>
        <v>-0.5</v>
      </c>
      <c r="J257" s="85">
        <f t="shared" si="111"/>
        <v>0.15501172151504405</v>
      </c>
      <c r="K257" s="86">
        <f t="shared" si="112"/>
        <v>-0.51599188528609996</v>
      </c>
      <c r="L257" s="87">
        <f t="shared" si="113"/>
        <v>0.15635716203446917</v>
      </c>
      <c r="M257" s="86">
        <f t="shared" si="114"/>
        <v>-0.29883623873011977</v>
      </c>
      <c r="N257" s="87">
        <f t="shared" si="115"/>
        <v>0.45467227974428115</v>
      </c>
      <c r="O257" s="86">
        <f t="shared" si="116"/>
        <v>-0.51599188528609996</v>
      </c>
      <c r="P257" s="87">
        <f t="shared" si="117"/>
        <v>0.15635716203446917</v>
      </c>
      <c r="Q257" s="86">
        <f t="shared" si="118"/>
        <v>-0.51599188528610007</v>
      </c>
      <c r="R257" s="85">
        <f t="shared" si="119"/>
        <v>-0.4108996285741372</v>
      </c>
    </row>
    <row r="258" spans="2:18">
      <c r="B258" s="83"/>
      <c r="C258" s="84">
        <v>84</v>
      </c>
      <c r="D258" s="84">
        <v>32</v>
      </c>
      <c r="E258" s="84">
        <v>2.20230025</v>
      </c>
      <c r="F258" s="78"/>
      <c r="G258" s="85">
        <f t="shared" si="108"/>
        <v>0.57719366011698137</v>
      </c>
      <c r="H258" s="86">
        <f t="shared" si="109"/>
        <v>0.15079365079365081</v>
      </c>
      <c r="I258" s="85">
        <f t="shared" si="110"/>
        <v>-0.5</v>
      </c>
      <c r="J258" s="85">
        <f t="shared" si="111"/>
        <v>0.16648583008616913</v>
      </c>
      <c r="K258" s="86">
        <f t="shared" si="112"/>
        <v>-0.52142077644999951</v>
      </c>
      <c r="L258" s="87">
        <f t="shared" si="113"/>
        <v>0.15883615360009895</v>
      </c>
      <c r="M258" s="86">
        <f t="shared" si="114"/>
        <v>-0.29883623873011977</v>
      </c>
      <c r="N258" s="87">
        <f t="shared" si="115"/>
        <v>0.46460914925265623</v>
      </c>
      <c r="O258" s="86">
        <f t="shared" si="116"/>
        <v>-0.52142077644999951</v>
      </c>
      <c r="P258" s="87">
        <f t="shared" si="117"/>
        <v>0.15883615360009895</v>
      </c>
      <c r="Q258" s="86">
        <f t="shared" si="118"/>
        <v>-0.52142077644999962</v>
      </c>
      <c r="R258" s="85">
        <f t="shared" si="119"/>
        <v>-0.41835750651688247</v>
      </c>
    </row>
    <row r="259" spans="2:18">
      <c r="B259" s="83"/>
      <c r="C259" s="84">
        <v>86</v>
      </c>
      <c r="D259" s="84">
        <v>32</v>
      </c>
      <c r="E259" s="84">
        <v>2.2325957500000002</v>
      </c>
      <c r="F259" s="78"/>
      <c r="G259" s="85">
        <f t="shared" si="108"/>
        <v>0.58875398538064194</v>
      </c>
      <c r="H259" s="86">
        <f t="shared" si="109"/>
        <v>0.16666666666666663</v>
      </c>
      <c r="I259" s="85">
        <f t="shared" si="110"/>
        <v>-0.5</v>
      </c>
      <c r="J259" s="85">
        <f t="shared" si="111"/>
        <v>0.17983454389195719</v>
      </c>
      <c r="K259" s="86">
        <f t="shared" si="112"/>
        <v>-0.52684966761389895</v>
      </c>
      <c r="L259" s="87">
        <f t="shared" si="113"/>
        <v>0.1629386009210142</v>
      </c>
      <c r="M259" s="86">
        <f t="shared" si="114"/>
        <v>-0.29883623873011977</v>
      </c>
      <c r="N259" s="87">
        <f t="shared" si="115"/>
        <v>0.47616947451631675</v>
      </c>
      <c r="O259" s="86">
        <f t="shared" si="116"/>
        <v>-0.52684966761389895</v>
      </c>
      <c r="P259" s="87">
        <f t="shared" si="117"/>
        <v>0.1629386009210142</v>
      </c>
      <c r="Q259" s="86">
        <f t="shared" si="118"/>
        <v>-0.52684966761389906</v>
      </c>
      <c r="R259" s="85">
        <f t="shared" si="119"/>
        <v>-0.42581538445962774</v>
      </c>
    </row>
    <row r="260" spans="2:18">
      <c r="B260" s="83"/>
      <c r="C260" s="84">
        <v>88</v>
      </c>
      <c r="D260" s="84">
        <v>32</v>
      </c>
      <c r="E260" s="84">
        <v>2.262448</v>
      </c>
      <c r="F260" s="78"/>
      <c r="G260" s="85">
        <f t="shared" si="108"/>
        <v>0.60014517284584645</v>
      </c>
      <c r="H260" s="86">
        <f t="shared" si="109"/>
        <v>0.18253968253968256</v>
      </c>
      <c r="I260" s="85">
        <f t="shared" si="110"/>
        <v>-0.5</v>
      </c>
      <c r="J260" s="85">
        <f t="shared" si="111"/>
        <v>0.19298795419080783</v>
      </c>
      <c r="K260" s="86">
        <f t="shared" si="112"/>
        <v>-0.53227855877779851</v>
      </c>
      <c r="L260" s="87">
        <f t="shared" si="113"/>
        <v>0.16687191044347338</v>
      </c>
      <c r="M260" s="86">
        <f t="shared" si="114"/>
        <v>-0.29883623873011977</v>
      </c>
      <c r="N260" s="87">
        <f t="shared" si="115"/>
        <v>0.48756066198152126</v>
      </c>
      <c r="O260" s="86">
        <f t="shared" si="116"/>
        <v>-0.53227855877779851</v>
      </c>
      <c r="P260" s="87">
        <f t="shared" si="117"/>
        <v>0.16687191044347338</v>
      </c>
      <c r="Q260" s="86">
        <f t="shared" si="118"/>
        <v>-0.53227855877779862</v>
      </c>
      <c r="R260" s="85">
        <f t="shared" si="119"/>
        <v>-0.43327326240237307</v>
      </c>
    </row>
    <row r="261" spans="2:18">
      <c r="B261" s="83"/>
      <c r="C261" s="84">
        <v>90</v>
      </c>
      <c r="D261" s="84">
        <v>32</v>
      </c>
      <c r="E261" s="84">
        <v>2.29583125</v>
      </c>
      <c r="F261" s="78"/>
      <c r="G261" s="85">
        <f t="shared" si="108"/>
        <v>0.61288373891533166</v>
      </c>
      <c r="H261" s="86">
        <f t="shared" si="109"/>
        <v>0.19841269841269837</v>
      </c>
      <c r="I261" s="85">
        <f t="shared" si="110"/>
        <v>-0.5</v>
      </c>
      <c r="J261" s="85">
        <f t="shared" si="111"/>
        <v>0.2076971832894221</v>
      </c>
      <c r="K261" s="86">
        <f t="shared" si="112"/>
        <v>-0.53770744994169795</v>
      </c>
      <c r="L261" s="87">
        <f t="shared" si="113"/>
        <v>0.17215259857021337</v>
      </c>
      <c r="M261" s="86">
        <f t="shared" si="114"/>
        <v>-0.29883623873011977</v>
      </c>
      <c r="N261" s="87">
        <f t="shared" si="115"/>
        <v>0.50029922805100657</v>
      </c>
      <c r="O261" s="86">
        <f t="shared" si="116"/>
        <v>-0.53770744994169795</v>
      </c>
      <c r="P261" s="87">
        <f t="shared" si="117"/>
        <v>0.17215259857021337</v>
      </c>
      <c r="Q261" s="86">
        <f t="shared" si="118"/>
        <v>-0.53770744994169806</v>
      </c>
      <c r="R261" s="85">
        <f t="shared" si="119"/>
        <v>-0.44073114034511834</v>
      </c>
    </row>
    <row r="262" spans="2:18">
      <c r="B262" s="83"/>
      <c r="C262" s="84">
        <v>92</v>
      </c>
      <c r="D262" s="84">
        <v>32</v>
      </c>
      <c r="E262" s="84">
        <v>2.321796</v>
      </c>
      <c r="F262" s="78"/>
      <c r="G262" s="85">
        <f t="shared" si="108"/>
        <v>0.62279151252493126</v>
      </c>
      <c r="H262" s="86">
        <f t="shared" si="109"/>
        <v>0.2142857142857143</v>
      </c>
      <c r="I262" s="85">
        <f t="shared" si="110"/>
        <v>-0.5</v>
      </c>
      <c r="J262" s="85">
        <f t="shared" si="111"/>
        <v>0.21913769481056655</v>
      </c>
      <c r="K262" s="86">
        <f t="shared" si="112"/>
        <v>-0.5431363411055975</v>
      </c>
      <c r="L262" s="87">
        <f t="shared" si="113"/>
        <v>0.17460249423706764</v>
      </c>
      <c r="M262" s="86">
        <f t="shared" si="114"/>
        <v>-0.29883623873011977</v>
      </c>
      <c r="N262" s="87">
        <f t="shared" si="115"/>
        <v>0.51020700166060617</v>
      </c>
      <c r="O262" s="86">
        <f t="shared" si="116"/>
        <v>-0.5431363411055975</v>
      </c>
      <c r="P262" s="87">
        <f t="shared" si="117"/>
        <v>0.17460249423706764</v>
      </c>
      <c r="Q262" s="86">
        <f t="shared" si="118"/>
        <v>-0.54313634110559761</v>
      </c>
      <c r="R262" s="85">
        <f t="shared" si="119"/>
        <v>-0.44818901828786367</v>
      </c>
    </row>
    <row r="263" spans="2:18">
      <c r="B263" s="83"/>
      <c r="C263" s="84">
        <v>94</v>
      </c>
      <c r="D263" s="84">
        <v>32</v>
      </c>
      <c r="E263" s="84">
        <v>2.3537157500000001</v>
      </c>
      <c r="F263" s="78"/>
      <c r="G263" s="85">
        <f t="shared" si="108"/>
        <v>0.63497162813070529</v>
      </c>
      <c r="H263" s="86">
        <f t="shared" si="109"/>
        <v>0.23015873015873012</v>
      </c>
      <c r="I263" s="85">
        <f t="shared" si="110"/>
        <v>-0.5</v>
      </c>
      <c r="J263" s="85">
        <f t="shared" si="111"/>
        <v>0.23320208085807526</v>
      </c>
      <c r="K263" s="86">
        <f t="shared" si="112"/>
        <v>-0.54856523226949694</v>
      </c>
      <c r="L263" s="87">
        <f t="shared" si="113"/>
        <v>0.17932473190009635</v>
      </c>
      <c r="M263" s="86">
        <f t="shared" si="114"/>
        <v>-0.29883623873011972</v>
      </c>
      <c r="N263" s="87">
        <f t="shared" si="115"/>
        <v>0.5223871172663801</v>
      </c>
      <c r="O263" s="86">
        <f t="shared" si="116"/>
        <v>-0.54856523226949694</v>
      </c>
      <c r="P263" s="87">
        <f t="shared" si="117"/>
        <v>0.17932473190009635</v>
      </c>
      <c r="Q263" s="86">
        <f t="shared" si="118"/>
        <v>-0.54856523226949705</v>
      </c>
      <c r="R263" s="85">
        <f t="shared" si="119"/>
        <v>-0.45564689623060894</v>
      </c>
    </row>
    <row r="264" spans="2:18">
      <c r="B264" s="83"/>
      <c r="C264" s="84">
        <v>96</v>
      </c>
      <c r="D264" s="84">
        <v>32</v>
      </c>
      <c r="E264" s="84">
        <v>2.3955765000000002</v>
      </c>
      <c r="F264" s="78"/>
      <c r="G264" s="85">
        <f t="shared" si="108"/>
        <v>0.6509450857656931</v>
      </c>
      <c r="H264" s="86">
        <f t="shared" si="109"/>
        <v>0.24603174603174605</v>
      </c>
      <c r="I264" s="85">
        <f t="shared" si="110"/>
        <v>-0.5</v>
      </c>
      <c r="J264" s="85">
        <f t="shared" si="111"/>
        <v>0.25164664098897382</v>
      </c>
      <c r="K264" s="86">
        <f t="shared" si="112"/>
        <v>-0.55399412343339649</v>
      </c>
      <c r="L264" s="87">
        <f t="shared" si="113"/>
        <v>0.18784031159233883</v>
      </c>
      <c r="M264" s="86">
        <f t="shared" si="114"/>
        <v>-0.29883623873011972</v>
      </c>
      <c r="N264" s="87">
        <f t="shared" si="115"/>
        <v>0.53836057490136791</v>
      </c>
      <c r="O264" s="86">
        <f t="shared" si="116"/>
        <v>-0.55399412343339649</v>
      </c>
      <c r="P264" s="87">
        <f t="shared" si="117"/>
        <v>0.18784031159233883</v>
      </c>
      <c r="Q264" s="86">
        <f t="shared" si="118"/>
        <v>-0.5539941234333966</v>
      </c>
      <c r="R264" s="85">
        <f t="shared" si="119"/>
        <v>-0.46310477417335427</v>
      </c>
    </row>
    <row r="265" spans="2:18">
      <c r="B265" s="83"/>
      <c r="C265" s="84">
        <v>98</v>
      </c>
      <c r="D265" s="84">
        <v>32</v>
      </c>
      <c r="E265" s="84">
        <v>2.4222872500000001</v>
      </c>
      <c r="F265" s="78"/>
      <c r="G265" s="85">
        <f t="shared" si="108"/>
        <v>0.66113752220134581</v>
      </c>
      <c r="H265" s="86">
        <f t="shared" si="109"/>
        <v>0.26190476190476186</v>
      </c>
      <c r="I265" s="85">
        <f t="shared" si="110"/>
        <v>-0.5</v>
      </c>
      <c r="J265" s="85">
        <f t="shared" si="111"/>
        <v>0.26341585282861824</v>
      </c>
      <c r="K265" s="86">
        <f t="shared" si="112"/>
        <v>-0.55942301459729593</v>
      </c>
      <c r="L265" s="87">
        <f t="shared" si="113"/>
        <v>0.19057487008524621</v>
      </c>
      <c r="M265" s="86">
        <f t="shared" si="114"/>
        <v>-0.29883623873011972</v>
      </c>
      <c r="N265" s="87">
        <f t="shared" si="115"/>
        <v>0.5485530113370205</v>
      </c>
      <c r="O265" s="86">
        <f t="shared" si="116"/>
        <v>-0.55942301459729593</v>
      </c>
      <c r="P265" s="87">
        <f t="shared" si="117"/>
        <v>0.19057487008524621</v>
      </c>
      <c r="Q265" s="86">
        <f t="shared" si="118"/>
        <v>-0.55942301459729604</v>
      </c>
      <c r="R265" s="85">
        <f t="shared" si="119"/>
        <v>-0.47056265211609954</v>
      </c>
    </row>
    <row r="266" spans="2:18">
      <c r="B266" s="83"/>
      <c r="C266" s="84">
        <v>100</v>
      </c>
      <c r="D266" s="84">
        <v>32</v>
      </c>
      <c r="E266" s="84">
        <v>2.4624552500000001</v>
      </c>
      <c r="F266" s="78"/>
      <c r="G266" s="85">
        <f t="shared" si="108"/>
        <v>0.67646505088351661</v>
      </c>
      <c r="H266" s="86">
        <f t="shared" si="109"/>
        <v>0.27777777777777779</v>
      </c>
      <c r="I266" s="85">
        <f t="shared" si="110"/>
        <v>-0.5</v>
      </c>
      <c r="J266" s="85">
        <f t="shared" si="111"/>
        <v>0.28111455844994437</v>
      </c>
      <c r="K266" s="86">
        <f t="shared" si="112"/>
        <v>-0.56485190576119548</v>
      </c>
      <c r="L266" s="87">
        <f t="shared" si="113"/>
        <v>0.19844452082467176</v>
      </c>
      <c r="M266" s="86">
        <f t="shared" si="114"/>
        <v>-0.29883623873011972</v>
      </c>
      <c r="N266" s="87">
        <f t="shared" si="115"/>
        <v>0.56388054001919141</v>
      </c>
      <c r="O266" s="86">
        <f t="shared" si="116"/>
        <v>-0.56485190576119548</v>
      </c>
      <c r="P266" s="87">
        <f t="shared" si="117"/>
        <v>0.19844452082467176</v>
      </c>
      <c r="Q266" s="86">
        <f t="shared" si="118"/>
        <v>-0.56485190576119559</v>
      </c>
      <c r="R266" s="85">
        <f t="shared" si="119"/>
        <v>-0.47802053005884487</v>
      </c>
    </row>
    <row r="267" spans="2:18">
      <c r="B267" s="83"/>
      <c r="C267" s="84">
        <v>102</v>
      </c>
      <c r="D267" s="84">
        <v>32</v>
      </c>
      <c r="E267" s="84">
        <v>2.49244975</v>
      </c>
      <c r="F267" s="78"/>
      <c r="G267" s="85">
        <f t="shared" si="108"/>
        <v>0.68791051889430577</v>
      </c>
      <c r="H267" s="86">
        <f t="shared" si="109"/>
        <v>0.29365079365079361</v>
      </c>
      <c r="I267" s="85">
        <f t="shared" si="110"/>
        <v>-0.5</v>
      </c>
      <c r="J267" s="85">
        <f t="shared" si="111"/>
        <v>0.29433064652400509</v>
      </c>
      <c r="K267" s="86">
        <f t="shared" si="112"/>
        <v>-0.57028079692509503</v>
      </c>
      <c r="L267" s="87">
        <f t="shared" si="113"/>
        <v>0.20243211089271562</v>
      </c>
      <c r="M267" s="86">
        <f t="shared" si="114"/>
        <v>-0.29883623873011972</v>
      </c>
      <c r="N267" s="87">
        <f t="shared" si="115"/>
        <v>0.57532600802998057</v>
      </c>
      <c r="O267" s="86">
        <f t="shared" si="116"/>
        <v>-0.57028079692509503</v>
      </c>
      <c r="P267" s="87">
        <f t="shared" si="117"/>
        <v>0.20243211089271562</v>
      </c>
      <c r="Q267" s="86">
        <f t="shared" si="118"/>
        <v>-0.57028079692509515</v>
      </c>
      <c r="R267" s="85">
        <f t="shared" si="119"/>
        <v>-0.48547840800159014</v>
      </c>
    </row>
    <row r="268" spans="2:18">
      <c r="B268" s="83"/>
      <c r="C268" s="84">
        <v>104</v>
      </c>
      <c r="D268" s="84">
        <v>32</v>
      </c>
      <c r="E268" s="84">
        <v>2.5222245000000001</v>
      </c>
      <c r="F268" s="78"/>
      <c r="G268" s="85">
        <f t="shared" si="108"/>
        <v>0.69927213347878769</v>
      </c>
      <c r="H268" s="86">
        <f t="shared" si="109"/>
        <v>0.30952380952380953</v>
      </c>
      <c r="I268" s="85">
        <f t="shared" si="110"/>
        <v>-0.5</v>
      </c>
      <c r="J268" s="85">
        <f t="shared" si="111"/>
        <v>0.30744990900156388</v>
      </c>
      <c r="K268" s="86">
        <f t="shared" si="112"/>
        <v>-0.57570968808899448</v>
      </c>
      <c r="L268" s="87">
        <f t="shared" si="113"/>
        <v>0.20633584753445217</v>
      </c>
      <c r="M268" s="86">
        <f t="shared" si="114"/>
        <v>-0.29883623873011972</v>
      </c>
      <c r="N268" s="87">
        <f t="shared" si="115"/>
        <v>0.58668762261446239</v>
      </c>
      <c r="O268" s="86">
        <f t="shared" si="116"/>
        <v>-0.57570968808899448</v>
      </c>
      <c r="P268" s="87">
        <f t="shared" si="117"/>
        <v>0.20633584753445217</v>
      </c>
      <c r="Q268" s="86">
        <f t="shared" si="118"/>
        <v>-0.57570968808899459</v>
      </c>
      <c r="R268" s="85">
        <f t="shared" si="119"/>
        <v>-0.49293628594433547</v>
      </c>
    </row>
    <row r="269" spans="2:18">
      <c r="B269" s="83"/>
      <c r="C269" s="84">
        <v>106</v>
      </c>
      <c r="D269" s="84">
        <v>32</v>
      </c>
      <c r="E269" s="84">
        <v>2.556959</v>
      </c>
      <c r="F269" s="78"/>
      <c r="G269" s="85">
        <f t="shared" si="108"/>
        <v>0.71252631703313107</v>
      </c>
      <c r="H269" s="86">
        <f t="shared" si="109"/>
        <v>0.32539682539682535</v>
      </c>
      <c r="I269" s="85">
        <f t="shared" si="110"/>
        <v>-0.5</v>
      </c>
      <c r="J269" s="85">
        <f t="shared" si="111"/>
        <v>0.32275452188754161</v>
      </c>
      <c r="K269" s="86">
        <f t="shared" si="112"/>
        <v>-0.58113857925289403</v>
      </c>
      <c r="L269" s="87">
        <f t="shared" si="113"/>
        <v>0.21213215314605027</v>
      </c>
      <c r="M269" s="86">
        <f t="shared" si="114"/>
        <v>-0.29883623873011972</v>
      </c>
      <c r="N269" s="87">
        <f t="shared" si="115"/>
        <v>0.59994180616880577</v>
      </c>
      <c r="O269" s="86">
        <f t="shared" si="116"/>
        <v>-0.58113857925289403</v>
      </c>
      <c r="P269" s="87">
        <f t="shared" si="117"/>
        <v>0.21213215314605027</v>
      </c>
      <c r="Q269" s="86">
        <f t="shared" si="118"/>
        <v>-0.58113857925289414</v>
      </c>
      <c r="R269" s="85">
        <f t="shared" si="119"/>
        <v>-0.5003941638870808</v>
      </c>
    </row>
    <row r="270" spans="2:18">
      <c r="B270" s="83"/>
      <c r="C270" s="84">
        <v>108</v>
      </c>
      <c r="D270" s="84">
        <v>32</v>
      </c>
      <c r="E270" s="84">
        <v>2.5930930000000001</v>
      </c>
      <c r="F270" s="78"/>
      <c r="G270" s="85">
        <f t="shared" si="108"/>
        <v>0.72631452957549225</v>
      </c>
      <c r="H270" s="86">
        <f t="shared" si="109"/>
        <v>0.34126984126984128</v>
      </c>
      <c r="I270" s="85">
        <f t="shared" si="110"/>
        <v>-0.5</v>
      </c>
      <c r="J270" s="85">
        <f t="shared" si="111"/>
        <v>0.33867577833349372</v>
      </c>
      <c r="K270" s="86">
        <f t="shared" si="112"/>
        <v>-0.58656747041679358</v>
      </c>
      <c r="L270" s="87">
        <f t="shared" si="113"/>
        <v>0.21846248774566623</v>
      </c>
      <c r="M270" s="86">
        <f t="shared" si="114"/>
        <v>-0.29883623873011972</v>
      </c>
      <c r="N270" s="87">
        <f t="shared" si="115"/>
        <v>0.61373001871116717</v>
      </c>
      <c r="O270" s="86">
        <f t="shared" si="116"/>
        <v>-0.58656747041679358</v>
      </c>
      <c r="P270" s="87">
        <f t="shared" si="117"/>
        <v>0.21846248774566623</v>
      </c>
      <c r="Q270" s="86">
        <f t="shared" si="118"/>
        <v>-0.58656747041679369</v>
      </c>
      <c r="R270" s="85">
        <f t="shared" si="119"/>
        <v>-0.50785204182982602</v>
      </c>
    </row>
    <row r="271" spans="2:18">
      <c r="B271" s="83"/>
      <c r="C271" s="84">
        <v>110</v>
      </c>
      <c r="D271" s="84">
        <v>32</v>
      </c>
      <c r="E271" s="84">
        <v>2.6315559999999998</v>
      </c>
      <c r="F271" s="78"/>
      <c r="G271" s="85">
        <f t="shared" si="108"/>
        <v>0.74099145488176443</v>
      </c>
      <c r="H271" s="86">
        <f t="shared" si="109"/>
        <v>0.3571428571428571</v>
      </c>
      <c r="I271" s="85">
        <f t="shared" si="110"/>
        <v>-0.5</v>
      </c>
      <c r="J271" s="85">
        <f t="shared" si="111"/>
        <v>0.35562323188639811</v>
      </c>
      <c r="K271" s="86">
        <f t="shared" si="112"/>
        <v>-0.59199636158069302</v>
      </c>
      <c r="L271" s="87">
        <f t="shared" si="113"/>
        <v>0.22568153510919303</v>
      </c>
      <c r="M271" s="86">
        <f t="shared" si="114"/>
        <v>-0.29883623873011972</v>
      </c>
      <c r="N271" s="87">
        <f t="shared" si="115"/>
        <v>0.62840694401743913</v>
      </c>
      <c r="O271" s="86">
        <f t="shared" si="116"/>
        <v>-0.59199636158069302</v>
      </c>
      <c r="P271" s="87">
        <f t="shared" si="117"/>
        <v>0.22568153510919303</v>
      </c>
      <c r="Q271" s="86">
        <f t="shared" si="118"/>
        <v>-0.59199636158069313</v>
      </c>
      <c r="R271" s="85">
        <f t="shared" si="119"/>
        <v>-0.51530991977257135</v>
      </c>
    </row>
    <row r="272" spans="2:18">
      <c r="B272" s="83"/>
      <c r="C272" s="84">
        <v>112</v>
      </c>
      <c r="D272" s="84">
        <v>32</v>
      </c>
      <c r="E272" s="84">
        <v>2.6675437500000001</v>
      </c>
      <c r="F272" s="78"/>
      <c r="G272" s="85">
        <f t="shared" si="108"/>
        <v>0.75472386053631035</v>
      </c>
      <c r="H272" s="86">
        <f t="shared" si="109"/>
        <v>0.37301587301587302</v>
      </c>
      <c r="I272" s="85">
        <f t="shared" si="110"/>
        <v>-0.5</v>
      </c>
      <c r="J272" s="85">
        <f t="shared" si="111"/>
        <v>0.37148004808894464</v>
      </c>
      <c r="K272" s="86">
        <f t="shared" si="112"/>
        <v>-0.59742525274459257</v>
      </c>
      <c r="L272" s="87">
        <f t="shared" si="113"/>
        <v>0.23195606282099368</v>
      </c>
      <c r="M272" s="86">
        <f t="shared" si="114"/>
        <v>-0.29883623873011972</v>
      </c>
      <c r="N272" s="87">
        <f t="shared" si="115"/>
        <v>0.64213934967198516</v>
      </c>
      <c r="O272" s="86">
        <f t="shared" si="116"/>
        <v>-0.59742525274459257</v>
      </c>
      <c r="P272" s="87">
        <f t="shared" si="117"/>
        <v>0.23195606282099368</v>
      </c>
      <c r="Q272" s="86">
        <f t="shared" si="118"/>
        <v>-0.59742525274459268</v>
      </c>
      <c r="R272" s="85">
        <f t="shared" si="119"/>
        <v>-0.52276779771531667</v>
      </c>
    </row>
    <row r="273" spans="2:18">
      <c r="B273" s="83"/>
      <c r="C273" s="84">
        <v>114</v>
      </c>
      <c r="D273" s="84">
        <v>32</v>
      </c>
      <c r="E273" s="84">
        <v>2.7046077500000001</v>
      </c>
      <c r="F273" s="78"/>
      <c r="G273" s="85">
        <f t="shared" si="108"/>
        <v>0.76886694764734353</v>
      </c>
      <c r="H273" s="86">
        <f t="shared" si="109"/>
        <v>0.38888888888888884</v>
      </c>
      <c r="I273" s="85">
        <f t="shared" si="110"/>
        <v>-0.5</v>
      </c>
      <c r="J273" s="85">
        <f t="shared" si="111"/>
        <v>0.3878110783903993</v>
      </c>
      <c r="K273" s="86">
        <f t="shared" si="112"/>
        <v>-0.60285414390849201</v>
      </c>
      <c r="L273" s="87">
        <f t="shared" si="113"/>
        <v>0.23864127198928159</v>
      </c>
      <c r="M273" s="86">
        <f t="shared" si="114"/>
        <v>-0.29883623873011972</v>
      </c>
      <c r="N273" s="87">
        <f t="shared" si="115"/>
        <v>0.65628243678301834</v>
      </c>
      <c r="O273" s="86">
        <f t="shared" si="116"/>
        <v>-0.60285414390849201</v>
      </c>
      <c r="P273" s="87">
        <f t="shared" si="117"/>
        <v>0.23864127198928159</v>
      </c>
      <c r="Q273" s="86">
        <f t="shared" si="118"/>
        <v>-0.60285414390849212</v>
      </c>
      <c r="R273" s="85">
        <f t="shared" si="119"/>
        <v>-0.53022567565806189</v>
      </c>
    </row>
    <row r="274" spans="2:18">
      <c r="B274" s="83"/>
      <c r="C274" s="84">
        <v>116</v>
      </c>
      <c r="D274" s="84">
        <v>32</v>
      </c>
      <c r="E274" s="84">
        <v>2.7399657500000001</v>
      </c>
      <c r="F274" s="78"/>
      <c r="G274" s="85">
        <f t="shared" si="108"/>
        <v>0.78235904979692061</v>
      </c>
      <c r="H274" s="86">
        <f t="shared" si="109"/>
        <v>0.40476190476190477</v>
      </c>
      <c r="I274" s="85">
        <f t="shared" si="110"/>
        <v>-0.5</v>
      </c>
      <c r="J274" s="85">
        <f t="shared" si="111"/>
        <v>0.4033904160063837</v>
      </c>
      <c r="K274" s="86">
        <f t="shared" si="112"/>
        <v>-0.60828303507239156</v>
      </c>
      <c r="L274" s="87">
        <f t="shared" si="113"/>
        <v>0.24467549619611323</v>
      </c>
      <c r="M274" s="86">
        <f t="shared" si="114"/>
        <v>-0.29883623873011972</v>
      </c>
      <c r="N274" s="87">
        <f t="shared" si="115"/>
        <v>0.66977453893259531</v>
      </c>
      <c r="O274" s="86">
        <f t="shared" si="116"/>
        <v>-0.60828303507239156</v>
      </c>
      <c r="P274" s="87">
        <f t="shared" si="117"/>
        <v>0.24467549619611323</v>
      </c>
      <c r="Q274" s="86">
        <f t="shared" si="118"/>
        <v>-0.60828303507239168</v>
      </c>
      <c r="R274" s="85">
        <f t="shared" si="119"/>
        <v>-0.53768355360080733</v>
      </c>
    </row>
    <row r="275" spans="2:18">
      <c r="B275" s="83"/>
      <c r="C275" s="84">
        <v>118</v>
      </c>
      <c r="D275" s="84">
        <v>32</v>
      </c>
      <c r="E275" s="84">
        <v>2.7898079999999998</v>
      </c>
      <c r="F275" s="78"/>
      <c r="G275" s="85">
        <f t="shared" si="108"/>
        <v>0.80137813256078538</v>
      </c>
      <c r="H275" s="86">
        <f t="shared" si="109"/>
        <v>0.42063492063492058</v>
      </c>
      <c r="I275" s="85">
        <f t="shared" si="110"/>
        <v>-0.5</v>
      </c>
      <c r="J275" s="85">
        <f t="shared" si="111"/>
        <v>0.42535176111329798</v>
      </c>
      <c r="K275" s="86">
        <f t="shared" si="112"/>
        <v>-0.61371192623629101</v>
      </c>
      <c r="L275" s="87">
        <f t="shared" si="113"/>
        <v>0.25623670101723278</v>
      </c>
      <c r="M275" s="86">
        <f t="shared" si="114"/>
        <v>-0.29883623873011972</v>
      </c>
      <c r="N275" s="87">
        <f t="shared" si="115"/>
        <v>0.68879362169646008</v>
      </c>
      <c r="O275" s="86">
        <f t="shared" si="116"/>
        <v>-0.61371192623629101</v>
      </c>
      <c r="P275" s="87">
        <f t="shared" si="117"/>
        <v>0.25623670101723278</v>
      </c>
      <c r="Q275" s="86">
        <f t="shared" si="118"/>
        <v>-0.61371192623629112</v>
      </c>
      <c r="R275" s="85">
        <f t="shared" si="119"/>
        <v>-0.54514143154355255</v>
      </c>
    </row>
    <row r="276" spans="2:18">
      <c r="B276" s="83"/>
      <c r="C276" s="84">
        <v>120</v>
      </c>
      <c r="D276" s="84">
        <v>32</v>
      </c>
      <c r="E276" s="84">
        <v>2.8115025</v>
      </c>
      <c r="F276" s="78"/>
      <c r="G276" s="85">
        <f t="shared" si="108"/>
        <v>0.80965644044256613</v>
      </c>
      <c r="H276" s="86">
        <f t="shared" si="109"/>
        <v>0.43650793650793651</v>
      </c>
      <c r="I276" s="85">
        <f t="shared" si="110"/>
        <v>-0.5</v>
      </c>
      <c r="J276" s="85">
        <f t="shared" si="111"/>
        <v>0.43491072768125938</v>
      </c>
      <c r="K276" s="86">
        <f t="shared" si="112"/>
        <v>-0.61914081740019056</v>
      </c>
      <c r="L276" s="87">
        <f t="shared" si="113"/>
        <v>0.2570571309562682</v>
      </c>
      <c r="M276" s="86">
        <f t="shared" si="114"/>
        <v>-0.29883623873011972</v>
      </c>
      <c r="N276" s="87">
        <f t="shared" si="115"/>
        <v>0.69707192957824082</v>
      </c>
      <c r="O276" s="86">
        <f t="shared" si="116"/>
        <v>-0.61914081740019056</v>
      </c>
      <c r="P276" s="87">
        <f t="shared" si="117"/>
        <v>0.2570571309562682</v>
      </c>
      <c r="Q276" s="86">
        <f t="shared" si="118"/>
        <v>-0.61914081740019067</v>
      </c>
      <c r="R276" s="85">
        <f t="shared" si="119"/>
        <v>-0.55259930948629787</v>
      </c>
    </row>
    <row r="277" spans="2:18">
      <c r="B277" s="83"/>
      <c r="C277" s="84">
        <v>122</v>
      </c>
      <c r="D277" s="84">
        <v>32</v>
      </c>
      <c r="E277" s="84">
        <v>2.844611</v>
      </c>
      <c r="F277" s="78"/>
      <c r="G277" s="85">
        <f t="shared" si="108"/>
        <v>0.82229016588007009</v>
      </c>
      <c r="H277" s="86">
        <f t="shared" si="109"/>
        <v>0.45238095238095233</v>
      </c>
      <c r="I277" s="85">
        <f t="shared" si="110"/>
        <v>-0.5</v>
      </c>
      <c r="J277" s="85">
        <f t="shared" si="111"/>
        <v>0.44949889724568082</v>
      </c>
      <c r="K277" s="86">
        <f t="shared" si="112"/>
        <v>-0.62456970856409</v>
      </c>
      <c r="L277" s="87">
        <f t="shared" si="113"/>
        <v>0.26223297845102689</v>
      </c>
      <c r="M277" s="86">
        <f t="shared" si="114"/>
        <v>-0.29883623873011972</v>
      </c>
      <c r="N277" s="87">
        <f t="shared" si="115"/>
        <v>0.70970565501574479</v>
      </c>
      <c r="O277" s="86">
        <f t="shared" si="116"/>
        <v>-0.62456970856409</v>
      </c>
      <c r="P277" s="87">
        <f t="shared" si="117"/>
        <v>0.26223297845102689</v>
      </c>
      <c r="Q277" s="86">
        <f t="shared" si="118"/>
        <v>-0.62456970856409011</v>
      </c>
      <c r="R277" s="85">
        <f t="shared" si="119"/>
        <v>-0.5600571874290432</v>
      </c>
    </row>
    <row r="278" spans="2:18">
      <c r="B278" s="83"/>
      <c r="C278" s="84">
        <v>124</v>
      </c>
      <c r="D278" s="84">
        <v>32</v>
      </c>
      <c r="E278" s="84">
        <v>2.8837039999999998</v>
      </c>
      <c r="F278" s="78"/>
      <c r="G278" s="85">
        <f t="shared" si="108"/>
        <v>0.83720749008770035</v>
      </c>
      <c r="H278" s="86">
        <f t="shared" si="109"/>
        <v>0.46825396825396826</v>
      </c>
      <c r="I278" s="85">
        <f t="shared" si="110"/>
        <v>-0.5</v>
      </c>
      <c r="J278" s="85">
        <f t="shared" si="111"/>
        <v>0.46672393953940949</v>
      </c>
      <c r="K278" s="86">
        <f t="shared" si="112"/>
        <v>-0.62999859972798944</v>
      </c>
      <c r="L278" s="87">
        <f t="shared" si="113"/>
        <v>0.26969242471591193</v>
      </c>
      <c r="M278" s="86">
        <f t="shared" si="114"/>
        <v>-0.29883623873011972</v>
      </c>
      <c r="N278" s="87">
        <f t="shared" si="115"/>
        <v>0.72462297922337515</v>
      </c>
      <c r="O278" s="86">
        <f t="shared" si="116"/>
        <v>-0.62999859972798944</v>
      </c>
      <c r="P278" s="87">
        <f t="shared" si="117"/>
        <v>0.26969242471591193</v>
      </c>
      <c r="Q278" s="86">
        <f t="shared" si="118"/>
        <v>-0.62999859972798966</v>
      </c>
      <c r="R278" s="85">
        <f t="shared" si="119"/>
        <v>-0.56751506537178842</v>
      </c>
    </row>
    <row r="279" spans="2:18">
      <c r="B279" s="83"/>
      <c r="C279" s="84">
        <v>126</v>
      </c>
      <c r="D279" s="84">
        <v>32</v>
      </c>
      <c r="E279" s="84">
        <v>2.9241994999999998</v>
      </c>
      <c r="F279" s="78"/>
      <c r="G279" s="85">
        <f t="shared" si="108"/>
        <v>0.85265998804002219</v>
      </c>
      <c r="H279" s="86">
        <f t="shared" si="109"/>
        <v>0.48412698412698407</v>
      </c>
      <c r="I279" s="85">
        <f t="shared" si="110"/>
        <v>-0.5</v>
      </c>
      <c r="J279" s="85">
        <f t="shared" si="111"/>
        <v>0.48456694724425975</v>
      </c>
      <c r="K279" s="86">
        <f t="shared" si="112"/>
        <v>-0.63542749089188899</v>
      </c>
      <c r="L279" s="87">
        <f t="shared" si="113"/>
        <v>0.27768704472548844</v>
      </c>
      <c r="M279" s="86">
        <f t="shared" si="114"/>
        <v>-0.29883623873011972</v>
      </c>
      <c r="N279" s="87">
        <f t="shared" si="115"/>
        <v>0.74007547717569699</v>
      </c>
      <c r="O279" s="86">
        <f t="shared" si="116"/>
        <v>-0.63542749089188899</v>
      </c>
      <c r="P279" s="87">
        <f t="shared" si="117"/>
        <v>0.27768704472548844</v>
      </c>
      <c r="Q279" s="86">
        <f t="shared" si="118"/>
        <v>-0.63542749089188921</v>
      </c>
      <c r="R279" s="85">
        <f t="shared" si="119"/>
        <v>-0.57497294331453375</v>
      </c>
    </row>
    <row r="280" spans="2:18">
      <c r="B280" s="83"/>
      <c r="C280" s="84">
        <v>128</v>
      </c>
      <c r="D280" s="84">
        <v>32</v>
      </c>
      <c r="E280" s="84">
        <v>2.9560390000000001</v>
      </c>
      <c r="F280" s="78"/>
      <c r="G280" s="85">
        <f t="shared" si="108"/>
        <v>0.86480948140478975</v>
      </c>
      <c r="H280" s="86">
        <f t="shared" si="109"/>
        <v>0.5</v>
      </c>
      <c r="I280" s="85">
        <f t="shared" si="110"/>
        <v>-0.5</v>
      </c>
      <c r="J280" s="85">
        <f t="shared" si="111"/>
        <v>0.49859597377359199</v>
      </c>
      <c r="K280" s="86">
        <f t="shared" si="112"/>
        <v>-0.64085638205578843</v>
      </c>
      <c r="L280" s="87">
        <f t="shared" si="113"/>
        <v>0.28237866014751067</v>
      </c>
      <c r="M280" s="86">
        <f t="shared" si="114"/>
        <v>-0.29883623873011972</v>
      </c>
      <c r="N280" s="87">
        <f t="shared" si="115"/>
        <v>0.75222497054046455</v>
      </c>
      <c r="O280" s="86">
        <f t="shared" si="116"/>
        <v>-0.64085638205578843</v>
      </c>
      <c r="P280" s="87">
        <f t="shared" si="117"/>
        <v>0.28237866014751067</v>
      </c>
      <c r="Q280" s="86">
        <f t="shared" si="118"/>
        <v>-0.64085638205578865</v>
      </c>
      <c r="R280" s="85">
        <f t="shared" si="119"/>
        <v>-0.58243082125727907</v>
      </c>
    </row>
    <row r="281" spans="2:18">
      <c r="F281"/>
      <c r="G281"/>
    </row>
    <row r="282" spans="2:18">
      <c r="F282"/>
      <c r="G282"/>
    </row>
    <row r="283" spans="2:18">
      <c r="F283"/>
      <c r="G283"/>
    </row>
    <row r="284" spans="2:18">
      <c r="F284"/>
      <c r="G284"/>
    </row>
    <row r="285" spans="2:18">
      <c r="F285"/>
      <c r="G285"/>
    </row>
    <row r="286" spans="2:18">
      <c r="F286"/>
      <c r="G286"/>
    </row>
    <row r="287" spans="2:18">
      <c r="F287"/>
      <c r="G287"/>
    </row>
    <row r="288" spans="2:18">
      <c r="F288"/>
      <c r="G288"/>
    </row>
    <row r="289" spans="6:7">
      <c r="F289"/>
      <c r="G289"/>
    </row>
    <row r="290" spans="6:7">
      <c r="F290"/>
      <c r="G290"/>
    </row>
    <row r="291" spans="6:7">
      <c r="F291"/>
      <c r="G291"/>
    </row>
    <row r="292" spans="6:7">
      <c r="F292"/>
      <c r="G292"/>
    </row>
    <row r="293" spans="6:7">
      <c r="F293"/>
      <c r="G293"/>
    </row>
    <row r="294" spans="6:7">
      <c r="F294"/>
      <c r="G294"/>
    </row>
    <row r="295" spans="6:7">
      <c r="F295"/>
      <c r="G295"/>
    </row>
    <row r="296" spans="6:7">
      <c r="F296"/>
      <c r="G296"/>
    </row>
    <row r="297" spans="6:7">
      <c r="F297"/>
      <c r="G297"/>
    </row>
    <row r="298" spans="6:7">
      <c r="F298"/>
      <c r="G298"/>
    </row>
    <row r="299" spans="6:7">
      <c r="F299"/>
      <c r="G299"/>
    </row>
    <row r="300" spans="6:7">
      <c r="F300"/>
      <c r="G300"/>
    </row>
    <row r="301" spans="6:7">
      <c r="F301"/>
      <c r="G301"/>
    </row>
    <row r="302" spans="6:7">
      <c r="F302"/>
      <c r="G302"/>
    </row>
    <row r="303" spans="6:7">
      <c r="F303"/>
      <c r="G303"/>
    </row>
    <row r="304" spans="6:7">
      <c r="F304"/>
      <c r="G304"/>
    </row>
    <row r="305" spans="6:7">
      <c r="F305"/>
      <c r="G305"/>
    </row>
    <row r="306" spans="6:7">
      <c r="F306"/>
      <c r="G306"/>
    </row>
    <row r="307" spans="6:7">
      <c r="F307"/>
      <c r="G307"/>
    </row>
    <row r="308" spans="6:7">
      <c r="F308"/>
      <c r="G308"/>
    </row>
    <row r="309" spans="6:7">
      <c r="F309"/>
      <c r="G309"/>
    </row>
    <row r="310" spans="6:7">
      <c r="F310"/>
      <c r="G310"/>
    </row>
    <row r="311" spans="6:7">
      <c r="F311"/>
      <c r="G311"/>
    </row>
    <row r="312" spans="6:7">
      <c r="F312"/>
      <c r="G312"/>
    </row>
    <row r="313" spans="6:7">
      <c r="F313"/>
      <c r="G313"/>
    </row>
    <row r="314" spans="6:7">
      <c r="F314"/>
      <c r="G314"/>
    </row>
    <row r="315" spans="6:7">
      <c r="F315"/>
      <c r="G315"/>
    </row>
    <row r="316" spans="6:7">
      <c r="F316"/>
      <c r="G316"/>
    </row>
    <row r="317" spans="6:7">
      <c r="F317"/>
      <c r="G317"/>
    </row>
    <row r="318" spans="6:7">
      <c r="F318"/>
      <c r="G318"/>
    </row>
    <row r="319" spans="6:7">
      <c r="F319"/>
      <c r="G319"/>
    </row>
    <row r="320" spans="6:7">
      <c r="F320"/>
      <c r="G320"/>
    </row>
    <row r="321" spans="6:7">
      <c r="F321"/>
      <c r="G321"/>
    </row>
    <row r="322" spans="6:7">
      <c r="F322"/>
      <c r="G322"/>
    </row>
    <row r="323" spans="6:7">
      <c r="F323"/>
      <c r="G323"/>
    </row>
    <row r="324" spans="6:7">
      <c r="F324"/>
      <c r="G324"/>
    </row>
    <row r="325" spans="6:7">
      <c r="F325"/>
      <c r="G325"/>
    </row>
    <row r="326" spans="6:7">
      <c r="F326"/>
      <c r="G326"/>
    </row>
    <row r="327" spans="6:7">
      <c r="F327"/>
      <c r="G327"/>
    </row>
    <row r="328" spans="6:7">
      <c r="F328"/>
      <c r="G328"/>
    </row>
    <row r="329" spans="6:7">
      <c r="F329"/>
      <c r="G329"/>
    </row>
    <row r="330" spans="6:7">
      <c r="F330"/>
      <c r="G330"/>
    </row>
    <row r="331" spans="6:7">
      <c r="F331"/>
      <c r="G331"/>
    </row>
    <row r="332" spans="6:7">
      <c r="F332"/>
      <c r="G332"/>
    </row>
    <row r="333" spans="6:7">
      <c r="F333"/>
      <c r="G333"/>
    </row>
    <row r="334" spans="6:7">
      <c r="F334"/>
      <c r="G334"/>
    </row>
    <row r="335" spans="6:7">
      <c r="F335"/>
      <c r="G335"/>
    </row>
    <row r="336" spans="6:7">
      <c r="F336"/>
      <c r="G336"/>
    </row>
    <row r="337" spans="6:7">
      <c r="F337"/>
      <c r="G337"/>
    </row>
    <row r="338" spans="6:7">
      <c r="F338"/>
      <c r="G338"/>
    </row>
    <row r="339" spans="6:7">
      <c r="F339"/>
      <c r="G339"/>
    </row>
    <row r="340" spans="6:7">
      <c r="F340"/>
      <c r="G340"/>
    </row>
    <row r="341" spans="6:7">
      <c r="F341"/>
      <c r="G341"/>
    </row>
    <row r="342" spans="6:7">
      <c r="F342"/>
      <c r="G342"/>
    </row>
    <row r="343" spans="6:7">
      <c r="F343"/>
      <c r="G343"/>
    </row>
    <row r="344" spans="6:7">
      <c r="F344"/>
      <c r="G344"/>
    </row>
    <row r="345" spans="6:7">
      <c r="F345"/>
      <c r="G345"/>
    </row>
    <row r="346" spans="6:7">
      <c r="F346"/>
      <c r="G346"/>
    </row>
    <row r="347" spans="6:7">
      <c r="F347"/>
      <c r="G347"/>
    </row>
    <row r="348" spans="6:7">
      <c r="F348"/>
      <c r="G348"/>
    </row>
    <row r="349" spans="6:7">
      <c r="F349"/>
      <c r="G349"/>
    </row>
    <row r="350" spans="6:7">
      <c r="F350"/>
      <c r="G350"/>
    </row>
    <row r="351" spans="6:7">
      <c r="F351"/>
      <c r="G351"/>
    </row>
    <row r="352" spans="6:7">
      <c r="F352"/>
      <c r="G352"/>
    </row>
    <row r="353" spans="6:7">
      <c r="F353"/>
      <c r="G353"/>
    </row>
    <row r="354" spans="6:7">
      <c r="F354"/>
      <c r="G354"/>
    </row>
    <row r="355" spans="6:7">
      <c r="F355"/>
      <c r="G355"/>
    </row>
    <row r="356" spans="6:7">
      <c r="F356"/>
      <c r="G356"/>
    </row>
    <row r="357" spans="6:7">
      <c r="F357"/>
      <c r="G357"/>
    </row>
    <row r="358" spans="6:7">
      <c r="F358"/>
      <c r="G358"/>
    </row>
    <row r="359" spans="6:7">
      <c r="F359"/>
      <c r="G359"/>
    </row>
    <row r="360" spans="6:7">
      <c r="F360"/>
      <c r="G360"/>
    </row>
    <row r="361" spans="6:7">
      <c r="F361"/>
      <c r="G361"/>
    </row>
    <row r="362" spans="6:7">
      <c r="F362"/>
      <c r="G362"/>
    </row>
    <row r="363" spans="6:7">
      <c r="F363"/>
      <c r="G363"/>
    </row>
    <row r="364" spans="6:7">
      <c r="F364"/>
      <c r="G364"/>
    </row>
    <row r="365" spans="6:7">
      <c r="F365"/>
      <c r="G365"/>
    </row>
    <row r="366" spans="6:7">
      <c r="F366"/>
      <c r="G366"/>
    </row>
    <row r="367" spans="6:7">
      <c r="F367"/>
      <c r="G367"/>
    </row>
    <row r="368" spans="6:7">
      <c r="F368"/>
      <c r="G368"/>
    </row>
    <row r="369" spans="6:7">
      <c r="F369"/>
      <c r="G369"/>
    </row>
    <row r="370" spans="6:7">
      <c r="F370"/>
      <c r="G370"/>
    </row>
    <row r="371" spans="6:7">
      <c r="F371"/>
      <c r="G371"/>
    </row>
    <row r="372" spans="6:7">
      <c r="F372"/>
      <c r="G372"/>
    </row>
    <row r="373" spans="6:7">
      <c r="F373"/>
      <c r="G373"/>
    </row>
    <row r="374" spans="6:7">
      <c r="F374"/>
      <c r="G374"/>
    </row>
    <row r="375" spans="6:7">
      <c r="F375"/>
      <c r="G375"/>
    </row>
    <row r="376" spans="6:7">
      <c r="F376"/>
      <c r="G376"/>
    </row>
    <row r="377" spans="6:7">
      <c r="F377"/>
      <c r="G377"/>
    </row>
    <row r="378" spans="6:7">
      <c r="F378"/>
      <c r="G378"/>
    </row>
    <row r="379" spans="6:7">
      <c r="F379"/>
      <c r="G379"/>
    </row>
    <row r="380" spans="6:7">
      <c r="F380"/>
      <c r="G380"/>
    </row>
    <row r="381" spans="6:7">
      <c r="F381"/>
      <c r="G381"/>
    </row>
    <row r="382" spans="6:7">
      <c r="F382"/>
      <c r="G382"/>
    </row>
    <row r="383" spans="6:7">
      <c r="F383"/>
      <c r="G383"/>
    </row>
    <row r="384" spans="6:7">
      <c r="F384"/>
      <c r="G384"/>
    </row>
    <row r="385" spans="6:7">
      <c r="F385"/>
      <c r="G385"/>
    </row>
    <row r="386" spans="6:7">
      <c r="F386"/>
      <c r="G386"/>
    </row>
    <row r="387" spans="6:7">
      <c r="F387"/>
      <c r="G387"/>
    </row>
    <row r="388" spans="6:7">
      <c r="F388"/>
      <c r="G388"/>
    </row>
    <row r="389" spans="6:7">
      <c r="F389"/>
      <c r="G389"/>
    </row>
    <row r="390" spans="6:7">
      <c r="F390"/>
      <c r="G390"/>
    </row>
    <row r="391" spans="6:7">
      <c r="F391"/>
      <c r="G391"/>
    </row>
    <row r="392" spans="6:7">
      <c r="F392"/>
      <c r="G392"/>
    </row>
    <row r="393" spans="6:7">
      <c r="F393"/>
      <c r="G393"/>
    </row>
    <row r="394" spans="6:7">
      <c r="F394"/>
      <c r="G394"/>
    </row>
    <row r="395" spans="6:7">
      <c r="F395"/>
      <c r="G395"/>
    </row>
    <row r="396" spans="6:7">
      <c r="F396"/>
      <c r="G396"/>
    </row>
    <row r="397" spans="6:7">
      <c r="F397"/>
      <c r="G397"/>
    </row>
    <row r="398" spans="6:7">
      <c r="F398"/>
      <c r="G398"/>
    </row>
    <row r="399" spans="6:7">
      <c r="F399"/>
      <c r="G399"/>
    </row>
    <row r="400" spans="6:7">
      <c r="F400"/>
      <c r="G400"/>
    </row>
    <row r="401" spans="6:7">
      <c r="F401"/>
      <c r="G401"/>
    </row>
    <row r="402" spans="6:7">
      <c r="F402"/>
      <c r="G402"/>
    </row>
    <row r="403" spans="6:7">
      <c r="F403"/>
      <c r="G403"/>
    </row>
    <row r="404" spans="6:7">
      <c r="F404"/>
      <c r="G404"/>
    </row>
    <row r="405" spans="6:7">
      <c r="F405"/>
      <c r="G405"/>
    </row>
    <row r="406" spans="6:7">
      <c r="F406"/>
      <c r="G406"/>
    </row>
    <row r="407" spans="6:7">
      <c r="F407"/>
      <c r="G407"/>
    </row>
    <row r="408" spans="6:7">
      <c r="F408"/>
      <c r="G408"/>
    </row>
    <row r="409" spans="6:7">
      <c r="F409"/>
      <c r="G409"/>
    </row>
    <row r="410" spans="6:7">
      <c r="F410"/>
      <c r="G410"/>
    </row>
    <row r="411" spans="6:7">
      <c r="F411"/>
      <c r="G411"/>
    </row>
    <row r="412" spans="6:7">
      <c r="F412"/>
      <c r="G412"/>
    </row>
    <row r="413" spans="6:7">
      <c r="F413"/>
      <c r="G413"/>
    </row>
    <row r="414" spans="6:7">
      <c r="F414"/>
      <c r="G414"/>
    </row>
    <row r="415" spans="6:7">
      <c r="F415"/>
      <c r="G415"/>
    </row>
    <row r="416" spans="6:7">
      <c r="F416"/>
      <c r="G416"/>
    </row>
    <row r="417" spans="6:7">
      <c r="F417"/>
      <c r="G417"/>
    </row>
    <row r="418" spans="6:7">
      <c r="F418"/>
      <c r="G418"/>
    </row>
    <row r="419" spans="6:7">
      <c r="F419"/>
      <c r="G419"/>
    </row>
    <row r="420" spans="6:7">
      <c r="F420"/>
      <c r="G420"/>
    </row>
    <row r="421" spans="6:7">
      <c r="F421"/>
      <c r="G421"/>
    </row>
    <row r="422" spans="6:7">
      <c r="F422"/>
      <c r="G422"/>
    </row>
    <row r="423" spans="6:7">
      <c r="F423"/>
      <c r="G423"/>
    </row>
    <row r="424" spans="6:7">
      <c r="F424"/>
      <c r="G424"/>
    </row>
    <row r="425" spans="6:7">
      <c r="F425"/>
      <c r="G425"/>
    </row>
    <row r="426" spans="6:7">
      <c r="F426"/>
      <c r="G426"/>
    </row>
    <row r="427" spans="6:7">
      <c r="F427"/>
      <c r="G427"/>
    </row>
    <row r="428" spans="6:7">
      <c r="F428"/>
      <c r="G428"/>
    </row>
    <row r="429" spans="6:7">
      <c r="F429"/>
      <c r="G429"/>
    </row>
    <row r="430" spans="6:7">
      <c r="F430"/>
      <c r="G430"/>
    </row>
    <row r="431" spans="6:7">
      <c r="F431"/>
      <c r="G431"/>
    </row>
    <row r="432" spans="6:7">
      <c r="F432"/>
      <c r="G432"/>
    </row>
    <row r="433" spans="6:7">
      <c r="F433"/>
      <c r="G433"/>
    </row>
    <row r="434" spans="6:7">
      <c r="F434"/>
      <c r="G434"/>
    </row>
    <row r="435" spans="6:7">
      <c r="F435"/>
      <c r="G435"/>
    </row>
    <row r="436" spans="6:7">
      <c r="F436"/>
      <c r="G436"/>
    </row>
    <row r="437" spans="6:7">
      <c r="F437"/>
      <c r="G437"/>
    </row>
    <row r="438" spans="6:7">
      <c r="F438"/>
      <c r="G438"/>
    </row>
    <row r="439" spans="6:7">
      <c r="F439"/>
      <c r="G439"/>
    </row>
    <row r="440" spans="6:7">
      <c r="F440"/>
      <c r="G440"/>
    </row>
    <row r="441" spans="6:7">
      <c r="F441"/>
      <c r="G441"/>
    </row>
    <row r="442" spans="6:7">
      <c r="F442"/>
      <c r="G442"/>
    </row>
    <row r="443" spans="6:7">
      <c r="F443"/>
      <c r="G443"/>
    </row>
    <row r="444" spans="6:7">
      <c r="F444"/>
      <c r="G444"/>
    </row>
    <row r="445" spans="6:7">
      <c r="F445"/>
      <c r="G445"/>
    </row>
    <row r="446" spans="6:7">
      <c r="F446"/>
      <c r="G446"/>
    </row>
    <row r="447" spans="6:7">
      <c r="F447"/>
      <c r="G447"/>
    </row>
    <row r="448" spans="6:7">
      <c r="F448"/>
      <c r="G448"/>
    </row>
    <row r="449" spans="6:7">
      <c r="F449"/>
      <c r="G449"/>
    </row>
    <row r="450" spans="6:7">
      <c r="F450"/>
      <c r="G450"/>
    </row>
    <row r="451" spans="6:7">
      <c r="F451"/>
      <c r="G451"/>
    </row>
    <row r="452" spans="6:7">
      <c r="F452"/>
      <c r="G452"/>
    </row>
    <row r="453" spans="6:7">
      <c r="F453"/>
      <c r="G453"/>
    </row>
    <row r="454" spans="6:7">
      <c r="F454"/>
      <c r="G454"/>
    </row>
    <row r="455" spans="6:7">
      <c r="F455"/>
      <c r="G455"/>
    </row>
    <row r="456" spans="6:7">
      <c r="F456"/>
      <c r="G456"/>
    </row>
    <row r="457" spans="6:7">
      <c r="F457"/>
      <c r="G457"/>
    </row>
    <row r="458" spans="6:7">
      <c r="F458"/>
      <c r="G458"/>
    </row>
    <row r="459" spans="6:7">
      <c r="F459"/>
      <c r="G459"/>
    </row>
    <row r="460" spans="6:7">
      <c r="F460"/>
      <c r="G460"/>
    </row>
    <row r="461" spans="6:7">
      <c r="F461"/>
      <c r="G461"/>
    </row>
    <row r="462" spans="6:7">
      <c r="F462"/>
      <c r="G462"/>
    </row>
    <row r="463" spans="6:7">
      <c r="F463"/>
      <c r="G463"/>
    </row>
    <row r="464" spans="6:7">
      <c r="F464"/>
      <c r="G464"/>
    </row>
    <row r="465" spans="6:7">
      <c r="F465"/>
      <c r="G465"/>
    </row>
    <row r="466" spans="6:7">
      <c r="F466"/>
      <c r="G466"/>
    </row>
    <row r="467" spans="6:7">
      <c r="F467"/>
      <c r="G467"/>
    </row>
    <row r="468" spans="6:7">
      <c r="F468"/>
      <c r="G468"/>
    </row>
    <row r="469" spans="6:7">
      <c r="F469"/>
      <c r="G469"/>
    </row>
    <row r="470" spans="6:7">
      <c r="F470"/>
      <c r="G470"/>
    </row>
    <row r="471" spans="6:7">
      <c r="F471"/>
      <c r="G471"/>
    </row>
    <row r="472" spans="6:7">
      <c r="F472"/>
      <c r="G472"/>
    </row>
    <row r="473" spans="6:7">
      <c r="F473"/>
      <c r="G473"/>
    </row>
    <row r="474" spans="6:7">
      <c r="F474"/>
      <c r="G474"/>
    </row>
    <row r="475" spans="6:7">
      <c r="F475"/>
      <c r="G475"/>
    </row>
    <row r="476" spans="6:7">
      <c r="F476"/>
      <c r="G476"/>
    </row>
    <row r="477" spans="6:7">
      <c r="F477"/>
      <c r="G477"/>
    </row>
    <row r="478" spans="6:7">
      <c r="F478"/>
      <c r="G478"/>
    </row>
    <row r="479" spans="6:7">
      <c r="F479"/>
      <c r="G479"/>
    </row>
    <row r="480" spans="6:7">
      <c r="F480"/>
      <c r="G480"/>
    </row>
    <row r="481" spans="6:7">
      <c r="F481"/>
      <c r="G481"/>
    </row>
    <row r="482" spans="6:7">
      <c r="F482"/>
      <c r="G482"/>
    </row>
    <row r="483" spans="6:7">
      <c r="F483"/>
      <c r="G483"/>
    </row>
    <row r="484" spans="6:7">
      <c r="F484"/>
      <c r="G484"/>
    </row>
    <row r="485" spans="6:7">
      <c r="F485"/>
      <c r="G485"/>
    </row>
    <row r="486" spans="6:7">
      <c r="F486"/>
      <c r="G486"/>
    </row>
    <row r="487" spans="6:7">
      <c r="F487"/>
      <c r="G487"/>
    </row>
    <row r="488" spans="6:7">
      <c r="F488"/>
      <c r="G488"/>
    </row>
    <row r="489" spans="6:7">
      <c r="F489"/>
      <c r="G489"/>
    </row>
    <row r="490" spans="6:7">
      <c r="F490"/>
      <c r="G490"/>
    </row>
    <row r="491" spans="6:7">
      <c r="F491"/>
      <c r="G491"/>
    </row>
    <row r="492" spans="6:7">
      <c r="F492"/>
      <c r="G492"/>
    </row>
    <row r="493" spans="6:7">
      <c r="F493"/>
      <c r="G493"/>
    </row>
    <row r="494" spans="6:7">
      <c r="F494"/>
      <c r="G494"/>
    </row>
    <row r="495" spans="6:7">
      <c r="F495"/>
      <c r="G495"/>
    </row>
    <row r="496" spans="6:7">
      <c r="F496"/>
      <c r="G496"/>
    </row>
    <row r="497" spans="6:7">
      <c r="F497"/>
      <c r="G497"/>
    </row>
    <row r="498" spans="6:7">
      <c r="F498"/>
      <c r="G498"/>
    </row>
    <row r="499" spans="6:7">
      <c r="F499"/>
      <c r="G499"/>
    </row>
    <row r="500" spans="6:7">
      <c r="F500"/>
      <c r="G500"/>
    </row>
    <row r="501" spans="6:7">
      <c r="F501"/>
      <c r="G501"/>
    </row>
    <row r="502" spans="6:7">
      <c r="F502"/>
      <c r="G502"/>
    </row>
    <row r="503" spans="6:7">
      <c r="F503"/>
      <c r="G503"/>
    </row>
    <row r="504" spans="6:7">
      <c r="F504"/>
      <c r="G504"/>
    </row>
    <row r="505" spans="6:7">
      <c r="F505"/>
      <c r="G505"/>
    </row>
    <row r="506" spans="6:7">
      <c r="F506"/>
      <c r="G506"/>
    </row>
    <row r="507" spans="6:7">
      <c r="F507"/>
      <c r="G507"/>
    </row>
    <row r="508" spans="6:7">
      <c r="F508"/>
      <c r="G508"/>
    </row>
    <row r="509" spans="6:7">
      <c r="F509"/>
      <c r="G509"/>
    </row>
    <row r="510" spans="6:7">
      <c r="F510"/>
      <c r="G510"/>
    </row>
    <row r="511" spans="6:7">
      <c r="F511"/>
      <c r="G511"/>
    </row>
    <row r="512" spans="6:7">
      <c r="F512"/>
      <c r="G512"/>
    </row>
    <row r="513" spans="6:7">
      <c r="F513"/>
      <c r="G513"/>
    </row>
    <row r="514" spans="6:7">
      <c r="F514"/>
      <c r="G514"/>
    </row>
    <row r="515" spans="6:7">
      <c r="F515"/>
      <c r="G515"/>
    </row>
    <row r="516" spans="6:7">
      <c r="F516"/>
      <c r="G516"/>
    </row>
    <row r="517" spans="6:7">
      <c r="F517"/>
      <c r="G517"/>
    </row>
    <row r="518" spans="6:7">
      <c r="F518"/>
      <c r="G518"/>
    </row>
    <row r="519" spans="6:7">
      <c r="F519"/>
      <c r="G519"/>
    </row>
    <row r="520" spans="6:7">
      <c r="F520"/>
      <c r="G520"/>
    </row>
    <row r="521" spans="6:7">
      <c r="F521"/>
      <c r="G521"/>
    </row>
    <row r="522" spans="6:7">
      <c r="F522"/>
      <c r="G522"/>
    </row>
    <row r="523" spans="6:7">
      <c r="F523"/>
      <c r="G523"/>
    </row>
    <row r="524" spans="6:7">
      <c r="F524"/>
      <c r="G524"/>
    </row>
    <row r="525" spans="6:7">
      <c r="F525"/>
      <c r="G525"/>
    </row>
    <row r="526" spans="6:7">
      <c r="F526"/>
      <c r="G526"/>
    </row>
    <row r="527" spans="6:7">
      <c r="F527"/>
      <c r="G527"/>
    </row>
    <row r="528" spans="6:7">
      <c r="F528"/>
      <c r="G528"/>
    </row>
    <row r="529" spans="6:7">
      <c r="F529"/>
      <c r="G529"/>
    </row>
    <row r="530" spans="6:7">
      <c r="F530"/>
      <c r="G530"/>
    </row>
    <row r="531" spans="6:7">
      <c r="F531"/>
      <c r="G531"/>
    </row>
    <row r="532" spans="6:7">
      <c r="F532"/>
      <c r="G532"/>
    </row>
    <row r="533" spans="6:7">
      <c r="F533"/>
      <c r="G533"/>
    </row>
    <row r="534" spans="6:7">
      <c r="F534"/>
      <c r="G534"/>
    </row>
    <row r="535" spans="6:7">
      <c r="F535"/>
      <c r="G535"/>
    </row>
    <row r="536" spans="6:7">
      <c r="F536"/>
      <c r="G536"/>
    </row>
    <row r="537" spans="6:7">
      <c r="F537"/>
      <c r="G537"/>
    </row>
    <row r="538" spans="6:7">
      <c r="F538"/>
      <c r="G538"/>
    </row>
    <row r="539" spans="6:7">
      <c r="F539"/>
      <c r="G539"/>
    </row>
    <row r="540" spans="6:7">
      <c r="F540"/>
      <c r="G540"/>
    </row>
    <row r="541" spans="6:7">
      <c r="F541"/>
      <c r="G541"/>
    </row>
    <row r="542" spans="6:7">
      <c r="F542"/>
      <c r="G542"/>
    </row>
    <row r="543" spans="6:7">
      <c r="F543"/>
      <c r="G543"/>
    </row>
    <row r="544" spans="6:7">
      <c r="F544"/>
      <c r="G544"/>
    </row>
    <row r="545" spans="6:7">
      <c r="F545"/>
      <c r="G545"/>
    </row>
    <row r="546" spans="6:7">
      <c r="F546"/>
      <c r="G546"/>
    </row>
    <row r="548" spans="6:7">
      <c r="F548"/>
      <c r="G548"/>
    </row>
    <row r="549" spans="6:7">
      <c r="F549"/>
      <c r="G549"/>
    </row>
    <row r="550" spans="6:7">
      <c r="F550"/>
      <c r="G550"/>
    </row>
    <row r="551" spans="6:7">
      <c r="F551"/>
      <c r="G551"/>
    </row>
    <row r="552" spans="6:7">
      <c r="F552"/>
      <c r="G552"/>
    </row>
    <row r="553" spans="6:7">
      <c r="F553"/>
      <c r="G553"/>
    </row>
    <row r="554" spans="6:7">
      <c r="F554"/>
      <c r="G554"/>
    </row>
    <row r="555" spans="6:7">
      <c r="F555"/>
      <c r="G555"/>
    </row>
    <row r="556" spans="6:7">
      <c r="F556"/>
      <c r="G556"/>
    </row>
    <row r="557" spans="6:7">
      <c r="F557"/>
      <c r="G557"/>
    </row>
    <row r="558" spans="6:7">
      <c r="F558"/>
      <c r="G558"/>
    </row>
    <row r="559" spans="6:7">
      <c r="F559"/>
      <c r="G559"/>
    </row>
    <row r="560" spans="6:7">
      <c r="F560"/>
      <c r="G560"/>
    </row>
    <row r="561" spans="6:7">
      <c r="F561"/>
      <c r="G561"/>
    </row>
    <row r="562" spans="6:7">
      <c r="F562"/>
      <c r="G562"/>
    </row>
    <row r="563" spans="6:7">
      <c r="F563"/>
      <c r="G563"/>
    </row>
    <row r="564" spans="6:7">
      <c r="F564"/>
      <c r="G564"/>
    </row>
    <row r="565" spans="6:7">
      <c r="F565"/>
      <c r="G565"/>
    </row>
    <row r="566" spans="6:7">
      <c r="F566"/>
      <c r="G566"/>
    </row>
    <row r="567" spans="6:7">
      <c r="F567"/>
      <c r="G567"/>
    </row>
    <row r="568" spans="6:7">
      <c r="F568"/>
      <c r="G568"/>
    </row>
    <row r="569" spans="6:7">
      <c r="F569"/>
      <c r="G569"/>
    </row>
    <row r="570" spans="6:7">
      <c r="F570"/>
      <c r="G570"/>
    </row>
    <row r="571" spans="6:7">
      <c r="F571"/>
      <c r="G571"/>
    </row>
    <row r="572" spans="6:7">
      <c r="F572"/>
      <c r="G572"/>
    </row>
    <row r="573" spans="6:7">
      <c r="F573"/>
      <c r="G573"/>
    </row>
    <row r="574" spans="6:7">
      <c r="F574"/>
      <c r="G574"/>
    </row>
    <row r="575" spans="6:7">
      <c r="F575"/>
      <c r="G575"/>
    </row>
    <row r="576" spans="6:7">
      <c r="F576"/>
      <c r="G576"/>
    </row>
    <row r="577" spans="6:7">
      <c r="F577"/>
      <c r="G577"/>
    </row>
    <row r="578" spans="6:7">
      <c r="F578"/>
      <c r="G578"/>
    </row>
    <row r="579" spans="6:7">
      <c r="F579"/>
      <c r="G579"/>
    </row>
    <row r="580" spans="6:7">
      <c r="F580"/>
      <c r="G580"/>
    </row>
    <row r="581" spans="6:7">
      <c r="F581"/>
      <c r="G581"/>
    </row>
    <row r="582" spans="6:7">
      <c r="F582"/>
      <c r="G582"/>
    </row>
    <row r="583" spans="6:7">
      <c r="F583"/>
      <c r="G583"/>
    </row>
    <row r="584" spans="6:7">
      <c r="F584"/>
      <c r="G584"/>
    </row>
    <row r="585" spans="6:7">
      <c r="F585"/>
      <c r="G585"/>
    </row>
    <row r="586" spans="6:7">
      <c r="F586"/>
      <c r="G586"/>
    </row>
    <row r="587" spans="6:7">
      <c r="F587"/>
      <c r="G587"/>
    </row>
    <row r="588" spans="6:7">
      <c r="F588"/>
      <c r="G588"/>
    </row>
    <row r="589" spans="6:7">
      <c r="F589"/>
      <c r="G589"/>
    </row>
    <row r="590" spans="6:7">
      <c r="F590"/>
      <c r="G590"/>
    </row>
    <row r="591" spans="6:7">
      <c r="F591"/>
      <c r="G591"/>
    </row>
    <row r="592" spans="6:7">
      <c r="F592"/>
      <c r="G592"/>
    </row>
    <row r="593" spans="6:7">
      <c r="F593"/>
      <c r="G593"/>
    </row>
    <row r="594" spans="6:7">
      <c r="F594"/>
      <c r="G594"/>
    </row>
    <row r="595" spans="6:7">
      <c r="F595"/>
      <c r="G595"/>
    </row>
    <row r="596" spans="6:7">
      <c r="F596"/>
      <c r="G596"/>
    </row>
    <row r="597" spans="6:7">
      <c r="F597"/>
      <c r="G597"/>
    </row>
    <row r="598" spans="6:7">
      <c r="F598"/>
      <c r="G598"/>
    </row>
    <row r="599" spans="6:7">
      <c r="F599"/>
      <c r="G599"/>
    </row>
    <row r="600" spans="6:7">
      <c r="F600"/>
      <c r="G600"/>
    </row>
    <row r="601" spans="6:7">
      <c r="F601"/>
      <c r="G601"/>
    </row>
    <row r="602" spans="6:7">
      <c r="F602"/>
      <c r="G602"/>
    </row>
    <row r="603" spans="6:7">
      <c r="F603"/>
      <c r="G603"/>
    </row>
    <row r="604" spans="6:7">
      <c r="F604"/>
      <c r="G604"/>
    </row>
    <row r="605" spans="6:7">
      <c r="F605"/>
      <c r="G605"/>
    </row>
    <row r="606" spans="6:7">
      <c r="F606"/>
      <c r="G606"/>
    </row>
    <row r="607" spans="6:7">
      <c r="F607"/>
      <c r="G607"/>
    </row>
    <row r="608" spans="6:7">
      <c r="F608"/>
      <c r="G608"/>
    </row>
    <row r="609" spans="6:7">
      <c r="F609"/>
      <c r="G609"/>
    </row>
    <row r="610" spans="6:7">
      <c r="F610"/>
      <c r="G610"/>
    </row>
    <row r="611" spans="6:7">
      <c r="F611"/>
      <c r="G611"/>
    </row>
    <row r="612" spans="6:7">
      <c r="F612"/>
      <c r="G612"/>
    </row>
    <row r="613" spans="6:7">
      <c r="F613"/>
      <c r="G613"/>
    </row>
    <row r="614" spans="6:7">
      <c r="F614"/>
      <c r="G614"/>
    </row>
    <row r="615" spans="6:7">
      <c r="F615"/>
      <c r="G615"/>
    </row>
    <row r="616" spans="6:7">
      <c r="F616"/>
      <c r="G616"/>
    </row>
    <row r="617" spans="6:7">
      <c r="F617"/>
      <c r="G617"/>
    </row>
    <row r="618" spans="6:7">
      <c r="F618"/>
      <c r="G618"/>
    </row>
    <row r="619" spans="6:7">
      <c r="F619"/>
      <c r="G619"/>
    </row>
    <row r="620" spans="6:7">
      <c r="F620"/>
      <c r="G620"/>
    </row>
    <row r="621" spans="6:7">
      <c r="F621"/>
      <c r="G621"/>
    </row>
    <row r="622" spans="6:7">
      <c r="F622"/>
      <c r="G622"/>
    </row>
    <row r="623" spans="6:7">
      <c r="F623"/>
      <c r="G623"/>
    </row>
    <row r="624" spans="6:7">
      <c r="F624"/>
      <c r="G624"/>
    </row>
    <row r="625" spans="6:7">
      <c r="F625"/>
      <c r="G625"/>
    </row>
    <row r="626" spans="6:7">
      <c r="F626"/>
      <c r="G626"/>
    </row>
    <row r="627" spans="6:7">
      <c r="F627"/>
      <c r="G627"/>
    </row>
    <row r="628" spans="6:7">
      <c r="F628"/>
      <c r="G628"/>
    </row>
    <row r="629" spans="6:7">
      <c r="F629"/>
      <c r="G629"/>
    </row>
    <row r="630" spans="6:7">
      <c r="F630"/>
      <c r="G630"/>
    </row>
    <row r="631" spans="6:7">
      <c r="F631"/>
      <c r="G631"/>
    </row>
    <row r="632" spans="6:7">
      <c r="F632"/>
      <c r="G632"/>
    </row>
    <row r="633" spans="6:7">
      <c r="F633"/>
      <c r="G633"/>
    </row>
    <row r="634" spans="6:7">
      <c r="F634"/>
      <c r="G634"/>
    </row>
    <row r="635" spans="6:7">
      <c r="F635"/>
      <c r="G635"/>
    </row>
    <row r="636" spans="6:7">
      <c r="F636"/>
      <c r="G636"/>
    </row>
    <row r="637" spans="6:7">
      <c r="F637"/>
      <c r="G637"/>
    </row>
    <row r="638" spans="6:7">
      <c r="F638"/>
      <c r="G638"/>
    </row>
    <row r="639" spans="6:7">
      <c r="F639"/>
      <c r="G639"/>
    </row>
    <row r="640" spans="6:7">
      <c r="F640"/>
      <c r="G640"/>
    </row>
    <row r="641" spans="6:7">
      <c r="F641"/>
      <c r="G641"/>
    </row>
    <row r="642" spans="6:7">
      <c r="F642"/>
      <c r="G642"/>
    </row>
    <row r="643" spans="6:7">
      <c r="F643"/>
      <c r="G643"/>
    </row>
    <row r="644" spans="6:7">
      <c r="F644"/>
      <c r="G644"/>
    </row>
    <row r="645" spans="6:7">
      <c r="F645"/>
      <c r="G645"/>
    </row>
    <row r="646" spans="6:7">
      <c r="F646"/>
      <c r="G646"/>
    </row>
    <row r="647" spans="6:7">
      <c r="F647"/>
      <c r="G647"/>
    </row>
    <row r="648" spans="6:7">
      <c r="F648"/>
      <c r="G648"/>
    </row>
    <row r="649" spans="6:7">
      <c r="F649"/>
      <c r="G649"/>
    </row>
    <row r="650" spans="6:7">
      <c r="F650"/>
      <c r="G650"/>
    </row>
    <row r="651" spans="6:7">
      <c r="F651"/>
      <c r="G651"/>
    </row>
    <row r="652" spans="6:7">
      <c r="F652"/>
      <c r="G652"/>
    </row>
    <row r="653" spans="6:7">
      <c r="F653"/>
      <c r="G653"/>
    </row>
    <row r="654" spans="6:7">
      <c r="F654"/>
      <c r="G654"/>
    </row>
    <row r="655" spans="6:7">
      <c r="F655"/>
      <c r="G655"/>
    </row>
    <row r="656" spans="6:7">
      <c r="F656"/>
      <c r="G656"/>
    </row>
    <row r="657" spans="6:7">
      <c r="F657"/>
      <c r="G657"/>
    </row>
    <row r="658" spans="6:7">
      <c r="F658"/>
      <c r="G658"/>
    </row>
    <row r="659" spans="6:7">
      <c r="F659"/>
      <c r="G659"/>
    </row>
    <row r="660" spans="6:7">
      <c r="F660"/>
      <c r="G660"/>
    </row>
    <row r="661" spans="6:7">
      <c r="F661"/>
      <c r="G661"/>
    </row>
    <row r="662" spans="6:7">
      <c r="F662"/>
      <c r="G662"/>
    </row>
    <row r="663" spans="6:7">
      <c r="F663"/>
      <c r="G663"/>
    </row>
    <row r="664" spans="6:7">
      <c r="F664"/>
      <c r="G664"/>
    </row>
    <row r="665" spans="6:7">
      <c r="F665"/>
      <c r="G665"/>
    </row>
    <row r="666" spans="6:7">
      <c r="F666"/>
      <c r="G666"/>
    </row>
    <row r="667" spans="6:7">
      <c r="F667"/>
      <c r="G667"/>
    </row>
    <row r="668" spans="6:7">
      <c r="F668"/>
      <c r="G668"/>
    </row>
    <row r="669" spans="6:7">
      <c r="F669"/>
      <c r="G669"/>
    </row>
    <row r="670" spans="6:7">
      <c r="F670"/>
      <c r="G670"/>
    </row>
    <row r="671" spans="6:7">
      <c r="F671"/>
      <c r="G671"/>
    </row>
    <row r="672" spans="6:7">
      <c r="F672"/>
      <c r="G672"/>
    </row>
    <row r="673" spans="6:7">
      <c r="F673"/>
      <c r="G673"/>
    </row>
    <row r="674" spans="6:7">
      <c r="F674"/>
      <c r="G674"/>
    </row>
    <row r="675" spans="6:7">
      <c r="F675"/>
      <c r="G675"/>
    </row>
    <row r="676" spans="6:7">
      <c r="F676"/>
      <c r="G676"/>
    </row>
    <row r="677" spans="6:7">
      <c r="F677"/>
      <c r="G677"/>
    </row>
    <row r="678" spans="6:7">
      <c r="F678"/>
      <c r="G678"/>
    </row>
    <row r="679" spans="6:7">
      <c r="F679"/>
      <c r="G679"/>
    </row>
    <row r="680" spans="6:7">
      <c r="F680"/>
      <c r="G680"/>
    </row>
    <row r="681" spans="6:7">
      <c r="F681"/>
      <c r="G681"/>
    </row>
    <row r="682" spans="6:7">
      <c r="F682"/>
      <c r="G682"/>
    </row>
    <row r="683" spans="6:7">
      <c r="F683"/>
      <c r="G683"/>
    </row>
    <row r="684" spans="6:7">
      <c r="F684"/>
      <c r="G684"/>
    </row>
    <row r="685" spans="6:7">
      <c r="F685"/>
      <c r="G685"/>
    </row>
    <row r="686" spans="6:7">
      <c r="F686"/>
      <c r="G686"/>
    </row>
    <row r="687" spans="6:7">
      <c r="F687"/>
      <c r="G687"/>
    </row>
    <row r="688" spans="6:7">
      <c r="F688"/>
      <c r="G688"/>
    </row>
    <row r="689" spans="6:7">
      <c r="F689"/>
      <c r="G689"/>
    </row>
    <row r="690" spans="6:7">
      <c r="F690"/>
      <c r="G690"/>
    </row>
    <row r="691" spans="6:7">
      <c r="F691"/>
      <c r="G691"/>
    </row>
    <row r="692" spans="6:7">
      <c r="F692"/>
      <c r="G692"/>
    </row>
    <row r="693" spans="6:7">
      <c r="F693"/>
      <c r="G693"/>
    </row>
    <row r="694" spans="6:7">
      <c r="F694"/>
      <c r="G694"/>
    </row>
    <row r="695" spans="6:7">
      <c r="F695"/>
      <c r="G695"/>
    </row>
    <row r="696" spans="6:7">
      <c r="F696"/>
      <c r="G696"/>
    </row>
    <row r="697" spans="6:7">
      <c r="F697"/>
      <c r="G697"/>
    </row>
    <row r="698" spans="6:7">
      <c r="F698"/>
      <c r="G698"/>
    </row>
    <row r="699" spans="6:7">
      <c r="F699"/>
      <c r="G699"/>
    </row>
    <row r="700" spans="6:7">
      <c r="F700"/>
      <c r="G700"/>
    </row>
    <row r="701" spans="6:7">
      <c r="F701"/>
      <c r="G701"/>
    </row>
    <row r="702" spans="6:7">
      <c r="F702"/>
      <c r="G702"/>
    </row>
    <row r="703" spans="6:7">
      <c r="F703"/>
      <c r="G703"/>
    </row>
    <row r="704" spans="6:7">
      <c r="F704"/>
      <c r="G704"/>
    </row>
    <row r="705" spans="6:7">
      <c r="F705"/>
      <c r="G705"/>
    </row>
    <row r="706" spans="6:7">
      <c r="F706"/>
      <c r="G706"/>
    </row>
    <row r="707" spans="6:7">
      <c r="F707"/>
      <c r="G707"/>
    </row>
    <row r="708" spans="6:7">
      <c r="F708"/>
      <c r="G708"/>
    </row>
    <row r="709" spans="6:7">
      <c r="F709"/>
      <c r="G709"/>
    </row>
    <row r="710" spans="6:7">
      <c r="F710"/>
      <c r="G710"/>
    </row>
    <row r="711" spans="6:7">
      <c r="F711"/>
      <c r="G711"/>
    </row>
    <row r="712" spans="6:7">
      <c r="F712"/>
      <c r="G712"/>
    </row>
    <row r="713" spans="6:7">
      <c r="F713"/>
      <c r="G713"/>
    </row>
    <row r="714" spans="6:7">
      <c r="F714"/>
      <c r="G714"/>
    </row>
    <row r="715" spans="6:7">
      <c r="F715"/>
      <c r="G715"/>
    </row>
    <row r="716" spans="6:7">
      <c r="F716"/>
      <c r="G716"/>
    </row>
    <row r="717" spans="6:7">
      <c r="F717"/>
      <c r="G717"/>
    </row>
    <row r="718" spans="6:7">
      <c r="F718"/>
      <c r="G718"/>
    </row>
    <row r="719" spans="6:7">
      <c r="F719"/>
      <c r="G719"/>
    </row>
    <row r="720" spans="6:7">
      <c r="F720"/>
      <c r="G720"/>
    </row>
    <row r="721" spans="6:7">
      <c r="F721"/>
      <c r="G721"/>
    </row>
    <row r="722" spans="6:7">
      <c r="F722"/>
      <c r="G722"/>
    </row>
    <row r="723" spans="6:7">
      <c r="F723"/>
      <c r="G723"/>
    </row>
    <row r="724" spans="6:7">
      <c r="F724"/>
      <c r="G724"/>
    </row>
    <row r="725" spans="6:7">
      <c r="F725"/>
      <c r="G725"/>
    </row>
    <row r="726" spans="6:7">
      <c r="F726"/>
      <c r="G726"/>
    </row>
    <row r="727" spans="6:7">
      <c r="F727"/>
      <c r="G727"/>
    </row>
    <row r="728" spans="6:7">
      <c r="F728"/>
      <c r="G728"/>
    </row>
    <row r="729" spans="6:7">
      <c r="F729"/>
      <c r="G729"/>
    </row>
    <row r="730" spans="6:7">
      <c r="F730"/>
      <c r="G730"/>
    </row>
    <row r="731" spans="6:7">
      <c r="F731"/>
      <c r="G731"/>
    </row>
    <row r="732" spans="6:7">
      <c r="F732"/>
      <c r="G732"/>
    </row>
    <row r="733" spans="6:7">
      <c r="F733"/>
      <c r="G733"/>
    </row>
    <row r="734" spans="6:7">
      <c r="F734"/>
      <c r="G734"/>
    </row>
    <row r="735" spans="6:7">
      <c r="F735"/>
      <c r="G735"/>
    </row>
    <row r="736" spans="6:7">
      <c r="F736"/>
      <c r="G736"/>
    </row>
    <row r="737" spans="6:7">
      <c r="F737"/>
      <c r="G737"/>
    </row>
    <row r="738" spans="6:7">
      <c r="F738"/>
      <c r="G738"/>
    </row>
    <row r="739" spans="6:7">
      <c r="F739"/>
      <c r="G739"/>
    </row>
    <row r="740" spans="6:7">
      <c r="F740"/>
      <c r="G740"/>
    </row>
    <row r="741" spans="6:7">
      <c r="F741"/>
      <c r="G741"/>
    </row>
    <row r="742" spans="6:7">
      <c r="F742"/>
      <c r="G742"/>
    </row>
    <row r="743" spans="6:7">
      <c r="F743"/>
      <c r="G743"/>
    </row>
    <row r="744" spans="6:7">
      <c r="F744"/>
      <c r="G744"/>
    </row>
    <row r="745" spans="6:7">
      <c r="F745"/>
      <c r="G745"/>
    </row>
    <row r="746" spans="6:7">
      <c r="F746"/>
      <c r="G746"/>
    </row>
    <row r="747" spans="6:7">
      <c r="F747"/>
      <c r="G747"/>
    </row>
    <row r="748" spans="6:7">
      <c r="F748"/>
      <c r="G748"/>
    </row>
    <row r="749" spans="6:7">
      <c r="F749"/>
      <c r="G749"/>
    </row>
    <row r="750" spans="6:7">
      <c r="F750"/>
      <c r="G750"/>
    </row>
    <row r="751" spans="6:7">
      <c r="F751"/>
      <c r="G751"/>
    </row>
    <row r="752" spans="6:7">
      <c r="F752"/>
      <c r="G752"/>
    </row>
    <row r="753" spans="6:7">
      <c r="F753"/>
      <c r="G753"/>
    </row>
    <row r="754" spans="6:7">
      <c r="F754"/>
      <c r="G754"/>
    </row>
    <row r="755" spans="6:7">
      <c r="F755"/>
      <c r="G755"/>
    </row>
    <row r="756" spans="6:7">
      <c r="F756"/>
      <c r="G756"/>
    </row>
    <row r="757" spans="6:7">
      <c r="F757"/>
      <c r="G757"/>
    </row>
    <row r="758" spans="6:7">
      <c r="F758"/>
      <c r="G758"/>
    </row>
    <row r="759" spans="6:7">
      <c r="F759"/>
      <c r="G759"/>
    </row>
    <row r="760" spans="6:7">
      <c r="F760"/>
      <c r="G760"/>
    </row>
    <row r="761" spans="6:7">
      <c r="F761"/>
      <c r="G761"/>
    </row>
    <row r="762" spans="6:7">
      <c r="F762"/>
      <c r="G762"/>
    </row>
    <row r="763" spans="6:7">
      <c r="F763"/>
      <c r="G763"/>
    </row>
    <row r="764" spans="6:7">
      <c r="F764"/>
      <c r="G764"/>
    </row>
    <row r="765" spans="6:7">
      <c r="F765"/>
      <c r="G765"/>
    </row>
    <row r="766" spans="6:7">
      <c r="F766"/>
      <c r="G766"/>
    </row>
    <row r="767" spans="6:7">
      <c r="F767"/>
      <c r="G767"/>
    </row>
    <row r="768" spans="6:7">
      <c r="F768"/>
      <c r="G768"/>
    </row>
    <row r="769" spans="6:7">
      <c r="F769"/>
      <c r="G769"/>
    </row>
    <row r="770" spans="6:7">
      <c r="F770"/>
      <c r="G770"/>
    </row>
    <row r="771" spans="6:7">
      <c r="F771"/>
      <c r="G771"/>
    </row>
    <row r="772" spans="6:7">
      <c r="F772"/>
      <c r="G772"/>
    </row>
    <row r="773" spans="6:7">
      <c r="F773"/>
      <c r="G773"/>
    </row>
    <row r="774" spans="6:7">
      <c r="F774"/>
      <c r="G774"/>
    </row>
    <row r="775" spans="6:7">
      <c r="F775"/>
      <c r="G775"/>
    </row>
    <row r="776" spans="6:7">
      <c r="F776"/>
      <c r="G776"/>
    </row>
    <row r="777" spans="6:7">
      <c r="F777"/>
      <c r="G777"/>
    </row>
    <row r="778" spans="6:7">
      <c r="F778"/>
      <c r="G778"/>
    </row>
    <row r="779" spans="6:7">
      <c r="F779"/>
      <c r="G779"/>
    </row>
    <row r="780" spans="6:7">
      <c r="F780"/>
      <c r="G780"/>
    </row>
    <row r="781" spans="6:7">
      <c r="F781"/>
      <c r="G781"/>
    </row>
    <row r="782" spans="6:7">
      <c r="F782"/>
      <c r="G782"/>
    </row>
    <row r="783" spans="6:7">
      <c r="F783"/>
      <c r="G783"/>
    </row>
    <row r="784" spans="6:7">
      <c r="F784"/>
      <c r="G784"/>
    </row>
    <row r="785" spans="6:7">
      <c r="F785"/>
      <c r="G785"/>
    </row>
    <row r="786" spans="6:7">
      <c r="F786"/>
      <c r="G786"/>
    </row>
    <row r="787" spans="6:7">
      <c r="F787"/>
      <c r="G787"/>
    </row>
    <row r="788" spans="6:7">
      <c r="F788"/>
      <c r="G788"/>
    </row>
    <row r="789" spans="6:7">
      <c r="F789"/>
      <c r="G789"/>
    </row>
    <row r="790" spans="6:7">
      <c r="F790"/>
      <c r="G790"/>
    </row>
    <row r="791" spans="6:7">
      <c r="F791"/>
      <c r="G791"/>
    </row>
    <row r="792" spans="6:7">
      <c r="F792"/>
      <c r="G792"/>
    </row>
    <row r="793" spans="6:7">
      <c r="F793"/>
      <c r="G793"/>
    </row>
    <row r="794" spans="6:7">
      <c r="F794"/>
      <c r="G794"/>
    </row>
    <row r="795" spans="6:7">
      <c r="F795"/>
      <c r="G795"/>
    </row>
    <row r="796" spans="6:7">
      <c r="F796"/>
      <c r="G796"/>
    </row>
    <row r="797" spans="6:7">
      <c r="F797"/>
      <c r="G797"/>
    </row>
    <row r="798" spans="6:7">
      <c r="F798"/>
      <c r="G798"/>
    </row>
    <row r="799" spans="6:7">
      <c r="F799"/>
      <c r="G799"/>
    </row>
    <row r="800" spans="6:7">
      <c r="F800"/>
      <c r="G800"/>
    </row>
    <row r="801" spans="6:7">
      <c r="F801"/>
      <c r="G801"/>
    </row>
    <row r="802" spans="6:7">
      <c r="F802"/>
      <c r="G802"/>
    </row>
    <row r="803" spans="6:7">
      <c r="F803"/>
      <c r="G803"/>
    </row>
    <row r="804" spans="6:7">
      <c r="F804"/>
      <c r="G804"/>
    </row>
    <row r="805" spans="6:7">
      <c r="F805"/>
      <c r="G805"/>
    </row>
    <row r="806" spans="6:7">
      <c r="F806"/>
      <c r="G806"/>
    </row>
    <row r="807" spans="6:7">
      <c r="F807"/>
      <c r="G807"/>
    </row>
    <row r="808" spans="6:7">
      <c r="F808"/>
      <c r="G808"/>
    </row>
    <row r="809" spans="6:7">
      <c r="F809"/>
      <c r="G809"/>
    </row>
    <row r="810" spans="6:7">
      <c r="F810"/>
      <c r="G810"/>
    </row>
    <row r="811" spans="6:7">
      <c r="F811"/>
      <c r="G811"/>
    </row>
    <row r="812" spans="6:7">
      <c r="F812"/>
      <c r="G812"/>
    </row>
    <row r="813" spans="6:7">
      <c r="F813"/>
      <c r="G813"/>
    </row>
    <row r="814" spans="6:7">
      <c r="F814"/>
      <c r="G814"/>
    </row>
    <row r="815" spans="6:7">
      <c r="F815"/>
      <c r="G815"/>
    </row>
    <row r="816" spans="6:7">
      <c r="F816"/>
      <c r="G816"/>
    </row>
    <row r="817" spans="6:7">
      <c r="F817"/>
      <c r="G817"/>
    </row>
    <row r="818" spans="6:7">
      <c r="F818"/>
      <c r="G818"/>
    </row>
    <row r="819" spans="6:7">
      <c r="F819"/>
      <c r="G819"/>
    </row>
    <row r="820" spans="6:7">
      <c r="F820"/>
      <c r="G820"/>
    </row>
    <row r="821" spans="6:7">
      <c r="F821"/>
      <c r="G821"/>
    </row>
    <row r="822" spans="6:7">
      <c r="F822"/>
      <c r="G822"/>
    </row>
    <row r="823" spans="6:7">
      <c r="F823"/>
      <c r="G823"/>
    </row>
    <row r="824" spans="6:7">
      <c r="F824"/>
      <c r="G824"/>
    </row>
    <row r="825" spans="6:7">
      <c r="F825"/>
      <c r="G825"/>
    </row>
    <row r="826" spans="6:7">
      <c r="F826"/>
      <c r="G826"/>
    </row>
    <row r="827" spans="6:7">
      <c r="F827"/>
      <c r="G827"/>
    </row>
    <row r="828" spans="6:7">
      <c r="F828"/>
      <c r="G828"/>
    </row>
    <row r="829" spans="6:7">
      <c r="F829"/>
      <c r="G829"/>
    </row>
    <row r="830" spans="6:7">
      <c r="F830"/>
      <c r="G830"/>
    </row>
    <row r="831" spans="6:7">
      <c r="F831"/>
      <c r="G831"/>
    </row>
    <row r="832" spans="6:7">
      <c r="F832"/>
      <c r="G832"/>
    </row>
    <row r="833" spans="6:7">
      <c r="F833"/>
      <c r="G833"/>
    </row>
    <row r="834" spans="6:7">
      <c r="F834"/>
      <c r="G834"/>
    </row>
    <row r="835" spans="6:7">
      <c r="F835"/>
      <c r="G835"/>
    </row>
    <row r="836" spans="6:7">
      <c r="F836"/>
      <c r="G836"/>
    </row>
    <row r="837" spans="6:7">
      <c r="F837"/>
      <c r="G837"/>
    </row>
    <row r="838" spans="6:7">
      <c r="F838"/>
      <c r="G838"/>
    </row>
    <row r="839" spans="6:7">
      <c r="F839"/>
      <c r="G839"/>
    </row>
    <row r="840" spans="6:7">
      <c r="F840"/>
      <c r="G840"/>
    </row>
    <row r="841" spans="6:7">
      <c r="F841"/>
      <c r="G841"/>
    </row>
    <row r="842" spans="6:7">
      <c r="F842"/>
      <c r="G842"/>
    </row>
    <row r="843" spans="6:7">
      <c r="F843"/>
      <c r="G843"/>
    </row>
    <row r="844" spans="6:7">
      <c r="F844"/>
      <c r="G844"/>
    </row>
    <row r="845" spans="6:7">
      <c r="F845"/>
      <c r="G845"/>
    </row>
    <row r="846" spans="6:7">
      <c r="F846"/>
      <c r="G846"/>
    </row>
    <row r="847" spans="6:7">
      <c r="F847"/>
      <c r="G847"/>
    </row>
    <row r="848" spans="6:7">
      <c r="F848"/>
      <c r="G848"/>
    </row>
    <row r="849" spans="6:7">
      <c r="F849"/>
      <c r="G849"/>
    </row>
    <row r="850" spans="6:7">
      <c r="F850"/>
      <c r="G850"/>
    </row>
    <row r="851" spans="6:7">
      <c r="F851"/>
      <c r="G851"/>
    </row>
    <row r="852" spans="6:7">
      <c r="F852"/>
      <c r="G852"/>
    </row>
    <row r="853" spans="6:7">
      <c r="F853"/>
      <c r="G853"/>
    </row>
    <row r="854" spans="6:7">
      <c r="F854"/>
      <c r="G854"/>
    </row>
    <row r="855" spans="6:7">
      <c r="F855"/>
      <c r="G855"/>
    </row>
    <row r="856" spans="6:7">
      <c r="F856"/>
      <c r="G856"/>
    </row>
    <row r="857" spans="6:7">
      <c r="F857"/>
      <c r="G857"/>
    </row>
    <row r="858" spans="6:7">
      <c r="F858"/>
      <c r="G858"/>
    </row>
    <row r="859" spans="6:7">
      <c r="F859"/>
      <c r="G859"/>
    </row>
    <row r="860" spans="6:7">
      <c r="F860"/>
      <c r="G860"/>
    </row>
    <row r="861" spans="6:7">
      <c r="F861"/>
      <c r="G861"/>
    </row>
    <row r="862" spans="6:7">
      <c r="F862"/>
      <c r="G862"/>
    </row>
    <row r="863" spans="6:7">
      <c r="F863"/>
      <c r="G863"/>
    </row>
    <row r="864" spans="6:7">
      <c r="F864"/>
      <c r="G864"/>
    </row>
    <row r="865" spans="6:7">
      <c r="F865"/>
      <c r="G865"/>
    </row>
    <row r="866" spans="6:7">
      <c r="F866"/>
      <c r="G866"/>
    </row>
    <row r="867" spans="6:7">
      <c r="F867"/>
      <c r="G867"/>
    </row>
    <row r="868" spans="6:7">
      <c r="F868"/>
      <c r="G868"/>
    </row>
    <row r="869" spans="6:7">
      <c r="F869"/>
      <c r="G869"/>
    </row>
    <row r="870" spans="6:7">
      <c r="F870"/>
      <c r="G870"/>
    </row>
    <row r="871" spans="6:7">
      <c r="F871"/>
      <c r="G871"/>
    </row>
    <row r="872" spans="6:7">
      <c r="F872"/>
      <c r="G872"/>
    </row>
    <row r="873" spans="6:7">
      <c r="F873"/>
      <c r="G873"/>
    </row>
    <row r="874" spans="6:7">
      <c r="F874"/>
      <c r="G874"/>
    </row>
    <row r="875" spans="6:7">
      <c r="F875"/>
      <c r="G875"/>
    </row>
    <row r="876" spans="6:7">
      <c r="F876"/>
      <c r="G876"/>
    </row>
    <row r="877" spans="6:7">
      <c r="F877"/>
      <c r="G877"/>
    </row>
    <row r="878" spans="6:7">
      <c r="F878"/>
      <c r="G878"/>
    </row>
    <row r="879" spans="6:7">
      <c r="F879"/>
      <c r="G879"/>
    </row>
    <row r="880" spans="6:7">
      <c r="F880"/>
      <c r="G880"/>
    </row>
    <row r="881" spans="6:7">
      <c r="F881"/>
      <c r="G881"/>
    </row>
    <row r="882" spans="6:7">
      <c r="F882"/>
      <c r="G882"/>
    </row>
    <row r="883" spans="6:7">
      <c r="F883"/>
      <c r="G883"/>
    </row>
    <row r="884" spans="6:7">
      <c r="F884"/>
      <c r="G884"/>
    </row>
    <row r="885" spans="6:7">
      <c r="F885"/>
      <c r="G885"/>
    </row>
    <row r="886" spans="6:7">
      <c r="F886"/>
      <c r="G886"/>
    </row>
    <row r="887" spans="6:7">
      <c r="F887"/>
      <c r="G887"/>
    </row>
    <row r="888" spans="6:7">
      <c r="F888"/>
      <c r="G888"/>
    </row>
    <row r="889" spans="6:7">
      <c r="F889"/>
      <c r="G889"/>
    </row>
    <row r="890" spans="6:7">
      <c r="F890"/>
      <c r="G890"/>
    </row>
    <row r="891" spans="6:7">
      <c r="F891"/>
      <c r="G891"/>
    </row>
    <row r="892" spans="6:7">
      <c r="F892"/>
      <c r="G892"/>
    </row>
    <row r="893" spans="6:7">
      <c r="F893"/>
      <c r="G893"/>
    </row>
    <row r="894" spans="6:7">
      <c r="F894"/>
      <c r="G894"/>
    </row>
    <row r="895" spans="6:7">
      <c r="F895"/>
      <c r="G895"/>
    </row>
    <row r="896" spans="6:7">
      <c r="F896"/>
      <c r="G896"/>
    </row>
    <row r="897" spans="6:7">
      <c r="F897"/>
      <c r="G897"/>
    </row>
    <row r="898" spans="6:7">
      <c r="F898"/>
      <c r="G898"/>
    </row>
    <row r="899" spans="6:7">
      <c r="F899"/>
      <c r="G899"/>
    </row>
    <row r="900" spans="6:7">
      <c r="F900"/>
      <c r="G900"/>
    </row>
    <row r="901" spans="6:7">
      <c r="F901"/>
      <c r="G901"/>
    </row>
    <row r="902" spans="6:7">
      <c r="F902"/>
      <c r="G902"/>
    </row>
    <row r="903" spans="6:7">
      <c r="F903"/>
      <c r="G903"/>
    </row>
    <row r="904" spans="6:7">
      <c r="F904"/>
      <c r="G904"/>
    </row>
    <row r="905" spans="6:7">
      <c r="F905"/>
      <c r="G905"/>
    </row>
    <row r="906" spans="6:7">
      <c r="F906"/>
      <c r="G906"/>
    </row>
    <row r="907" spans="6:7">
      <c r="F907"/>
      <c r="G907"/>
    </row>
    <row r="908" spans="6:7">
      <c r="F908"/>
      <c r="G908"/>
    </row>
    <row r="909" spans="6:7">
      <c r="F909"/>
      <c r="G909"/>
    </row>
    <row r="910" spans="6:7">
      <c r="F910"/>
      <c r="G910"/>
    </row>
    <row r="911" spans="6:7">
      <c r="F911"/>
      <c r="G911"/>
    </row>
    <row r="912" spans="6:7">
      <c r="F912"/>
      <c r="G912"/>
    </row>
    <row r="913" spans="6:7">
      <c r="F913"/>
      <c r="G913"/>
    </row>
    <row r="914" spans="6:7">
      <c r="F914"/>
      <c r="G914"/>
    </row>
    <row r="915" spans="6:7">
      <c r="F915"/>
      <c r="G915"/>
    </row>
    <row r="916" spans="6:7">
      <c r="F916"/>
      <c r="G916"/>
    </row>
    <row r="917" spans="6:7">
      <c r="F917"/>
      <c r="G917"/>
    </row>
    <row r="918" spans="6:7">
      <c r="F918"/>
      <c r="G918"/>
    </row>
    <row r="919" spans="6:7">
      <c r="F919"/>
      <c r="G919"/>
    </row>
    <row r="920" spans="6:7">
      <c r="F920"/>
      <c r="G920"/>
    </row>
    <row r="921" spans="6:7">
      <c r="F921"/>
      <c r="G921"/>
    </row>
    <row r="922" spans="6:7">
      <c r="F922"/>
      <c r="G922"/>
    </row>
    <row r="923" spans="6:7">
      <c r="F923"/>
      <c r="G923"/>
    </row>
    <row r="924" spans="6:7">
      <c r="F924"/>
      <c r="G924"/>
    </row>
    <row r="925" spans="6:7">
      <c r="F925"/>
      <c r="G925"/>
    </row>
    <row r="926" spans="6:7">
      <c r="F926"/>
      <c r="G926"/>
    </row>
    <row r="927" spans="6:7">
      <c r="F927"/>
      <c r="G927"/>
    </row>
    <row r="928" spans="6:7">
      <c r="F928"/>
      <c r="G928"/>
    </row>
    <row r="929" spans="6:7">
      <c r="F929"/>
      <c r="G929"/>
    </row>
    <row r="930" spans="6:7">
      <c r="F930"/>
      <c r="G930"/>
    </row>
    <row r="931" spans="6:7">
      <c r="F931"/>
      <c r="G931"/>
    </row>
    <row r="932" spans="6:7">
      <c r="F932"/>
      <c r="G932"/>
    </row>
    <row r="933" spans="6:7">
      <c r="F933"/>
      <c r="G933"/>
    </row>
    <row r="934" spans="6:7">
      <c r="F934"/>
      <c r="G934"/>
    </row>
    <row r="935" spans="6:7">
      <c r="F935"/>
      <c r="G935"/>
    </row>
    <row r="936" spans="6:7">
      <c r="F936"/>
      <c r="G936"/>
    </row>
    <row r="937" spans="6:7">
      <c r="F937"/>
      <c r="G937"/>
    </row>
    <row r="938" spans="6:7">
      <c r="F938"/>
      <c r="G938"/>
    </row>
    <row r="939" spans="6:7">
      <c r="F939"/>
      <c r="G939"/>
    </row>
    <row r="940" spans="6:7">
      <c r="F940"/>
      <c r="G940"/>
    </row>
    <row r="941" spans="6:7">
      <c r="F941"/>
      <c r="G941"/>
    </row>
    <row r="942" spans="6:7">
      <c r="F942"/>
      <c r="G942"/>
    </row>
    <row r="943" spans="6:7">
      <c r="F943"/>
      <c r="G943"/>
    </row>
    <row r="944" spans="6:7">
      <c r="F944"/>
      <c r="G944"/>
    </row>
    <row r="945" spans="6:7">
      <c r="F945"/>
      <c r="G945"/>
    </row>
    <row r="946" spans="6:7">
      <c r="F946"/>
      <c r="G946"/>
    </row>
    <row r="947" spans="6:7">
      <c r="F947"/>
      <c r="G947"/>
    </row>
    <row r="948" spans="6:7">
      <c r="F948"/>
      <c r="G948"/>
    </row>
    <row r="949" spans="6:7">
      <c r="F949"/>
      <c r="G949"/>
    </row>
    <row r="950" spans="6:7">
      <c r="F950"/>
      <c r="G950"/>
    </row>
    <row r="951" spans="6:7">
      <c r="F951"/>
      <c r="G951"/>
    </row>
    <row r="952" spans="6:7">
      <c r="F952"/>
      <c r="G952"/>
    </row>
    <row r="953" spans="6:7">
      <c r="F953"/>
      <c r="G953"/>
    </row>
    <row r="954" spans="6:7">
      <c r="F954"/>
      <c r="G954"/>
    </row>
    <row r="955" spans="6:7">
      <c r="F955"/>
      <c r="G955"/>
    </row>
    <row r="956" spans="6:7">
      <c r="F956"/>
      <c r="G956"/>
    </row>
    <row r="957" spans="6:7">
      <c r="F957"/>
      <c r="G957"/>
    </row>
    <row r="958" spans="6:7">
      <c r="F958"/>
      <c r="G958"/>
    </row>
    <row r="959" spans="6:7">
      <c r="F959"/>
      <c r="G959"/>
    </row>
    <row r="960" spans="6:7">
      <c r="F960"/>
      <c r="G960"/>
    </row>
    <row r="961" spans="6:7">
      <c r="F961"/>
      <c r="G961"/>
    </row>
    <row r="962" spans="6:7">
      <c r="F962"/>
      <c r="G962"/>
    </row>
    <row r="963" spans="6:7">
      <c r="F963"/>
      <c r="G963"/>
    </row>
    <row r="964" spans="6:7">
      <c r="F964"/>
      <c r="G964"/>
    </row>
    <row r="965" spans="6:7">
      <c r="F965"/>
      <c r="G965"/>
    </row>
    <row r="966" spans="6:7">
      <c r="F966"/>
      <c r="G966"/>
    </row>
    <row r="967" spans="6:7">
      <c r="F967"/>
      <c r="G967"/>
    </row>
    <row r="968" spans="6:7">
      <c r="F968"/>
      <c r="G968"/>
    </row>
    <row r="969" spans="6:7">
      <c r="F969"/>
      <c r="G969"/>
    </row>
    <row r="970" spans="6:7">
      <c r="F970"/>
      <c r="G970"/>
    </row>
    <row r="971" spans="6:7">
      <c r="F971"/>
      <c r="G971"/>
    </row>
    <row r="972" spans="6:7">
      <c r="F972"/>
      <c r="G972"/>
    </row>
    <row r="973" spans="6:7">
      <c r="F973"/>
      <c r="G973"/>
    </row>
    <row r="974" spans="6:7">
      <c r="F974"/>
      <c r="G974"/>
    </row>
    <row r="975" spans="6:7">
      <c r="F975"/>
      <c r="G975"/>
    </row>
    <row r="976" spans="6:7">
      <c r="F976"/>
      <c r="G976"/>
    </row>
    <row r="978" spans="6:7">
      <c r="F978"/>
      <c r="G978"/>
    </row>
    <row r="979" spans="6:7">
      <c r="F979"/>
      <c r="G979"/>
    </row>
    <row r="980" spans="6:7">
      <c r="F980"/>
      <c r="G980"/>
    </row>
    <row r="981" spans="6:7">
      <c r="F981"/>
      <c r="G981"/>
    </row>
    <row r="982" spans="6:7">
      <c r="F982"/>
      <c r="G982"/>
    </row>
    <row r="983" spans="6:7">
      <c r="F983"/>
      <c r="G983"/>
    </row>
    <row r="984" spans="6:7">
      <c r="F984"/>
      <c r="G984"/>
    </row>
    <row r="985" spans="6:7">
      <c r="F985"/>
      <c r="G985"/>
    </row>
    <row r="986" spans="6:7">
      <c r="F986"/>
      <c r="G986"/>
    </row>
    <row r="987" spans="6:7">
      <c r="F987"/>
      <c r="G987"/>
    </row>
    <row r="988" spans="6:7">
      <c r="F988"/>
      <c r="G988"/>
    </row>
    <row r="989" spans="6:7">
      <c r="F989"/>
      <c r="G989"/>
    </row>
    <row r="990" spans="6:7">
      <c r="F990"/>
      <c r="G990"/>
    </row>
    <row r="991" spans="6:7">
      <c r="F991"/>
      <c r="G991"/>
    </row>
    <row r="992" spans="6:7">
      <c r="F992"/>
      <c r="G992"/>
    </row>
    <row r="993" spans="6:7">
      <c r="F993"/>
      <c r="G993"/>
    </row>
    <row r="994" spans="6:7">
      <c r="F994"/>
      <c r="G994"/>
    </row>
    <row r="995" spans="6:7">
      <c r="F995"/>
      <c r="G995"/>
    </row>
    <row r="996" spans="6:7">
      <c r="F996"/>
      <c r="G996"/>
    </row>
    <row r="997" spans="6:7">
      <c r="F997"/>
      <c r="G997"/>
    </row>
    <row r="998" spans="6:7">
      <c r="F998"/>
      <c r="G998"/>
    </row>
    <row r="999" spans="6:7">
      <c r="F999"/>
      <c r="G999"/>
    </row>
    <row r="1000" spans="6:7">
      <c r="F1000"/>
      <c r="G1000"/>
    </row>
    <row r="1001" spans="6:7">
      <c r="F1001"/>
      <c r="G1001"/>
    </row>
    <row r="1002" spans="6:7">
      <c r="F1002"/>
      <c r="G1002"/>
    </row>
    <row r="1003" spans="6:7">
      <c r="F1003"/>
      <c r="G1003"/>
    </row>
    <row r="1004" spans="6:7">
      <c r="F1004"/>
      <c r="G1004"/>
    </row>
    <row r="1005" spans="6:7">
      <c r="F1005"/>
      <c r="G1005"/>
    </row>
    <row r="1006" spans="6:7">
      <c r="F1006"/>
      <c r="G1006"/>
    </row>
    <row r="1007" spans="6:7">
      <c r="F1007"/>
      <c r="G1007"/>
    </row>
    <row r="1008" spans="6:7">
      <c r="F1008"/>
      <c r="G1008"/>
    </row>
    <row r="1009" spans="6:7">
      <c r="F1009"/>
      <c r="G1009"/>
    </row>
    <row r="1010" spans="6:7">
      <c r="F1010"/>
      <c r="G1010"/>
    </row>
    <row r="1011" spans="6:7">
      <c r="F1011"/>
      <c r="G1011"/>
    </row>
    <row r="1012" spans="6:7">
      <c r="F1012"/>
      <c r="G1012"/>
    </row>
    <row r="1013" spans="6:7">
      <c r="F1013"/>
      <c r="G1013"/>
    </row>
    <row r="1014" spans="6:7">
      <c r="F1014"/>
      <c r="G1014"/>
    </row>
    <row r="1015" spans="6:7">
      <c r="F1015"/>
      <c r="G1015"/>
    </row>
    <row r="1016" spans="6:7">
      <c r="F1016"/>
      <c r="G1016"/>
    </row>
    <row r="1017" spans="6:7">
      <c r="F1017"/>
      <c r="G1017"/>
    </row>
    <row r="1018" spans="6:7">
      <c r="F1018"/>
      <c r="G1018"/>
    </row>
    <row r="1019" spans="6:7">
      <c r="F1019"/>
      <c r="G1019"/>
    </row>
    <row r="1020" spans="6:7">
      <c r="F1020"/>
      <c r="G1020"/>
    </row>
    <row r="1021" spans="6:7">
      <c r="F1021"/>
      <c r="G1021"/>
    </row>
    <row r="1022" spans="6:7">
      <c r="F1022"/>
      <c r="G1022"/>
    </row>
    <row r="1023" spans="6:7">
      <c r="F1023"/>
      <c r="G1023"/>
    </row>
    <row r="1024" spans="6:7">
      <c r="F1024"/>
      <c r="G1024"/>
    </row>
    <row r="1025" spans="6:7">
      <c r="F1025"/>
      <c r="G1025"/>
    </row>
    <row r="1026" spans="6:7">
      <c r="F1026"/>
      <c r="G1026"/>
    </row>
    <row r="1027" spans="6:7">
      <c r="F1027"/>
      <c r="G1027"/>
    </row>
    <row r="1028" spans="6:7">
      <c r="F1028"/>
      <c r="G1028"/>
    </row>
    <row r="1029" spans="6:7">
      <c r="F1029"/>
      <c r="G1029"/>
    </row>
    <row r="1030" spans="6:7">
      <c r="F1030"/>
      <c r="G1030"/>
    </row>
    <row r="1031" spans="6:7">
      <c r="F1031"/>
      <c r="G1031"/>
    </row>
    <row r="1032" spans="6:7">
      <c r="F1032"/>
      <c r="G1032"/>
    </row>
    <row r="1033" spans="6:7">
      <c r="F1033"/>
      <c r="G1033"/>
    </row>
    <row r="1034" spans="6:7">
      <c r="F1034"/>
      <c r="G1034"/>
    </row>
    <row r="1035" spans="6:7">
      <c r="F1035"/>
      <c r="G1035"/>
    </row>
    <row r="1036" spans="6:7">
      <c r="F1036"/>
      <c r="G1036"/>
    </row>
    <row r="1037" spans="6:7">
      <c r="F1037"/>
      <c r="G1037"/>
    </row>
    <row r="1038" spans="6:7">
      <c r="F1038"/>
      <c r="G1038"/>
    </row>
    <row r="1039" spans="6:7">
      <c r="F1039"/>
      <c r="G1039"/>
    </row>
    <row r="1040" spans="6:7">
      <c r="F1040"/>
      <c r="G1040"/>
    </row>
    <row r="1041" spans="6:7">
      <c r="F1041"/>
      <c r="G1041"/>
    </row>
    <row r="1042" spans="6:7">
      <c r="F1042"/>
      <c r="G1042"/>
    </row>
    <row r="1043" spans="6:7">
      <c r="F1043"/>
      <c r="G1043"/>
    </row>
    <row r="1044" spans="6:7">
      <c r="F1044"/>
      <c r="G1044"/>
    </row>
    <row r="1045" spans="6:7">
      <c r="F1045"/>
      <c r="G1045"/>
    </row>
    <row r="1046" spans="6:7">
      <c r="F1046"/>
      <c r="G1046"/>
    </row>
    <row r="1047" spans="6:7">
      <c r="F1047"/>
      <c r="G1047"/>
    </row>
    <row r="1048" spans="6:7">
      <c r="F1048"/>
      <c r="G1048"/>
    </row>
    <row r="1049" spans="6:7">
      <c r="F1049"/>
      <c r="G1049"/>
    </row>
    <row r="1050" spans="6:7">
      <c r="F1050"/>
      <c r="G1050"/>
    </row>
    <row r="1051" spans="6:7">
      <c r="F1051"/>
      <c r="G1051"/>
    </row>
    <row r="1052" spans="6:7">
      <c r="F1052"/>
      <c r="G1052"/>
    </row>
    <row r="1053" spans="6:7">
      <c r="F1053"/>
      <c r="G1053"/>
    </row>
    <row r="1054" spans="6:7">
      <c r="F1054"/>
      <c r="G1054"/>
    </row>
    <row r="1055" spans="6:7">
      <c r="F1055"/>
      <c r="G1055"/>
    </row>
    <row r="1056" spans="6:7">
      <c r="F1056"/>
      <c r="G1056"/>
    </row>
    <row r="1057" spans="6:7">
      <c r="F1057"/>
      <c r="G1057"/>
    </row>
    <row r="1058" spans="6:7">
      <c r="F1058"/>
      <c r="G1058"/>
    </row>
    <row r="1059" spans="6:7">
      <c r="F1059"/>
      <c r="G1059"/>
    </row>
    <row r="1060" spans="6:7">
      <c r="F1060"/>
      <c r="G1060"/>
    </row>
    <row r="1061" spans="6:7">
      <c r="F1061"/>
      <c r="G1061"/>
    </row>
    <row r="1062" spans="6:7">
      <c r="F1062"/>
      <c r="G1062"/>
    </row>
    <row r="1063" spans="6:7">
      <c r="F1063"/>
      <c r="G1063"/>
    </row>
    <row r="1064" spans="6:7">
      <c r="F1064"/>
      <c r="G1064"/>
    </row>
    <row r="1065" spans="6:7">
      <c r="F1065"/>
      <c r="G1065"/>
    </row>
    <row r="1066" spans="6:7">
      <c r="F1066"/>
      <c r="G1066"/>
    </row>
    <row r="1067" spans="6:7">
      <c r="F1067"/>
      <c r="G1067"/>
    </row>
    <row r="1068" spans="6:7">
      <c r="F1068"/>
      <c r="G1068"/>
    </row>
    <row r="1069" spans="6:7">
      <c r="F1069"/>
      <c r="G1069"/>
    </row>
    <row r="1070" spans="6:7">
      <c r="F1070"/>
      <c r="G1070"/>
    </row>
    <row r="1071" spans="6:7">
      <c r="F1071"/>
      <c r="G1071"/>
    </row>
    <row r="1072" spans="6:7">
      <c r="F1072"/>
      <c r="G1072"/>
    </row>
    <row r="1073" spans="6:7">
      <c r="F1073"/>
      <c r="G1073"/>
    </row>
    <row r="1074" spans="6:7">
      <c r="F1074"/>
      <c r="G1074"/>
    </row>
    <row r="1075" spans="6:7">
      <c r="F1075"/>
      <c r="G1075"/>
    </row>
    <row r="1076" spans="6:7">
      <c r="F1076"/>
      <c r="G1076"/>
    </row>
    <row r="1077" spans="6:7">
      <c r="F1077"/>
      <c r="G1077"/>
    </row>
    <row r="1078" spans="6:7">
      <c r="F1078"/>
      <c r="G1078"/>
    </row>
    <row r="1079" spans="6:7">
      <c r="F1079"/>
      <c r="G1079"/>
    </row>
    <row r="1080" spans="6:7">
      <c r="F1080"/>
      <c r="G1080"/>
    </row>
    <row r="1081" spans="6:7">
      <c r="F1081"/>
      <c r="G1081"/>
    </row>
    <row r="1082" spans="6:7">
      <c r="F1082"/>
      <c r="G1082"/>
    </row>
    <row r="1083" spans="6:7">
      <c r="F1083"/>
      <c r="G1083"/>
    </row>
    <row r="1084" spans="6:7">
      <c r="F1084"/>
      <c r="G1084"/>
    </row>
    <row r="1085" spans="6:7">
      <c r="F1085"/>
      <c r="G1085"/>
    </row>
    <row r="1086" spans="6:7">
      <c r="F1086"/>
      <c r="G1086"/>
    </row>
    <row r="1087" spans="6:7">
      <c r="F1087"/>
      <c r="G1087"/>
    </row>
    <row r="1088" spans="6:7">
      <c r="F1088"/>
      <c r="G1088"/>
    </row>
    <row r="1089" spans="6:7">
      <c r="F1089"/>
      <c r="G1089"/>
    </row>
    <row r="1090" spans="6:7">
      <c r="F1090"/>
      <c r="G1090"/>
    </row>
    <row r="1091" spans="6:7">
      <c r="F1091"/>
      <c r="G1091"/>
    </row>
    <row r="1092" spans="6:7">
      <c r="F1092"/>
      <c r="G1092"/>
    </row>
    <row r="1093" spans="6:7">
      <c r="F1093"/>
      <c r="G1093"/>
    </row>
    <row r="1094" spans="6:7">
      <c r="F1094"/>
      <c r="G1094"/>
    </row>
    <row r="1095" spans="6:7">
      <c r="F1095"/>
      <c r="G1095"/>
    </row>
    <row r="1096" spans="6:7">
      <c r="F1096"/>
      <c r="G1096"/>
    </row>
    <row r="1097" spans="6:7">
      <c r="F1097"/>
      <c r="G1097"/>
    </row>
    <row r="1098" spans="6:7">
      <c r="F1098"/>
      <c r="G1098"/>
    </row>
    <row r="1099" spans="6:7">
      <c r="F1099"/>
      <c r="G1099"/>
    </row>
    <row r="1100" spans="6:7">
      <c r="F1100"/>
      <c r="G1100"/>
    </row>
    <row r="1101" spans="6:7">
      <c r="F1101"/>
      <c r="G1101"/>
    </row>
    <row r="1102" spans="6:7">
      <c r="F1102"/>
      <c r="G1102"/>
    </row>
    <row r="1103" spans="6:7">
      <c r="F1103"/>
      <c r="G1103"/>
    </row>
    <row r="1104" spans="6:7">
      <c r="F1104"/>
      <c r="G1104"/>
    </row>
    <row r="1105" spans="6:7">
      <c r="F1105"/>
      <c r="G1105"/>
    </row>
    <row r="1106" spans="6:7">
      <c r="F1106"/>
      <c r="G1106"/>
    </row>
    <row r="1107" spans="6:7">
      <c r="F1107"/>
      <c r="G1107"/>
    </row>
    <row r="1108" spans="6:7">
      <c r="F1108"/>
      <c r="G1108"/>
    </row>
    <row r="1109" spans="6:7">
      <c r="F1109"/>
      <c r="G1109"/>
    </row>
    <row r="1110" spans="6:7">
      <c r="F1110"/>
      <c r="G1110"/>
    </row>
    <row r="1111" spans="6:7">
      <c r="F1111"/>
      <c r="G1111"/>
    </row>
    <row r="1112" spans="6:7">
      <c r="F1112"/>
      <c r="G1112"/>
    </row>
    <row r="1113" spans="6:7">
      <c r="F1113"/>
      <c r="G1113"/>
    </row>
    <row r="1114" spans="6:7">
      <c r="F1114"/>
      <c r="G1114"/>
    </row>
    <row r="1115" spans="6:7">
      <c r="F1115"/>
      <c r="G1115"/>
    </row>
    <row r="1116" spans="6:7">
      <c r="F1116"/>
      <c r="G1116"/>
    </row>
    <row r="1117" spans="6:7">
      <c r="F1117"/>
      <c r="G1117"/>
    </row>
    <row r="1118" spans="6:7">
      <c r="F1118"/>
      <c r="G1118"/>
    </row>
    <row r="1119" spans="6:7">
      <c r="F1119"/>
      <c r="G1119"/>
    </row>
    <row r="1120" spans="6:7">
      <c r="F1120"/>
      <c r="G1120"/>
    </row>
    <row r="1121" spans="6:7">
      <c r="F1121"/>
      <c r="G1121"/>
    </row>
    <row r="1122" spans="6:7">
      <c r="F1122"/>
      <c r="G1122"/>
    </row>
    <row r="1123" spans="6:7">
      <c r="F1123"/>
      <c r="G1123"/>
    </row>
    <row r="1124" spans="6:7">
      <c r="F1124"/>
      <c r="G1124"/>
    </row>
    <row r="1125" spans="6:7">
      <c r="F1125"/>
      <c r="G1125"/>
    </row>
    <row r="1126" spans="6:7">
      <c r="F1126"/>
      <c r="G1126"/>
    </row>
    <row r="1127" spans="6:7">
      <c r="F1127"/>
      <c r="G1127"/>
    </row>
    <row r="1128" spans="6:7">
      <c r="F1128"/>
      <c r="G1128"/>
    </row>
    <row r="1129" spans="6:7">
      <c r="F1129"/>
      <c r="G1129"/>
    </row>
    <row r="1130" spans="6:7">
      <c r="F1130"/>
      <c r="G1130"/>
    </row>
    <row r="1131" spans="6:7">
      <c r="F1131"/>
      <c r="G1131"/>
    </row>
    <row r="1132" spans="6:7">
      <c r="F1132"/>
      <c r="G1132"/>
    </row>
    <row r="1133" spans="6:7">
      <c r="F1133"/>
      <c r="G1133"/>
    </row>
    <row r="1134" spans="6:7">
      <c r="F1134"/>
      <c r="G1134"/>
    </row>
    <row r="1135" spans="6:7">
      <c r="F1135"/>
      <c r="G1135"/>
    </row>
    <row r="1136" spans="6:7">
      <c r="F1136"/>
      <c r="G1136"/>
    </row>
    <row r="1137" spans="6:7">
      <c r="F1137"/>
      <c r="G1137"/>
    </row>
    <row r="1138" spans="6:7">
      <c r="F1138"/>
      <c r="G1138"/>
    </row>
    <row r="1139" spans="6:7">
      <c r="F1139"/>
      <c r="G1139"/>
    </row>
    <row r="1140" spans="6:7">
      <c r="F1140"/>
      <c r="G1140"/>
    </row>
    <row r="1141" spans="6:7">
      <c r="F1141"/>
      <c r="G1141"/>
    </row>
    <row r="1142" spans="6:7">
      <c r="F1142"/>
      <c r="G1142"/>
    </row>
    <row r="1143" spans="6:7">
      <c r="F1143"/>
      <c r="G1143"/>
    </row>
    <row r="1144" spans="6:7">
      <c r="F1144"/>
      <c r="G1144"/>
    </row>
    <row r="1145" spans="6:7">
      <c r="F1145"/>
      <c r="G1145"/>
    </row>
    <row r="1146" spans="6:7">
      <c r="F1146"/>
      <c r="G1146"/>
    </row>
    <row r="1147" spans="6:7">
      <c r="F1147"/>
      <c r="G1147"/>
    </row>
    <row r="1148" spans="6:7">
      <c r="F1148"/>
      <c r="G1148"/>
    </row>
    <row r="1149" spans="6:7">
      <c r="F1149"/>
      <c r="G1149"/>
    </row>
    <row r="1150" spans="6:7">
      <c r="F1150"/>
      <c r="G1150"/>
    </row>
    <row r="1151" spans="6:7">
      <c r="F1151"/>
      <c r="G1151"/>
    </row>
    <row r="1152" spans="6:7">
      <c r="F1152"/>
      <c r="G1152"/>
    </row>
    <row r="1153" spans="6:7">
      <c r="F1153"/>
      <c r="G1153"/>
    </row>
    <row r="1154" spans="6:7">
      <c r="F1154"/>
      <c r="G1154"/>
    </row>
    <row r="1155" spans="6:7">
      <c r="F1155"/>
      <c r="G1155"/>
    </row>
    <row r="1156" spans="6:7">
      <c r="F1156"/>
      <c r="G1156"/>
    </row>
    <row r="1157" spans="6:7">
      <c r="F1157"/>
      <c r="G1157"/>
    </row>
    <row r="1158" spans="6:7">
      <c r="F1158"/>
      <c r="G1158"/>
    </row>
    <row r="1159" spans="6:7">
      <c r="F1159"/>
      <c r="G1159"/>
    </row>
    <row r="1160" spans="6:7">
      <c r="F1160"/>
      <c r="G1160"/>
    </row>
    <row r="1161" spans="6:7">
      <c r="F1161"/>
      <c r="G1161"/>
    </row>
    <row r="1162" spans="6:7">
      <c r="F1162"/>
      <c r="G1162"/>
    </row>
    <row r="1163" spans="6:7">
      <c r="F1163"/>
      <c r="G1163"/>
    </row>
    <row r="1164" spans="6:7">
      <c r="F1164"/>
      <c r="G1164"/>
    </row>
    <row r="1165" spans="6:7">
      <c r="F1165"/>
      <c r="G1165"/>
    </row>
    <row r="1166" spans="6:7">
      <c r="F1166"/>
      <c r="G1166"/>
    </row>
    <row r="1167" spans="6:7">
      <c r="F1167"/>
      <c r="G1167"/>
    </row>
    <row r="1168" spans="6:7">
      <c r="F1168"/>
      <c r="G1168"/>
    </row>
    <row r="1169" spans="6:7">
      <c r="F1169"/>
      <c r="G1169"/>
    </row>
    <row r="1170" spans="6:7">
      <c r="F1170"/>
      <c r="G1170"/>
    </row>
    <row r="1171" spans="6:7">
      <c r="F1171"/>
      <c r="G1171"/>
    </row>
    <row r="1172" spans="6:7">
      <c r="F1172"/>
      <c r="G1172"/>
    </row>
    <row r="1173" spans="6:7">
      <c r="F1173"/>
      <c r="G1173"/>
    </row>
    <row r="1174" spans="6:7">
      <c r="F1174"/>
      <c r="G1174"/>
    </row>
    <row r="1175" spans="6:7">
      <c r="F1175"/>
      <c r="G1175"/>
    </row>
    <row r="1176" spans="6:7">
      <c r="F1176"/>
      <c r="G1176"/>
    </row>
    <row r="1177" spans="6:7">
      <c r="F1177"/>
      <c r="G1177"/>
    </row>
    <row r="1178" spans="6:7">
      <c r="F1178"/>
      <c r="G1178"/>
    </row>
    <row r="1179" spans="6:7">
      <c r="F1179"/>
      <c r="G1179"/>
    </row>
    <row r="1180" spans="6:7">
      <c r="F1180"/>
      <c r="G1180"/>
    </row>
    <row r="1181" spans="6:7">
      <c r="F1181"/>
      <c r="G1181"/>
    </row>
    <row r="1182" spans="6:7">
      <c r="F1182"/>
      <c r="G1182"/>
    </row>
    <row r="1183" spans="6:7">
      <c r="F1183"/>
      <c r="G1183"/>
    </row>
    <row r="1184" spans="6:7">
      <c r="F1184"/>
      <c r="G1184"/>
    </row>
    <row r="1185" spans="6:7">
      <c r="F1185"/>
      <c r="G1185"/>
    </row>
    <row r="1186" spans="6:7">
      <c r="F1186"/>
      <c r="G1186"/>
    </row>
    <row r="1187" spans="6:7">
      <c r="F1187"/>
      <c r="G1187"/>
    </row>
    <row r="1188" spans="6:7">
      <c r="F1188"/>
      <c r="G1188"/>
    </row>
    <row r="1189" spans="6:7">
      <c r="F1189"/>
      <c r="G1189"/>
    </row>
    <row r="1190" spans="6:7">
      <c r="F1190"/>
      <c r="G1190"/>
    </row>
    <row r="1191" spans="6:7">
      <c r="F1191"/>
      <c r="G1191"/>
    </row>
    <row r="1192" spans="6:7">
      <c r="F1192"/>
      <c r="G1192"/>
    </row>
    <row r="1193" spans="6:7">
      <c r="F1193"/>
      <c r="G1193"/>
    </row>
    <row r="1194" spans="6:7">
      <c r="F1194"/>
      <c r="G1194"/>
    </row>
    <row r="1195" spans="6:7">
      <c r="F1195"/>
      <c r="G1195"/>
    </row>
    <row r="1196" spans="6:7">
      <c r="F1196"/>
      <c r="G1196"/>
    </row>
    <row r="1197" spans="6:7">
      <c r="F1197"/>
      <c r="G1197"/>
    </row>
    <row r="1198" spans="6:7">
      <c r="F1198"/>
      <c r="G1198"/>
    </row>
    <row r="1199" spans="6:7">
      <c r="F1199"/>
      <c r="G1199"/>
    </row>
    <row r="1200" spans="6:7">
      <c r="F1200"/>
      <c r="G1200"/>
    </row>
    <row r="1201" spans="6:7">
      <c r="F1201"/>
      <c r="G1201"/>
    </row>
    <row r="1202" spans="6:7">
      <c r="F1202"/>
      <c r="G1202"/>
    </row>
    <row r="1203" spans="6:7">
      <c r="F1203"/>
      <c r="G1203"/>
    </row>
    <row r="1204" spans="6:7">
      <c r="F1204"/>
      <c r="G1204"/>
    </row>
    <row r="1205" spans="6:7">
      <c r="F1205"/>
      <c r="G1205"/>
    </row>
    <row r="1206" spans="6:7">
      <c r="F1206"/>
      <c r="G1206"/>
    </row>
    <row r="1207" spans="6:7">
      <c r="F1207"/>
      <c r="G1207"/>
    </row>
    <row r="1208" spans="6:7">
      <c r="F1208"/>
      <c r="G1208"/>
    </row>
    <row r="1209" spans="6:7">
      <c r="F1209"/>
      <c r="G1209"/>
    </row>
    <row r="1210" spans="6:7">
      <c r="F1210"/>
      <c r="G1210"/>
    </row>
    <row r="1211" spans="6:7">
      <c r="F1211"/>
      <c r="G1211"/>
    </row>
    <row r="1212" spans="6:7">
      <c r="F1212"/>
      <c r="G1212"/>
    </row>
    <row r="1213" spans="6:7">
      <c r="F1213"/>
      <c r="G1213"/>
    </row>
    <row r="1214" spans="6:7">
      <c r="F1214"/>
      <c r="G1214"/>
    </row>
    <row r="1215" spans="6:7">
      <c r="F1215"/>
      <c r="G1215"/>
    </row>
    <row r="1216" spans="6:7">
      <c r="F1216"/>
      <c r="G1216"/>
    </row>
    <row r="1217" spans="6:7">
      <c r="F1217"/>
      <c r="G1217"/>
    </row>
    <row r="1218" spans="6:7">
      <c r="F1218"/>
      <c r="G1218"/>
    </row>
    <row r="1219" spans="6:7">
      <c r="F1219"/>
      <c r="G1219"/>
    </row>
    <row r="1220" spans="6:7">
      <c r="F1220"/>
      <c r="G1220"/>
    </row>
    <row r="1221" spans="6:7">
      <c r="F1221"/>
      <c r="G1221"/>
    </row>
    <row r="1222" spans="6:7">
      <c r="F1222"/>
      <c r="G1222"/>
    </row>
    <row r="1223" spans="6:7">
      <c r="F1223"/>
      <c r="G1223"/>
    </row>
    <row r="1224" spans="6:7">
      <c r="F1224"/>
      <c r="G1224"/>
    </row>
    <row r="1225" spans="6:7">
      <c r="F1225"/>
      <c r="G1225"/>
    </row>
    <row r="1226" spans="6:7">
      <c r="F1226"/>
      <c r="G1226"/>
    </row>
    <row r="1227" spans="6:7">
      <c r="F1227"/>
      <c r="G1227"/>
    </row>
    <row r="1228" spans="6:7">
      <c r="F1228"/>
      <c r="G1228"/>
    </row>
    <row r="1229" spans="6:7">
      <c r="F1229"/>
      <c r="G1229"/>
    </row>
    <row r="1230" spans="6:7">
      <c r="F1230"/>
      <c r="G1230"/>
    </row>
    <row r="1231" spans="6:7">
      <c r="F1231"/>
      <c r="G1231"/>
    </row>
    <row r="1232" spans="6:7">
      <c r="F1232"/>
      <c r="G1232"/>
    </row>
    <row r="1233" spans="6:7">
      <c r="F1233"/>
      <c r="G1233"/>
    </row>
    <row r="1234" spans="6:7">
      <c r="F1234"/>
      <c r="G1234"/>
    </row>
    <row r="1235" spans="6:7">
      <c r="F1235"/>
      <c r="G1235"/>
    </row>
    <row r="1236" spans="6:7">
      <c r="F1236"/>
      <c r="G1236"/>
    </row>
    <row r="1237" spans="6:7">
      <c r="F1237"/>
      <c r="G1237"/>
    </row>
    <row r="1238" spans="6:7">
      <c r="F1238"/>
      <c r="G1238"/>
    </row>
    <row r="1239" spans="6:7">
      <c r="F1239"/>
      <c r="G1239"/>
    </row>
    <row r="1240" spans="6:7">
      <c r="F1240"/>
      <c r="G1240"/>
    </row>
    <row r="1241" spans="6:7">
      <c r="F1241"/>
      <c r="G1241"/>
    </row>
    <row r="1242" spans="6:7">
      <c r="F1242"/>
      <c r="G1242"/>
    </row>
    <row r="1243" spans="6:7">
      <c r="F1243"/>
      <c r="G1243"/>
    </row>
    <row r="1244" spans="6:7">
      <c r="F1244"/>
      <c r="G1244"/>
    </row>
    <row r="1245" spans="6:7">
      <c r="F1245"/>
      <c r="G1245"/>
    </row>
    <row r="1246" spans="6:7">
      <c r="F1246"/>
      <c r="G1246"/>
    </row>
    <row r="1247" spans="6:7">
      <c r="F1247"/>
      <c r="G1247"/>
    </row>
    <row r="1248" spans="6:7">
      <c r="F1248"/>
      <c r="G1248"/>
    </row>
    <row r="1249" spans="6:7">
      <c r="F1249"/>
      <c r="G1249"/>
    </row>
    <row r="1250" spans="6:7">
      <c r="F1250"/>
      <c r="G1250"/>
    </row>
    <row r="1251" spans="6:7">
      <c r="F1251"/>
      <c r="G1251"/>
    </row>
    <row r="1252" spans="6:7">
      <c r="F1252"/>
      <c r="G1252"/>
    </row>
    <row r="1253" spans="6:7">
      <c r="F1253"/>
      <c r="G1253"/>
    </row>
    <row r="1254" spans="6:7">
      <c r="F1254"/>
      <c r="G1254"/>
    </row>
    <row r="1255" spans="6:7">
      <c r="F1255"/>
      <c r="G1255"/>
    </row>
    <row r="1256" spans="6:7">
      <c r="F1256"/>
      <c r="G1256"/>
    </row>
    <row r="1257" spans="6:7">
      <c r="F1257"/>
      <c r="G1257"/>
    </row>
    <row r="1258" spans="6:7">
      <c r="F1258"/>
      <c r="G1258"/>
    </row>
    <row r="1259" spans="6:7">
      <c r="F1259"/>
      <c r="G1259"/>
    </row>
    <row r="1260" spans="6:7">
      <c r="F1260"/>
      <c r="G1260"/>
    </row>
    <row r="1261" spans="6:7">
      <c r="F1261"/>
      <c r="G1261"/>
    </row>
    <row r="1262" spans="6:7">
      <c r="F1262"/>
      <c r="G1262"/>
    </row>
    <row r="1263" spans="6:7">
      <c r="F1263"/>
      <c r="G1263"/>
    </row>
    <row r="1264" spans="6:7">
      <c r="F1264"/>
      <c r="G1264"/>
    </row>
    <row r="1265" spans="6:7">
      <c r="F1265"/>
      <c r="G1265"/>
    </row>
    <row r="1266" spans="6:7">
      <c r="F1266"/>
      <c r="G1266"/>
    </row>
    <row r="1267" spans="6:7">
      <c r="F1267"/>
      <c r="G1267"/>
    </row>
    <row r="1268" spans="6:7">
      <c r="F1268"/>
      <c r="G1268"/>
    </row>
    <row r="1269" spans="6:7">
      <c r="F1269"/>
      <c r="G1269"/>
    </row>
    <row r="1270" spans="6:7">
      <c r="F1270"/>
      <c r="G1270"/>
    </row>
    <row r="1271" spans="6:7">
      <c r="F1271"/>
      <c r="G1271"/>
    </row>
    <row r="1272" spans="6:7">
      <c r="F1272"/>
      <c r="G1272"/>
    </row>
    <row r="1273" spans="6:7">
      <c r="F1273"/>
      <c r="G1273"/>
    </row>
    <row r="1274" spans="6:7">
      <c r="F1274"/>
      <c r="G1274"/>
    </row>
    <row r="1275" spans="6:7">
      <c r="F1275"/>
      <c r="G1275"/>
    </row>
    <row r="1276" spans="6:7">
      <c r="F1276"/>
      <c r="G1276"/>
    </row>
    <row r="1277" spans="6:7">
      <c r="F1277"/>
      <c r="G1277"/>
    </row>
    <row r="1278" spans="6:7">
      <c r="F1278"/>
      <c r="G1278"/>
    </row>
    <row r="1279" spans="6:7">
      <c r="F1279"/>
      <c r="G1279"/>
    </row>
    <row r="1280" spans="6:7">
      <c r="F1280"/>
      <c r="G1280"/>
    </row>
    <row r="1281" spans="6:7">
      <c r="F1281"/>
      <c r="G1281"/>
    </row>
    <row r="1282" spans="6:7">
      <c r="F1282"/>
      <c r="G1282"/>
    </row>
    <row r="1283" spans="6:7">
      <c r="F1283"/>
      <c r="G1283"/>
    </row>
    <row r="1284" spans="6:7">
      <c r="F1284"/>
      <c r="G1284"/>
    </row>
    <row r="1285" spans="6:7">
      <c r="F1285"/>
      <c r="G1285"/>
    </row>
    <row r="1286" spans="6:7">
      <c r="F1286"/>
      <c r="G1286"/>
    </row>
    <row r="1287" spans="6:7">
      <c r="F1287"/>
      <c r="G1287"/>
    </row>
    <row r="1288" spans="6:7">
      <c r="F1288"/>
      <c r="G1288"/>
    </row>
    <row r="1289" spans="6:7">
      <c r="F1289"/>
      <c r="G1289"/>
    </row>
    <row r="1290" spans="6:7">
      <c r="F1290"/>
      <c r="G1290"/>
    </row>
    <row r="1291" spans="6:7">
      <c r="F1291"/>
      <c r="G1291"/>
    </row>
    <row r="1292" spans="6:7">
      <c r="F1292"/>
      <c r="G1292"/>
    </row>
    <row r="1293" spans="6:7">
      <c r="F1293"/>
      <c r="G1293"/>
    </row>
    <row r="1294" spans="6:7">
      <c r="F1294"/>
      <c r="G1294"/>
    </row>
    <row r="1295" spans="6:7">
      <c r="F1295"/>
      <c r="G1295"/>
    </row>
    <row r="1296" spans="6:7">
      <c r="F1296"/>
      <c r="G1296"/>
    </row>
    <row r="1297" spans="6:7">
      <c r="F1297"/>
      <c r="G1297"/>
    </row>
    <row r="1298" spans="6:7">
      <c r="F1298"/>
      <c r="G1298"/>
    </row>
    <row r="1299" spans="6:7">
      <c r="F1299"/>
      <c r="G1299"/>
    </row>
    <row r="1300" spans="6:7">
      <c r="F1300"/>
      <c r="G1300"/>
    </row>
    <row r="1301" spans="6:7">
      <c r="F1301"/>
      <c r="G1301"/>
    </row>
    <row r="1302" spans="6:7">
      <c r="F1302"/>
      <c r="G1302"/>
    </row>
    <row r="1303" spans="6:7">
      <c r="F1303"/>
      <c r="G1303"/>
    </row>
    <row r="1304" spans="6:7">
      <c r="F1304"/>
      <c r="G1304"/>
    </row>
    <row r="1305" spans="6:7">
      <c r="F1305"/>
      <c r="G1305"/>
    </row>
    <row r="1306" spans="6:7">
      <c r="F1306"/>
      <c r="G1306"/>
    </row>
    <row r="1307" spans="6:7">
      <c r="F1307"/>
      <c r="G1307"/>
    </row>
    <row r="1308" spans="6:7">
      <c r="F1308"/>
      <c r="G1308"/>
    </row>
    <row r="1309" spans="6:7">
      <c r="F1309"/>
      <c r="G1309"/>
    </row>
    <row r="1310" spans="6:7">
      <c r="F1310"/>
      <c r="G1310"/>
    </row>
    <row r="1311" spans="6:7">
      <c r="F1311"/>
      <c r="G1311"/>
    </row>
    <row r="1312" spans="6:7">
      <c r="F1312"/>
      <c r="G1312"/>
    </row>
    <row r="1313" spans="6:7">
      <c r="F1313"/>
      <c r="G1313"/>
    </row>
    <row r="1314" spans="6:7">
      <c r="F1314"/>
      <c r="G1314"/>
    </row>
    <row r="1315" spans="6:7">
      <c r="F1315"/>
      <c r="G1315"/>
    </row>
    <row r="1316" spans="6:7">
      <c r="F1316"/>
      <c r="G1316"/>
    </row>
    <row r="1317" spans="6:7">
      <c r="F1317"/>
      <c r="G1317"/>
    </row>
    <row r="1318" spans="6:7">
      <c r="F1318"/>
      <c r="G1318"/>
    </row>
    <row r="1319" spans="6:7">
      <c r="F1319"/>
      <c r="G1319"/>
    </row>
    <row r="1320" spans="6:7">
      <c r="F1320"/>
      <c r="G1320"/>
    </row>
    <row r="1321" spans="6:7">
      <c r="F1321"/>
      <c r="G1321"/>
    </row>
    <row r="1322" spans="6:7">
      <c r="F1322"/>
      <c r="G1322"/>
    </row>
    <row r="1323" spans="6:7">
      <c r="F1323"/>
      <c r="G1323"/>
    </row>
    <row r="1324" spans="6:7">
      <c r="F1324"/>
      <c r="G1324"/>
    </row>
    <row r="1325" spans="6:7">
      <c r="F1325"/>
      <c r="G1325"/>
    </row>
    <row r="1326" spans="6:7">
      <c r="F1326"/>
      <c r="G1326"/>
    </row>
    <row r="1327" spans="6:7">
      <c r="F1327"/>
      <c r="G1327"/>
    </row>
    <row r="1328" spans="6:7">
      <c r="F1328"/>
      <c r="G1328"/>
    </row>
    <row r="1329" spans="6:7">
      <c r="F1329"/>
      <c r="G1329"/>
    </row>
    <row r="1330" spans="6:7">
      <c r="F1330"/>
      <c r="G1330"/>
    </row>
    <row r="1331" spans="6:7">
      <c r="F1331"/>
      <c r="G1331"/>
    </row>
    <row r="1332" spans="6:7">
      <c r="F1332"/>
      <c r="G1332"/>
    </row>
    <row r="1333" spans="6:7">
      <c r="F1333"/>
      <c r="G1333"/>
    </row>
    <row r="1334" spans="6:7">
      <c r="F1334"/>
      <c r="G1334"/>
    </row>
    <row r="1335" spans="6:7">
      <c r="F1335"/>
      <c r="G1335"/>
    </row>
    <row r="1336" spans="6:7">
      <c r="F1336"/>
      <c r="G1336"/>
    </row>
    <row r="1337" spans="6:7">
      <c r="F1337"/>
      <c r="G1337"/>
    </row>
    <row r="1338" spans="6:7">
      <c r="F1338"/>
      <c r="G1338"/>
    </row>
    <row r="1339" spans="6:7">
      <c r="F1339"/>
      <c r="G1339"/>
    </row>
    <row r="1340" spans="6:7">
      <c r="F1340"/>
      <c r="G1340"/>
    </row>
    <row r="1341" spans="6:7">
      <c r="F1341"/>
      <c r="G1341"/>
    </row>
    <row r="1342" spans="6:7">
      <c r="F1342"/>
      <c r="G1342"/>
    </row>
    <row r="1343" spans="6:7">
      <c r="F1343"/>
      <c r="G1343"/>
    </row>
    <row r="1344" spans="6:7">
      <c r="F1344"/>
      <c r="G1344"/>
    </row>
    <row r="1345" spans="6:7">
      <c r="F1345"/>
      <c r="G1345"/>
    </row>
    <row r="1346" spans="6:7">
      <c r="F1346"/>
      <c r="G1346"/>
    </row>
    <row r="1347" spans="6:7">
      <c r="F1347"/>
      <c r="G1347"/>
    </row>
    <row r="1348" spans="6:7">
      <c r="F1348"/>
      <c r="G1348"/>
    </row>
    <row r="1349" spans="6:7">
      <c r="F1349"/>
      <c r="G1349"/>
    </row>
    <row r="1350" spans="6:7">
      <c r="F1350"/>
      <c r="G1350"/>
    </row>
    <row r="1351" spans="6:7">
      <c r="F1351"/>
      <c r="G1351"/>
    </row>
    <row r="1352" spans="6:7">
      <c r="F1352"/>
      <c r="G1352"/>
    </row>
    <row r="1353" spans="6:7">
      <c r="F1353"/>
      <c r="G1353"/>
    </row>
    <row r="1354" spans="6:7">
      <c r="F1354"/>
      <c r="G1354"/>
    </row>
    <row r="1355" spans="6:7">
      <c r="F1355"/>
      <c r="G1355"/>
    </row>
    <row r="1356" spans="6:7">
      <c r="F1356"/>
      <c r="G1356"/>
    </row>
    <row r="1357" spans="6:7">
      <c r="F1357"/>
      <c r="G1357"/>
    </row>
    <row r="1358" spans="6:7">
      <c r="F1358"/>
      <c r="G1358"/>
    </row>
    <row r="1359" spans="6:7">
      <c r="F1359"/>
      <c r="G1359"/>
    </row>
    <row r="1360" spans="6:7">
      <c r="F1360"/>
      <c r="G1360"/>
    </row>
    <row r="1361" spans="6:7">
      <c r="F1361"/>
      <c r="G1361"/>
    </row>
    <row r="1362" spans="6:7">
      <c r="F1362"/>
      <c r="G1362"/>
    </row>
    <row r="1363" spans="6:7">
      <c r="F1363"/>
      <c r="G1363"/>
    </row>
    <row r="1364" spans="6:7">
      <c r="F1364"/>
      <c r="G1364"/>
    </row>
    <row r="1365" spans="6:7">
      <c r="F1365"/>
      <c r="G1365"/>
    </row>
    <row r="1366" spans="6:7">
      <c r="F1366"/>
      <c r="G1366"/>
    </row>
    <row r="1367" spans="6:7">
      <c r="F1367"/>
      <c r="G1367"/>
    </row>
    <row r="1368" spans="6:7">
      <c r="F1368"/>
      <c r="G1368"/>
    </row>
    <row r="1369" spans="6:7">
      <c r="F1369"/>
      <c r="G1369"/>
    </row>
    <row r="1370" spans="6:7">
      <c r="F1370"/>
      <c r="G1370"/>
    </row>
    <row r="1371" spans="6:7">
      <c r="F1371"/>
      <c r="G1371"/>
    </row>
    <row r="1372" spans="6:7">
      <c r="F1372"/>
      <c r="G1372"/>
    </row>
    <row r="1373" spans="6:7">
      <c r="F1373"/>
      <c r="G1373"/>
    </row>
    <row r="1374" spans="6:7">
      <c r="F1374"/>
      <c r="G1374"/>
    </row>
    <row r="1375" spans="6:7">
      <c r="F1375"/>
      <c r="G1375"/>
    </row>
    <row r="1376" spans="6:7">
      <c r="F1376"/>
      <c r="G1376"/>
    </row>
    <row r="1377" spans="6:7">
      <c r="F1377"/>
      <c r="G1377"/>
    </row>
    <row r="1378" spans="6:7">
      <c r="F1378"/>
      <c r="G1378"/>
    </row>
    <row r="1379" spans="6:7">
      <c r="F1379"/>
      <c r="G1379"/>
    </row>
    <row r="1380" spans="6:7">
      <c r="F1380"/>
      <c r="G1380"/>
    </row>
    <row r="1381" spans="6:7">
      <c r="F1381"/>
      <c r="G1381"/>
    </row>
    <row r="1382" spans="6:7">
      <c r="F1382"/>
      <c r="G1382"/>
    </row>
    <row r="1383" spans="6:7">
      <c r="F1383"/>
      <c r="G1383"/>
    </row>
    <row r="1384" spans="6:7">
      <c r="F1384"/>
      <c r="G1384"/>
    </row>
    <row r="1385" spans="6:7">
      <c r="F1385"/>
      <c r="G1385"/>
    </row>
    <row r="1386" spans="6:7">
      <c r="F1386"/>
      <c r="G1386"/>
    </row>
    <row r="1387" spans="6:7">
      <c r="F1387"/>
      <c r="G1387"/>
    </row>
    <row r="1388" spans="6:7">
      <c r="F1388"/>
      <c r="G1388"/>
    </row>
    <row r="1389" spans="6:7">
      <c r="F1389"/>
      <c r="G1389"/>
    </row>
    <row r="1390" spans="6:7">
      <c r="F1390"/>
      <c r="G1390"/>
    </row>
    <row r="1391" spans="6:7">
      <c r="F1391"/>
      <c r="G1391"/>
    </row>
    <row r="1392" spans="6:7">
      <c r="F1392"/>
      <c r="G1392"/>
    </row>
    <row r="1393" spans="6:7">
      <c r="F1393"/>
      <c r="G1393"/>
    </row>
    <row r="1394" spans="6:7">
      <c r="F1394"/>
      <c r="G1394"/>
    </row>
    <row r="1395" spans="6:7">
      <c r="F1395"/>
      <c r="G1395"/>
    </row>
    <row r="1396" spans="6:7">
      <c r="F1396"/>
      <c r="G1396"/>
    </row>
    <row r="1397" spans="6:7">
      <c r="F1397"/>
      <c r="G1397"/>
    </row>
    <row r="1398" spans="6:7">
      <c r="F1398"/>
      <c r="G1398"/>
    </row>
    <row r="1399" spans="6:7">
      <c r="F1399"/>
      <c r="G1399"/>
    </row>
    <row r="1400" spans="6:7">
      <c r="F1400"/>
      <c r="G1400"/>
    </row>
    <row r="1401" spans="6:7">
      <c r="F1401"/>
      <c r="G1401"/>
    </row>
    <row r="1402" spans="6:7">
      <c r="F1402"/>
      <c r="G1402"/>
    </row>
    <row r="1403" spans="6:7">
      <c r="F1403"/>
      <c r="G1403"/>
    </row>
    <row r="1404" spans="6:7">
      <c r="F1404"/>
      <c r="G1404"/>
    </row>
    <row r="1405" spans="6:7">
      <c r="F1405"/>
      <c r="G1405"/>
    </row>
    <row r="1406" spans="6:7">
      <c r="F1406"/>
      <c r="G1406"/>
    </row>
    <row r="1407" spans="6:7">
      <c r="F1407"/>
      <c r="G1407"/>
    </row>
    <row r="1408" spans="6:7">
      <c r="F1408"/>
      <c r="G1408"/>
    </row>
    <row r="1409" spans="6:7">
      <c r="F1409"/>
      <c r="G1409"/>
    </row>
    <row r="1410" spans="6:7">
      <c r="F1410"/>
      <c r="G1410"/>
    </row>
    <row r="1411" spans="6:7">
      <c r="F1411"/>
      <c r="G1411"/>
    </row>
    <row r="1412" spans="6:7">
      <c r="F1412"/>
      <c r="G1412"/>
    </row>
    <row r="1413" spans="6:7">
      <c r="F1413"/>
      <c r="G1413"/>
    </row>
    <row r="1414" spans="6:7">
      <c r="F1414"/>
      <c r="G1414"/>
    </row>
    <row r="1415" spans="6:7">
      <c r="F1415"/>
      <c r="G1415"/>
    </row>
    <row r="1416" spans="6:7">
      <c r="F1416"/>
      <c r="G1416"/>
    </row>
    <row r="1417" spans="6:7">
      <c r="F1417"/>
      <c r="G1417"/>
    </row>
    <row r="1418" spans="6:7">
      <c r="F1418"/>
      <c r="G1418"/>
    </row>
    <row r="1419" spans="6:7">
      <c r="F1419"/>
      <c r="G1419"/>
    </row>
    <row r="1420" spans="6:7">
      <c r="F1420"/>
      <c r="G1420"/>
    </row>
    <row r="1421" spans="6:7">
      <c r="F1421"/>
      <c r="G1421"/>
    </row>
    <row r="1422" spans="6:7">
      <c r="F1422"/>
      <c r="G1422"/>
    </row>
    <row r="1423" spans="6:7">
      <c r="F1423"/>
      <c r="G1423"/>
    </row>
    <row r="1424" spans="6:7">
      <c r="F1424"/>
      <c r="G1424"/>
    </row>
    <row r="1425" spans="6:7">
      <c r="F1425"/>
      <c r="G1425"/>
    </row>
    <row r="1426" spans="6:7">
      <c r="F1426"/>
      <c r="G1426"/>
    </row>
    <row r="1427" spans="6:7">
      <c r="F1427"/>
      <c r="G1427"/>
    </row>
    <row r="1428" spans="6:7">
      <c r="F1428"/>
      <c r="G1428"/>
    </row>
    <row r="1429" spans="6:7">
      <c r="F1429"/>
      <c r="G1429"/>
    </row>
    <row r="1430" spans="6:7">
      <c r="F1430"/>
      <c r="G1430"/>
    </row>
    <row r="1431" spans="6:7">
      <c r="F1431"/>
      <c r="G1431"/>
    </row>
    <row r="1432" spans="6:7">
      <c r="F1432"/>
      <c r="G1432"/>
    </row>
    <row r="1433" spans="6:7">
      <c r="F1433"/>
      <c r="G1433"/>
    </row>
    <row r="1434" spans="6:7">
      <c r="F1434"/>
      <c r="G1434"/>
    </row>
    <row r="1435" spans="6:7">
      <c r="F1435"/>
      <c r="G1435"/>
    </row>
    <row r="1436" spans="6:7">
      <c r="F1436"/>
      <c r="G1436"/>
    </row>
    <row r="1437" spans="6:7">
      <c r="F1437"/>
      <c r="G1437"/>
    </row>
    <row r="1438" spans="6:7">
      <c r="F1438"/>
      <c r="G1438"/>
    </row>
    <row r="1439" spans="6:7">
      <c r="F1439"/>
      <c r="G1439"/>
    </row>
    <row r="1440" spans="6:7">
      <c r="F1440"/>
      <c r="G1440"/>
    </row>
    <row r="1441" spans="6:7">
      <c r="F1441"/>
      <c r="G1441"/>
    </row>
    <row r="1442" spans="6:7">
      <c r="F1442"/>
      <c r="G1442"/>
    </row>
    <row r="1443" spans="6:7">
      <c r="F1443"/>
      <c r="G1443"/>
    </row>
    <row r="1444" spans="6:7">
      <c r="F1444"/>
      <c r="G1444"/>
    </row>
    <row r="1445" spans="6:7">
      <c r="F1445"/>
      <c r="G1445"/>
    </row>
    <row r="1446" spans="6:7">
      <c r="F1446"/>
      <c r="G1446"/>
    </row>
    <row r="1447" spans="6:7">
      <c r="F1447"/>
      <c r="G1447"/>
    </row>
    <row r="1448" spans="6:7">
      <c r="F1448"/>
      <c r="G1448"/>
    </row>
    <row r="1449" spans="6:7">
      <c r="F1449"/>
      <c r="G1449"/>
    </row>
    <row r="1450" spans="6:7">
      <c r="F1450"/>
      <c r="G1450"/>
    </row>
    <row r="1451" spans="6:7">
      <c r="F1451"/>
      <c r="G1451"/>
    </row>
    <row r="1452" spans="6:7">
      <c r="F1452"/>
      <c r="G1452"/>
    </row>
    <row r="1453" spans="6:7">
      <c r="F1453"/>
      <c r="G1453"/>
    </row>
    <row r="1454" spans="6:7">
      <c r="F1454"/>
      <c r="G1454"/>
    </row>
    <row r="1455" spans="6:7">
      <c r="F1455"/>
      <c r="G1455"/>
    </row>
    <row r="1456" spans="6:7">
      <c r="F1456"/>
      <c r="G1456"/>
    </row>
    <row r="1457" spans="6:7">
      <c r="F1457"/>
      <c r="G1457"/>
    </row>
    <row r="1458" spans="6:7">
      <c r="F1458"/>
      <c r="G1458"/>
    </row>
    <row r="1459" spans="6:7">
      <c r="F1459"/>
      <c r="G1459"/>
    </row>
    <row r="1460" spans="6:7">
      <c r="F1460"/>
      <c r="G1460"/>
    </row>
    <row r="1461" spans="6:7">
      <c r="F1461"/>
      <c r="G1461"/>
    </row>
    <row r="1462" spans="6:7">
      <c r="F1462"/>
      <c r="G1462"/>
    </row>
    <row r="1463" spans="6:7">
      <c r="F1463"/>
      <c r="G1463"/>
    </row>
    <row r="1464" spans="6:7">
      <c r="F1464"/>
      <c r="G1464"/>
    </row>
    <row r="1465" spans="6:7">
      <c r="F1465"/>
      <c r="G1465"/>
    </row>
    <row r="1466" spans="6:7">
      <c r="F1466"/>
      <c r="G1466"/>
    </row>
    <row r="1467" spans="6:7">
      <c r="F1467"/>
      <c r="G1467"/>
    </row>
    <row r="1468" spans="6:7">
      <c r="F1468"/>
      <c r="G1468"/>
    </row>
    <row r="1469" spans="6:7">
      <c r="F1469"/>
      <c r="G1469"/>
    </row>
    <row r="1470" spans="6:7">
      <c r="F1470"/>
      <c r="G1470"/>
    </row>
    <row r="1471" spans="6:7">
      <c r="F1471"/>
      <c r="G1471"/>
    </row>
    <row r="1472" spans="6:7">
      <c r="F1472"/>
      <c r="G1472"/>
    </row>
    <row r="1473" spans="6:7">
      <c r="F1473"/>
      <c r="G1473"/>
    </row>
    <row r="1474" spans="6:7">
      <c r="F1474"/>
      <c r="G1474"/>
    </row>
    <row r="1475" spans="6:7">
      <c r="F1475"/>
      <c r="G1475"/>
    </row>
    <row r="1476" spans="6:7">
      <c r="F1476"/>
      <c r="G1476"/>
    </row>
    <row r="1477" spans="6:7">
      <c r="F1477"/>
      <c r="G1477"/>
    </row>
    <row r="1478" spans="6:7">
      <c r="F1478"/>
      <c r="G1478"/>
    </row>
    <row r="1479" spans="6:7">
      <c r="F1479"/>
      <c r="G1479"/>
    </row>
    <row r="1480" spans="6:7">
      <c r="F1480"/>
      <c r="G1480"/>
    </row>
    <row r="1481" spans="6:7">
      <c r="F1481"/>
      <c r="G1481"/>
    </row>
    <row r="1482" spans="6:7">
      <c r="F1482"/>
      <c r="G1482"/>
    </row>
    <row r="1483" spans="6:7">
      <c r="F1483"/>
      <c r="G1483"/>
    </row>
    <row r="1484" spans="6:7">
      <c r="F1484"/>
      <c r="G1484"/>
    </row>
    <row r="1485" spans="6:7">
      <c r="F1485"/>
      <c r="G1485"/>
    </row>
    <row r="1486" spans="6:7">
      <c r="F1486"/>
      <c r="G1486"/>
    </row>
    <row r="1487" spans="6:7">
      <c r="F1487"/>
      <c r="G1487"/>
    </row>
    <row r="1488" spans="6:7">
      <c r="F1488"/>
      <c r="G1488"/>
    </row>
    <row r="1489" spans="6:7">
      <c r="F1489"/>
      <c r="G1489"/>
    </row>
    <row r="1490" spans="6:7">
      <c r="F1490"/>
      <c r="G1490"/>
    </row>
    <row r="1491" spans="6:7">
      <c r="F1491"/>
      <c r="G1491"/>
    </row>
    <row r="1492" spans="6:7">
      <c r="F1492"/>
      <c r="G1492"/>
    </row>
    <row r="1493" spans="6:7">
      <c r="F1493"/>
      <c r="G1493"/>
    </row>
    <row r="1494" spans="6:7">
      <c r="F1494"/>
      <c r="G1494"/>
    </row>
    <row r="1495" spans="6:7">
      <c r="F1495"/>
      <c r="G1495"/>
    </row>
    <row r="1496" spans="6:7">
      <c r="F1496"/>
      <c r="G1496"/>
    </row>
    <row r="1497" spans="6:7">
      <c r="F1497"/>
      <c r="G1497"/>
    </row>
    <row r="1498" spans="6:7">
      <c r="F1498"/>
      <c r="G1498"/>
    </row>
    <row r="1499" spans="6:7">
      <c r="F1499"/>
      <c r="G1499"/>
    </row>
    <row r="1500" spans="6:7">
      <c r="F1500"/>
      <c r="G1500"/>
    </row>
    <row r="1501" spans="6:7">
      <c r="F1501"/>
      <c r="G1501"/>
    </row>
    <row r="1502" spans="6:7">
      <c r="F1502"/>
      <c r="G1502"/>
    </row>
    <row r="1503" spans="6:7">
      <c r="F1503"/>
      <c r="G1503"/>
    </row>
    <row r="1504" spans="6:7">
      <c r="F1504"/>
      <c r="G1504"/>
    </row>
    <row r="1505" spans="6:7">
      <c r="F1505"/>
      <c r="G1505"/>
    </row>
    <row r="1506" spans="6:7">
      <c r="F1506"/>
      <c r="G1506"/>
    </row>
    <row r="1507" spans="6:7">
      <c r="F1507"/>
      <c r="G1507"/>
    </row>
    <row r="1508" spans="6:7">
      <c r="F1508"/>
      <c r="G1508"/>
    </row>
    <row r="1509" spans="6:7">
      <c r="F1509"/>
      <c r="G1509"/>
    </row>
    <row r="1510" spans="6:7">
      <c r="F1510"/>
      <c r="G1510"/>
    </row>
    <row r="1511" spans="6:7">
      <c r="F1511"/>
      <c r="G1511"/>
    </row>
    <row r="1512" spans="6:7">
      <c r="F1512"/>
      <c r="G1512"/>
    </row>
    <row r="1513" spans="6:7">
      <c r="F1513"/>
      <c r="G1513"/>
    </row>
    <row r="1514" spans="6:7">
      <c r="F1514"/>
      <c r="G1514"/>
    </row>
    <row r="1515" spans="6:7">
      <c r="F1515"/>
      <c r="G1515"/>
    </row>
    <row r="1516" spans="6:7">
      <c r="F1516"/>
      <c r="G1516"/>
    </row>
    <row r="1517" spans="6:7">
      <c r="F1517"/>
      <c r="G1517"/>
    </row>
    <row r="1518" spans="6:7">
      <c r="F1518"/>
      <c r="G1518"/>
    </row>
    <row r="1519" spans="6:7">
      <c r="F1519"/>
      <c r="G1519"/>
    </row>
    <row r="1520" spans="6:7">
      <c r="F1520"/>
      <c r="G1520"/>
    </row>
    <row r="1521" spans="6:7">
      <c r="F1521"/>
      <c r="G1521"/>
    </row>
    <row r="1522" spans="6:7">
      <c r="F1522"/>
      <c r="G1522"/>
    </row>
    <row r="1523" spans="6:7">
      <c r="F1523"/>
      <c r="G1523"/>
    </row>
    <row r="1524" spans="6:7">
      <c r="F1524"/>
      <c r="G1524"/>
    </row>
    <row r="1525" spans="6:7">
      <c r="F1525"/>
      <c r="G1525"/>
    </row>
    <row r="1526" spans="6:7">
      <c r="F1526"/>
      <c r="G1526"/>
    </row>
    <row r="1527" spans="6:7">
      <c r="F1527"/>
      <c r="G1527"/>
    </row>
    <row r="1528" spans="6:7">
      <c r="F1528"/>
      <c r="G1528"/>
    </row>
    <row r="1529" spans="6:7">
      <c r="F1529"/>
      <c r="G1529"/>
    </row>
    <row r="1530" spans="6:7">
      <c r="F1530"/>
      <c r="G1530"/>
    </row>
    <row r="1531" spans="6:7">
      <c r="F1531"/>
      <c r="G1531"/>
    </row>
    <row r="1532" spans="6:7">
      <c r="F1532"/>
      <c r="G1532"/>
    </row>
    <row r="1533" spans="6:7">
      <c r="F1533"/>
      <c r="G1533"/>
    </row>
    <row r="1534" spans="6:7">
      <c r="F1534"/>
      <c r="G1534"/>
    </row>
    <row r="1535" spans="6:7">
      <c r="F1535"/>
      <c r="G1535"/>
    </row>
    <row r="1536" spans="6:7">
      <c r="F1536"/>
      <c r="G1536"/>
    </row>
    <row r="1537" spans="6:7">
      <c r="F1537"/>
      <c r="G1537"/>
    </row>
    <row r="1538" spans="6:7">
      <c r="F1538"/>
      <c r="G1538"/>
    </row>
    <row r="1539" spans="6:7">
      <c r="F1539"/>
      <c r="G1539"/>
    </row>
    <row r="1540" spans="6:7">
      <c r="F1540"/>
      <c r="G1540"/>
    </row>
    <row r="1541" spans="6:7">
      <c r="F1541"/>
      <c r="G1541"/>
    </row>
    <row r="1542" spans="6:7">
      <c r="F1542"/>
      <c r="G1542"/>
    </row>
    <row r="1543" spans="6:7">
      <c r="F1543"/>
      <c r="G1543"/>
    </row>
    <row r="1544" spans="6:7">
      <c r="F1544"/>
      <c r="G1544"/>
    </row>
    <row r="1545" spans="6:7">
      <c r="F1545"/>
      <c r="G1545"/>
    </row>
    <row r="1546" spans="6:7">
      <c r="F1546"/>
      <c r="G1546"/>
    </row>
    <row r="1547" spans="6:7">
      <c r="F1547"/>
      <c r="G1547"/>
    </row>
    <row r="1548" spans="6:7">
      <c r="F1548"/>
      <c r="G1548"/>
    </row>
    <row r="1549" spans="6:7">
      <c r="F1549"/>
      <c r="G1549"/>
    </row>
    <row r="1550" spans="6:7">
      <c r="F1550"/>
      <c r="G1550"/>
    </row>
    <row r="1551" spans="6:7">
      <c r="F1551"/>
      <c r="G1551"/>
    </row>
    <row r="1552" spans="6:7">
      <c r="F1552"/>
      <c r="G1552"/>
    </row>
    <row r="1553" spans="6:7">
      <c r="F1553"/>
      <c r="G1553"/>
    </row>
    <row r="1554" spans="6:7">
      <c r="F1554"/>
      <c r="G1554"/>
    </row>
    <row r="1555" spans="6:7">
      <c r="F1555"/>
      <c r="G1555"/>
    </row>
    <row r="1556" spans="6:7">
      <c r="F1556"/>
      <c r="G1556"/>
    </row>
    <row r="1557" spans="6:7">
      <c r="F1557"/>
      <c r="G1557"/>
    </row>
    <row r="1558" spans="6:7">
      <c r="F1558"/>
      <c r="G1558"/>
    </row>
    <row r="1559" spans="6:7">
      <c r="F1559"/>
      <c r="G1559"/>
    </row>
    <row r="1560" spans="6:7">
      <c r="F1560"/>
      <c r="G1560"/>
    </row>
    <row r="1561" spans="6:7">
      <c r="F1561"/>
      <c r="G1561"/>
    </row>
    <row r="1562" spans="6:7">
      <c r="F1562"/>
      <c r="G1562"/>
    </row>
    <row r="1563" spans="6:7">
      <c r="F1563"/>
      <c r="G1563"/>
    </row>
    <row r="1564" spans="6:7">
      <c r="F1564"/>
      <c r="G1564"/>
    </row>
    <row r="1565" spans="6:7">
      <c r="F1565"/>
      <c r="G1565"/>
    </row>
    <row r="1566" spans="6:7">
      <c r="F1566"/>
      <c r="G1566"/>
    </row>
    <row r="1567" spans="6:7">
      <c r="F1567"/>
      <c r="G1567"/>
    </row>
    <row r="1568" spans="6:7">
      <c r="F1568"/>
      <c r="G1568"/>
    </row>
    <row r="1569" spans="6:7">
      <c r="F1569"/>
      <c r="G1569"/>
    </row>
    <row r="1570" spans="6:7">
      <c r="F1570"/>
      <c r="G1570"/>
    </row>
    <row r="1571" spans="6:7">
      <c r="F1571"/>
      <c r="G1571"/>
    </row>
    <row r="1572" spans="6:7">
      <c r="F1572"/>
      <c r="G1572"/>
    </row>
    <row r="1573" spans="6:7">
      <c r="F1573"/>
      <c r="G1573"/>
    </row>
    <row r="1574" spans="6:7">
      <c r="F1574"/>
      <c r="G1574"/>
    </row>
    <row r="1575" spans="6:7">
      <c r="F1575"/>
      <c r="G1575"/>
    </row>
    <row r="1576" spans="6:7">
      <c r="F1576"/>
      <c r="G1576"/>
    </row>
    <row r="1577" spans="6:7">
      <c r="F1577"/>
      <c r="G1577"/>
    </row>
    <row r="1578" spans="6:7">
      <c r="F1578"/>
      <c r="G1578"/>
    </row>
    <row r="1579" spans="6:7">
      <c r="F1579"/>
      <c r="G1579"/>
    </row>
    <row r="1580" spans="6:7">
      <c r="F1580"/>
      <c r="G1580"/>
    </row>
    <row r="1581" spans="6:7">
      <c r="F1581"/>
      <c r="G1581"/>
    </row>
    <row r="1582" spans="6:7">
      <c r="F1582"/>
      <c r="G1582"/>
    </row>
    <row r="1583" spans="6:7">
      <c r="F1583"/>
      <c r="G1583"/>
    </row>
    <row r="1584" spans="6:7">
      <c r="F1584"/>
      <c r="G1584"/>
    </row>
    <row r="1585" spans="6:7">
      <c r="F1585"/>
      <c r="G1585"/>
    </row>
    <row r="1586" spans="6:7">
      <c r="F1586"/>
      <c r="G1586"/>
    </row>
    <row r="1587" spans="6:7">
      <c r="F1587"/>
      <c r="G1587"/>
    </row>
    <row r="1588" spans="6:7">
      <c r="F1588"/>
      <c r="G1588"/>
    </row>
    <row r="1589" spans="6:7">
      <c r="F1589"/>
      <c r="G1589"/>
    </row>
    <row r="1590" spans="6:7">
      <c r="F1590"/>
      <c r="G1590"/>
    </row>
    <row r="1591" spans="6:7">
      <c r="F1591"/>
      <c r="G1591"/>
    </row>
    <row r="1592" spans="6:7">
      <c r="F1592"/>
      <c r="G1592"/>
    </row>
    <row r="1593" spans="6:7">
      <c r="F1593"/>
      <c r="G1593"/>
    </row>
    <row r="1594" spans="6:7">
      <c r="F1594"/>
      <c r="G1594"/>
    </row>
    <row r="1595" spans="6:7">
      <c r="F1595"/>
      <c r="G1595"/>
    </row>
    <row r="1596" spans="6:7">
      <c r="F1596"/>
      <c r="G1596"/>
    </row>
    <row r="1597" spans="6:7">
      <c r="F1597"/>
      <c r="G1597"/>
    </row>
    <row r="1598" spans="6:7">
      <c r="F1598"/>
      <c r="G1598"/>
    </row>
    <row r="1599" spans="6:7">
      <c r="F1599"/>
      <c r="G1599"/>
    </row>
    <row r="1600" spans="6:7">
      <c r="F1600"/>
      <c r="G1600"/>
    </row>
    <row r="1601" spans="6:7">
      <c r="F1601"/>
      <c r="G1601"/>
    </row>
    <row r="1602" spans="6:7">
      <c r="F1602"/>
      <c r="G1602"/>
    </row>
    <row r="1603" spans="6:7">
      <c r="F1603"/>
      <c r="G1603"/>
    </row>
    <row r="1604" spans="6:7">
      <c r="F1604"/>
      <c r="G1604"/>
    </row>
    <row r="1605" spans="6:7">
      <c r="F1605"/>
      <c r="G1605"/>
    </row>
    <row r="1606" spans="6:7">
      <c r="F1606"/>
      <c r="G1606"/>
    </row>
    <row r="1607" spans="6:7">
      <c r="F1607"/>
      <c r="G1607"/>
    </row>
    <row r="1608" spans="6:7">
      <c r="F1608"/>
      <c r="G1608"/>
    </row>
    <row r="1609" spans="6:7">
      <c r="F1609"/>
      <c r="G1609"/>
    </row>
    <row r="1610" spans="6:7">
      <c r="F1610"/>
      <c r="G1610"/>
    </row>
    <row r="1611" spans="6:7">
      <c r="F1611"/>
      <c r="G1611"/>
    </row>
    <row r="1612" spans="6:7">
      <c r="F1612"/>
      <c r="G1612"/>
    </row>
    <row r="1613" spans="6:7">
      <c r="F1613"/>
      <c r="G1613"/>
    </row>
    <row r="1614" spans="6:7">
      <c r="F1614"/>
      <c r="G1614"/>
    </row>
    <row r="1615" spans="6:7">
      <c r="F1615"/>
      <c r="G1615"/>
    </row>
    <row r="1616" spans="6:7">
      <c r="F1616"/>
      <c r="G1616"/>
    </row>
    <row r="1617" spans="6:7">
      <c r="F1617"/>
      <c r="G1617"/>
    </row>
    <row r="1618" spans="6:7">
      <c r="F1618"/>
      <c r="G1618"/>
    </row>
    <row r="1619" spans="6:7">
      <c r="F1619"/>
      <c r="G1619"/>
    </row>
    <row r="1620" spans="6:7">
      <c r="F1620"/>
      <c r="G1620"/>
    </row>
    <row r="1621" spans="6:7">
      <c r="F1621"/>
      <c r="G1621"/>
    </row>
    <row r="1622" spans="6:7">
      <c r="F1622"/>
      <c r="G1622"/>
    </row>
    <row r="1623" spans="6:7">
      <c r="F1623"/>
      <c r="G1623"/>
    </row>
    <row r="1624" spans="6:7">
      <c r="F1624"/>
      <c r="G1624"/>
    </row>
    <row r="1625" spans="6:7">
      <c r="F1625"/>
      <c r="G1625"/>
    </row>
    <row r="1626" spans="6:7">
      <c r="F1626"/>
      <c r="G1626"/>
    </row>
    <row r="1627" spans="6:7">
      <c r="F1627"/>
      <c r="G1627"/>
    </row>
    <row r="1628" spans="6:7">
      <c r="F1628"/>
      <c r="G1628"/>
    </row>
    <row r="1629" spans="6:7">
      <c r="F1629"/>
      <c r="G1629"/>
    </row>
    <row r="1630" spans="6:7">
      <c r="F1630"/>
      <c r="G1630"/>
    </row>
    <row r="1631" spans="6:7">
      <c r="F1631"/>
      <c r="G1631"/>
    </row>
    <row r="1632" spans="6:7">
      <c r="F1632"/>
      <c r="G1632"/>
    </row>
    <row r="1633" spans="6:7">
      <c r="F1633"/>
      <c r="G1633"/>
    </row>
    <row r="1634" spans="6:7">
      <c r="F1634"/>
      <c r="G1634"/>
    </row>
    <row r="1635" spans="6:7">
      <c r="F1635"/>
      <c r="G1635"/>
    </row>
    <row r="1636" spans="6:7">
      <c r="F1636"/>
      <c r="G1636"/>
    </row>
    <row r="1637" spans="6:7">
      <c r="F1637"/>
      <c r="G1637"/>
    </row>
    <row r="1638" spans="6:7">
      <c r="F1638"/>
      <c r="G1638"/>
    </row>
    <row r="1639" spans="6:7">
      <c r="F1639"/>
      <c r="G1639"/>
    </row>
    <row r="1640" spans="6:7">
      <c r="F1640"/>
      <c r="G1640"/>
    </row>
    <row r="1641" spans="6:7">
      <c r="F1641"/>
      <c r="G1641"/>
    </row>
    <row r="1642" spans="6:7">
      <c r="F1642"/>
      <c r="G1642"/>
    </row>
    <row r="1643" spans="6:7">
      <c r="F1643"/>
      <c r="G1643"/>
    </row>
    <row r="1644" spans="6:7">
      <c r="F1644"/>
      <c r="G1644"/>
    </row>
    <row r="1645" spans="6:7">
      <c r="F1645"/>
      <c r="G1645"/>
    </row>
    <row r="1646" spans="6:7">
      <c r="F1646"/>
      <c r="G1646"/>
    </row>
    <row r="1647" spans="6:7">
      <c r="F1647"/>
      <c r="G1647"/>
    </row>
    <row r="1648" spans="6:7">
      <c r="F1648"/>
      <c r="G1648"/>
    </row>
    <row r="1649" spans="6:7">
      <c r="F1649"/>
      <c r="G1649"/>
    </row>
    <row r="1650" spans="6:7">
      <c r="F1650"/>
      <c r="G1650"/>
    </row>
    <row r="1651" spans="6:7">
      <c r="F1651"/>
      <c r="G1651"/>
    </row>
    <row r="1652" spans="6:7">
      <c r="F1652"/>
      <c r="G1652"/>
    </row>
    <row r="1653" spans="6:7">
      <c r="F1653"/>
      <c r="G1653"/>
    </row>
    <row r="1654" spans="6:7">
      <c r="F1654"/>
      <c r="G1654"/>
    </row>
    <row r="1655" spans="6:7">
      <c r="F1655"/>
      <c r="G1655"/>
    </row>
    <row r="1656" spans="6:7">
      <c r="F1656"/>
      <c r="G1656"/>
    </row>
    <row r="1657" spans="6:7">
      <c r="F1657"/>
      <c r="G1657"/>
    </row>
    <row r="1658" spans="6:7">
      <c r="F1658"/>
      <c r="G1658"/>
    </row>
    <row r="1659" spans="6:7">
      <c r="F1659"/>
      <c r="G1659"/>
    </row>
    <row r="1660" spans="6:7">
      <c r="F1660"/>
      <c r="G1660"/>
    </row>
    <row r="1661" spans="6:7">
      <c r="F1661"/>
      <c r="G1661"/>
    </row>
    <row r="1662" spans="6:7">
      <c r="F1662"/>
      <c r="G1662"/>
    </row>
    <row r="1663" spans="6:7">
      <c r="F1663"/>
      <c r="G1663"/>
    </row>
    <row r="1664" spans="6:7">
      <c r="F1664"/>
      <c r="G1664"/>
    </row>
    <row r="1665" spans="6:7">
      <c r="F1665"/>
      <c r="G1665"/>
    </row>
    <row r="1666" spans="6:7">
      <c r="F1666"/>
      <c r="G1666"/>
    </row>
    <row r="1667" spans="6:7">
      <c r="F1667"/>
      <c r="G1667"/>
    </row>
    <row r="1668" spans="6:7">
      <c r="F1668"/>
      <c r="G1668"/>
    </row>
    <row r="1669" spans="6:7">
      <c r="F1669"/>
      <c r="G1669"/>
    </row>
    <row r="1670" spans="6:7">
      <c r="F1670"/>
      <c r="G1670"/>
    </row>
    <row r="1671" spans="6:7">
      <c r="F1671"/>
      <c r="G1671"/>
    </row>
    <row r="1672" spans="6:7">
      <c r="F1672"/>
      <c r="G1672"/>
    </row>
    <row r="1673" spans="6:7">
      <c r="F1673"/>
      <c r="G1673"/>
    </row>
    <row r="1674" spans="6:7">
      <c r="F1674"/>
      <c r="G1674"/>
    </row>
    <row r="1675" spans="6:7">
      <c r="F1675"/>
      <c r="G1675"/>
    </row>
    <row r="1676" spans="6:7">
      <c r="F1676"/>
      <c r="G1676"/>
    </row>
    <row r="1677" spans="6:7">
      <c r="F1677"/>
      <c r="G1677"/>
    </row>
    <row r="1678" spans="6:7">
      <c r="F1678"/>
      <c r="G1678"/>
    </row>
    <row r="1679" spans="6:7">
      <c r="F1679"/>
      <c r="G1679"/>
    </row>
    <row r="1680" spans="6:7">
      <c r="F1680"/>
      <c r="G1680"/>
    </row>
    <row r="1681" spans="6:7">
      <c r="F1681"/>
      <c r="G1681"/>
    </row>
    <row r="1682" spans="6:7">
      <c r="F1682"/>
      <c r="G1682"/>
    </row>
    <row r="1683" spans="6:7">
      <c r="F1683"/>
      <c r="G1683"/>
    </row>
    <row r="1684" spans="6:7">
      <c r="F1684"/>
      <c r="G1684"/>
    </row>
    <row r="1685" spans="6:7">
      <c r="F1685"/>
      <c r="G1685"/>
    </row>
    <row r="1686" spans="6:7">
      <c r="F1686"/>
      <c r="G1686"/>
    </row>
    <row r="1687" spans="6:7">
      <c r="F1687"/>
      <c r="G1687"/>
    </row>
    <row r="1688" spans="6:7">
      <c r="F1688"/>
      <c r="G1688"/>
    </row>
    <row r="1689" spans="6:7">
      <c r="F1689"/>
      <c r="G1689"/>
    </row>
    <row r="1690" spans="6:7">
      <c r="F1690"/>
      <c r="G1690"/>
    </row>
    <row r="1691" spans="6:7">
      <c r="F1691"/>
      <c r="G1691"/>
    </row>
    <row r="1692" spans="6:7">
      <c r="F1692"/>
      <c r="G1692"/>
    </row>
    <row r="1693" spans="6:7">
      <c r="F1693"/>
      <c r="G1693"/>
    </row>
    <row r="1694" spans="6:7">
      <c r="F1694"/>
      <c r="G1694"/>
    </row>
    <row r="1695" spans="6:7">
      <c r="F1695"/>
      <c r="G1695"/>
    </row>
    <row r="1696" spans="6:7">
      <c r="F1696"/>
      <c r="G1696"/>
    </row>
    <row r="1697" spans="6:7">
      <c r="F1697"/>
      <c r="G1697"/>
    </row>
    <row r="1698" spans="6:7">
      <c r="F1698"/>
      <c r="G1698"/>
    </row>
    <row r="1699" spans="6:7">
      <c r="F1699"/>
      <c r="G1699"/>
    </row>
    <row r="1700" spans="6:7">
      <c r="F1700"/>
      <c r="G1700"/>
    </row>
    <row r="1701" spans="6:7">
      <c r="F1701"/>
      <c r="G1701"/>
    </row>
    <row r="1702" spans="6:7">
      <c r="F1702"/>
      <c r="G1702"/>
    </row>
    <row r="1703" spans="6:7">
      <c r="F1703"/>
      <c r="G1703"/>
    </row>
    <row r="1704" spans="6:7">
      <c r="F1704"/>
      <c r="G1704"/>
    </row>
    <row r="1705" spans="6:7">
      <c r="F1705"/>
      <c r="G1705"/>
    </row>
    <row r="1706" spans="6:7">
      <c r="F1706"/>
      <c r="G1706"/>
    </row>
    <row r="1707" spans="6:7">
      <c r="F1707"/>
      <c r="G1707"/>
    </row>
    <row r="1708" spans="6:7">
      <c r="F1708"/>
      <c r="G1708"/>
    </row>
    <row r="1709" spans="6:7">
      <c r="F1709"/>
      <c r="G1709"/>
    </row>
    <row r="1710" spans="6:7">
      <c r="F1710"/>
      <c r="G1710"/>
    </row>
    <row r="1711" spans="6:7">
      <c r="F1711"/>
      <c r="G1711"/>
    </row>
    <row r="1712" spans="6:7">
      <c r="F1712"/>
      <c r="G1712"/>
    </row>
    <row r="1713" spans="6:7">
      <c r="F1713"/>
      <c r="G1713"/>
    </row>
    <row r="1714" spans="6:7">
      <c r="F1714"/>
      <c r="G1714"/>
    </row>
    <row r="1715" spans="6:7">
      <c r="F1715"/>
      <c r="G1715"/>
    </row>
    <row r="1716" spans="6:7">
      <c r="F1716"/>
      <c r="G1716"/>
    </row>
    <row r="1717" spans="6:7">
      <c r="F1717"/>
      <c r="G1717"/>
    </row>
    <row r="1718" spans="6:7">
      <c r="F1718"/>
      <c r="G1718"/>
    </row>
    <row r="1719" spans="6:7">
      <c r="F1719"/>
      <c r="G1719"/>
    </row>
    <row r="1720" spans="6:7">
      <c r="F1720"/>
      <c r="G1720"/>
    </row>
    <row r="1721" spans="6:7">
      <c r="F1721"/>
      <c r="G1721"/>
    </row>
    <row r="1722" spans="6:7">
      <c r="F1722"/>
      <c r="G1722"/>
    </row>
    <row r="1723" spans="6:7">
      <c r="F1723"/>
      <c r="G1723"/>
    </row>
    <row r="1724" spans="6:7">
      <c r="F1724"/>
      <c r="G1724"/>
    </row>
    <row r="1725" spans="6:7">
      <c r="F1725"/>
      <c r="G1725"/>
    </row>
    <row r="1726" spans="6:7">
      <c r="F1726"/>
      <c r="G1726"/>
    </row>
    <row r="1727" spans="6:7">
      <c r="F1727"/>
      <c r="G1727"/>
    </row>
    <row r="1728" spans="6:7">
      <c r="F1728"/>
      <c r="G1728"/>
    </row>
    <row r="1729" spans="6:7">
      <c r="F1729"/>
      <c r="G1729"/>
    </row>
    <row r="1730" spans="6:7">
      <c r="F1730"/>
      <c r="G1730"/>
    </row>
    <row r="1731" spans="6:7">
      <c r="F1731"/>
      <c r="G1731"/>
    </row>
    <row r="1732" spans="6:7">
      <c r="F1732"/>
      <c r="G1732"/>
    </row>
    <row r="1733" spans="6:7">
      <c r="F1733"/>
      <c r="G1733"/>
    </row>
    <row r="1734" spans="6:7">
      <c r="F1734"/>
      <c r="G1734"/>
    </row>
    <row r="1735" spans="6:7">
      <c r="F1735"/>
      <c r="G1735"/>
    </row>
    <row r="1736" spans="6:7">
      <c r="F1736"/>
      <c r="G1736"/>
    </row>
    <row r="1737" spans="6:7">
      <c r="F1737"/>
      <c r="G1737"/>
    </row>
    <row r="1738" spans="6:7">
      <c r="F1738"/>
      <c r="G1738"/>
    </row>
    <row r="1739" spans="6:7">
      <c r="F1739"/>
      <c r="G1739"/>
    </row>
    <row r="1740" spans="6:7">
      <c r="F1740"/>
      <c r="G1740"/>
    </row>
    <row r="1741" spans="6:7">
      <c r="F1741"/>
      <c r="G1741"/>
    </row>
    <row r="1742" spans="6:7">
      <c r="F1742"/>
      <c r="G1742"/>
    </row>
    <row r="1743" spans="6:7">
      <c r="F1743"/>
      <c r="G1743"/>
    </row>
    <row r="1744" spans="6:7">
      <c r="F1744"/>
      <c r="G1744"/>
    </row>
    <row r="1745" spans="6:7">
      <c r="F1745"/>
      <c r="G1745"/>
    </row>
    <row r="1746" spans="6:7">
      <c r="F1746"/>
      <c r="G1746"/>
    </row>
    <row r="1747" spans="6:7">
      <c r="F1747"/>
      <c r="G1747"/>
    </row>
    <row r="1748" spans="6:7">
      <c r="F1748"/>
      <c r="G1748"/>
    </row>
    <row r="1749" spans="6:7">
      <c r="F1749"/>
      <c r="G1749"/>
    </row>
    <row r="1750" spans="6:7">
      <c r="F1750"/>
      <c r="G1750"/>
    </row>
    <row r="1751" spans="6:7">
      <c r="F1751"/>
      <c r="G1751"/>
    </row>
    <row r="1752" spans="6:7">
      <c r="F1752"/>
      <c r="G1752"/>
    </row>
    <row r="1753" spans="6:7">
      <c r="F1753"/>
      <c r="G1753"/>
    </row>
    <row r="1754" spans="6:7">
      <c r="F1754"/>
      <c r="G1754"/>
    </row>
    <row r="1755" spans="6:7">
      <c r="F1755"/>
      <c r="G1755"/>
    </row>
    <row r="1756" spans="6:7">
      <c r="F1756"/>
      <c r="G1756"/>
    </row>
    <row r="1757" spans="6:7">
      <c r="F1757"/>
      <c r="G1757"/>
    </row>
    <row r="1758" spans="6:7">
      <c r="F1758"/>
      <c r="G1758"/>
    </row>
    <row r="1759" spans="6:7">
      <c r="F1759"/>
      <c r="G1759"/>
    </row>
    <row r="1760" spans="6:7">
      <c r="F1760"/>
      <c r="G1760"/>
    </row>
    <row r="1761" spans="6:7">
      <c r="F1761"/>
      <c r="G1761"/>
    </row>
    <row r="1762" spans="6:7">
      <c r="F1762"/>
      <c r="G1762"/>
    </row>
    <row r="1763" spans="6:7">
      <c r="F1763"/>
      <c r="G1763"/>
    </row>
    <row r="1764" spans="6:7">
      <c r="F1764"/>
      <c r="G1764"/>
    </row>
    <row r="1765" spans="6:7">
      <c r="F1765"/>
      <c r="G1765"/>
    </row>
    <row r="1766" spans="6:7">
      <c r="F1766"/>
      <c r="G1766"/>
    </row>
    <row r="1767" spans="6:7">
      <c r="F1767"/>
      <c r="G1767"/>
    </row>
    <row r="1768" spans="6:7">
      <c r="F1768"/>
      <c r="G1768"/>
    </row>
    <row r="1769" spans="6:7">
      <c r="F1769"/>
      <c r="G1769"/>
    </row>
    <row r="1770" spans="6:7">
      <c r="F1770"/>
      <c r="G1770"/>
    </row>
    <row r="1771" spans="6:7">
      <c r="F1771"/>
      <c r="G1771"/>
    </row>
    <row r="1772" spans="6:7">
      <c r="F1772"/>
      <c r="G1772"/>
    </row>
    <row r="1773" spans="6:7">
      <c r="F1773"/>
      <c r="G1773"/>
    </row>
    <row r="1774" spans="6:7">
      <c r="F1774"/>
      <c r="G1774"/>
    </row>
    <row r="1775" spans="6:7">
      <c r="F1775"/>
      <c r="G1775"/>
    </row>
    <row r="1776" spans="6:7">
      <c r="F1776"/>
      <c r="G1776"/>
    </row>
    <row r="1777" spans="6:7">
      <c r="F1777"/>
      <c r="G1777"/>
    </row>
    <row r="1778" spans="6:7">
      <c r="F1778"/>
      <c r="G1778"/>
    </row>
    <row r="1779" spans="6:7">
      <c r="F1779"/>
      <c r="G1779"/>
    </row>
    <row r="1780" spans="6:7">
      <c r="F1780"/>
      <c r="G1780"/>
    </row>
    <row r="1781" spans="6:7">
      <c r="F1781"/>
      <c r="G1781"/>
    </row>
    <row r="1782" spans="6:7">
      <c r="F1782"/>
      <c r="G1782"/>
    </row>
    <row r="1783" spans="6:7">
      <c r="F1783"/>
      <c r="G1783"/>
    </row>
    <row r="1784" spans="6:7">
      <c r="F1784"/>
      <c r="G1784"/>
    </row>
    <row r="1785" spans="6:7">
      <c r="F1785"/>
      <c r="G1785"/>
    </row>
    <row r="1786" spans="6:7">
      <c r="F1786"/>
      <c r="G1786"/>
    </row>
    <row r="1787" spans="6:7">
      <c r="F1787"/>
      <c r="G1787"/>
    </row>
    <row r="1788" spans="6:7">
      <c r="F1788"/>
      <c r="G1788"/>
    </row>
    <row r="1789" spans="6:7">
      <c r="F1789"/>
      <c r="G1789"/>
    </row>
    <row r="1790" spans="6:7">
      <c r="F1790"/>
      <c r="G1790"/>
    </row>
    <row r="1791" spans="6:7">
      <c r="F1791"/>
      <c r="G1791"/>
    </row>
    <row r="1792" spans="6:7">
      <c r="F1792"/>
      <c r="G1792"/>
    </row>
    <row r="1793" spans="6:7">
      <c r="F1793"/>
      <c r="G1793"/>
    </row>
    <row r="1794" spans="6:7">
      <c r="F1794"/>
      <c r="G1794"/>
    </row>
    <row r="1795" spans="6:7">
      <c r="F1795"/>
      <c r="G1795"/>
    </row>
    <row r="1796" spans="6:7">
      <c r="F1796"/>
      <c r="G1796"/>
    </row>
    <row r="1797" spans="6:7">
      <c r="F1797"/>
      <c r="G1797"/>
    </row>
    <row r="1798" spans="6:7">
      <c r="F1798"/>
      <c r="G1798"/>
    </row>
    <row r="1799" spans="6:7">
      <c r="F1799"/>
      <c r="G1799"/>
    </row>
    <row r="1800" spans="6:7">
      <c r="F1800"/>
      <c r="G1800"/>
    </row>
    <row r="1801" spans="6:7">
      <c r="F1801"/>
      <c r="G1801"/>
    </row>
    <row r="1802" spans="6:7">
      <c r="F1802"/>
      <c r="G1802"/>
    </row>
    <row r="1803" spans="6:7">
      <c r="F1803"/>
      <c r="G1803"/>
    </row>
    <row r="1804" spans="6:7">
      <c r="F1804"/>
      <c r="G1804"/>
    </row>
    <row r="1805" spans="6:7">
      <c r="F1805"/>
      <c r="G1805"/>
    </row>
    <row r="1806" spans="6:7">
      <c r="F1806"/>
      <c r="G1806"/>
    </row>
    <row r="1807" spans="6:7">
      <c r="F1807"/>
      <c r="G1807"/>
    </row>
    <row r="1808" spans="6:7">
      <c r="F1808"/>
      <c r="G1808"/>
    </row>
    <row r="1809" spans="6:7">
      <c r="F1809"/>
      <c r="G1809"/>
    </row>
    <row r="1810" spans="6:7">
      <c r="F1810"/>
      <c r="G1810"/>
    </row>
    <row r="1811" spans="6:7">
      <c r="F1811"/>
      <c r="G1811"/>
    </row>
    <row r="1812" spans="6:7">
      <c r="F1812"/>
      <c r="G1812"/>
    </row>
    <row r="1813" spans="6:7">
      <c r="F1813"/>
      <c r="G1813"/>
    </row>
    <row r="1814" spans="6:7">
      <c r="F1814"/>
      <c r="G1814"/>
    </row>
    <row r="1815" spans="6:7">
      <c r="F1815"/>
      <c r="G1815"/>
    </row>
    <row r="1816" spans="6:7">
      <c r="F1816"/>
      <c r="G1816"/>
    </row>
    <row r="1817" spans="6:7">
      <c r="F1817"/>
      <c r="G1817"/>
    </row>
    <row r="1818" spans="6:7">
      <c r="F1818"/>
      <c r="G1818"/>
    </row>
    <row r="1819" spans="6:7">
      <c r="F1819"/>
      <c r="G1819"/>
    </row>
    <row r="1820" spans="6:7">
      <c r="F1820"/>
      <c r="G1820"/>
    </row>
    <row r="1821" spans="6:7">
      <c r="F1821"/>
      <c r="G1821"/>
    </row>
    <row r="1822" spans="6:7">
      <c r="F1822"/>
      <c r="G1822"/>
    </row>
    <row r="1823" spans="6:7">
      <c r="F1823"/>
      <c r="G1823"/>
    </row>
    <row r="1824" spans="6:7">
      <c r="F1824"/>
      <c r="G1824"/>
    </row>
    <row r="1825" spans="6:7">
      <c r="F1825"/>
      <c r="G1825"/>
    </row>
    <row r="1826" spans="6:7">
      <c r="F1826"/>
      <c r="G1826"/>
    </row>
    <row r="1827" spans="6:7">
      <c r="F1827"/>
      <c r="G1827"/>
    </row>
    <row r="1828" spans="6:7">
      <c r="F1828"/>
      <c r="G1828"/>
    </row>
    <row r="1829" spans="6:7">
      <c r="F1829"/>
      <c r="G1829"/>
    </row>
    <row r="1830" spans="6:7">
      <c r="F1830"/>
      <c r="G1830"/>
    </row>
    <row r="1831" spans="6:7">
      <c r="F1831"/>
      <c r="G1831"/>
    </row>
    <row r="1832" spans="6:7">
      <c r="F1832"/>
      <c r="G1832"/>
    </row>
    <row r="1833" spans="6:7">
      <c r="F1833"/>
      <c r="G1833"/>
    </row>
    <row r="1834" spans="6:7">
      <c r="F1834"/>
      <c r="G1834"/>
    </row>
    <row r="1835" spans="6:7">
      <c r="F1835"/>
      <c r="G1835"/>
    </row>
    <row r="1836" spans="6:7">
      <c r="F1836"/>
      <c r="G1836"/>
    </row>
    <row r="1837" spans="6:7">
      <c r="F1837"/>
      <c r="G1837"/>
    </row>
    <row r="1838" spans="6:7">
      <c r="F1838"/>
      <c r="G1838"/>
    </row>
    <row r="1839" spans="6:7">
      <c r="F1839"/>
      <c r="G1839"/>
    </row>
    <row r="1840" spans="6:7">
      <c r="F1840"/>
      <c r="G1840"/>
    </row>
    <row r="1841" spans="6:7">
      <c r="F1841"/>
      <c r="G1841"/>
    </row>
    <row r="1842" spans="6:7">
      <c r="F1842"/>
      <c r="G1842"/>
    </row>
    <row r="1843" spans="6:7">
      <c r="F1843"/>
      <c r="G1843"/>
    </row>
    <row r="1844" spans="6:7">
      <c r="F1844"/>
      <c r="G1844"/>
    </row>
    <row r="1845" spans="6:7">
      <c r="F1845"/>
      <c r="G1845"/>
    </row>
    <row r="1846" spans="6:7">
      <c r="F1846"/>
      <c r="G1846"/>
    </row>
    <row r="1847" spans="6:7">
      <c r="F1847"/>
      <c r="G1847"/>
    </row>
    <row r="1848" spans="6:7">
      <c r="F1848"/>
      <c r="G1848"/>
    </row>
    <row r="1849" spans="6:7">
      <c r="F1849"/>
      <c r="G1849"/>
    </row>
    <row r="1850" spans="6:7">
      <c r="F1850"/>
      <c r="G1850"/>
    </row>
    <row r="1851" spans="6:7">
      <c r="F1851"/>
      <c r="G1851"/>
    </row>
    <row r="1852" spans="6:7">
      <c r="F1852"/>
      <c r="G1852"/>
    </row>
    <row r="1853" spans="6:7">
      <c r="F1853"/>
      <c r="G1853"/>
    </row>
    <row r="1854" spans="6:7">
      <c r="F1854"/>
      <c r="G1854"/>
    </row>
    <row r="1855" spans="6:7">
      <c r="F1855"/>
      <c r="G1855"/>
    </row>
    <row r="1856" spans="6:7">
      <c r="F1856"/>
      <c r="G1856"/>
    </row>
    <row r="1857" spans="6:7">
      <c r="F1857"/>
      <c r="G1857"/>
    </row>
    <row r="1858" spans="6:7">
      <c r="F1858"/>
      <c r="G1858"/>
    </row>
    <row r="1859" spans="6:7">
      <c r="F1859"/>
      <c r="G1859"/>
    </row>
    <row r="1860" spans="6:7">
      <c r="F1860"/>
      <c r="G1860"/>
    </row>
    <row r="1861" spans="6:7">
      <c r="F1861"/>
      <c r="G1861"/>
    </row>
    <row r="1862" spans="6:7">
      <c r="F1862"/>
      <c r="G1862"/>
    </row>
    <row r="1863" spans="6:7">
      <c r="F1863"/>
      <c r="G1863"/>
    </row>
    <row r="1864" spans="6:7">
      <c r="F1864"/>
      <c r="G1864"/>
    </row>
    <row r="1865" spans="6:7">
      <c r="F1865"/>
      <c r="G1865"/>
    </row>
    <row r="1866" spans="6:7">
      <c r="F1866"/>
      <c r="G1866"/>
    </row>
    <row r="1867" spans="6:7">
      <c r="F1867"/>
      <c r="G1867"/>
    </row>
    <row r="1868" spans="6:7">
      <c r="F1868"/>
      <c r="G1868"/>
    </row>
    <row r="1869" spans="6:7">
      <c r="F1869"/>
      <c r="G1869"/>
    </row>
    <row r="1870" spans="6:7">
      <c r="F1870"/>
      <c r="G1870"/>
    </row>
    <row r="1871" spans="6:7">
      <c r="F1871"/>
      <c r="G1871"/>
    </row>
    <row r="1872" spans="6:7">
      <c r="F1872"/>
      <c r="G1872"/>
    </row>
    <row r="1873" spans="6:7">
      <c r="F1873"/>
      <c r="G1873"/>
    </row>
    <row r="1874" spans="6:7">
      <c r="F1874"/>
      <c r="G1874"/>
    </row>
    <row r="1875" spans="6:7">
      <c r="F1875"/>
      <c r="G1875"/>
    </row>
    <row r="1876" spans="6:7">
      <c r="F1876"/>
      <c r="G1876"/>
    </row>
    <row r="1877" spans="6:7">
      <c r="F1877"/>
      <c r="G1877"/>
    </row>
    <row r="1878" spans="6:7">
      <c r="F1878"/>
      <c r="G1878"/>
    </row>
    <row r="1879" spans="6:7">
      <c r="F1879"/>
      <c r="G1879"/>
    </row>
    <row r="1880" spans="6:7">
      <c r="F1880"/>
      <c r="G1880"/>
    </row>
    <row r="1881" spans="6:7">
      <c r="F1881"/>
      <c r="G1881"/>
    </row>
    <row r="1882" spans="6:7">
      <c r="F1882"/>
      <c r="G1882"/>
    </row>
    <row r="1883" spans="6:7">
      <c r="F1883"/>
      <c r="G1883"/>
    </row>
    <row r="1884" spans="6:7">
      <c r="F1884"/>
      <c r="G1884"/>
    </row>
    <row r="1885" spans="6:7">
      <c r="F1885"/>
      <c r="G1885"/>
    </row>
    <row r="1886" spans="6:7">
      <c r="F1886"/>
      <c r="G1886"/>
    </row>
    <row r="1887" spans="6:7">
      <c r="F1887"/>
      <c r="G1887"/>
    </row>
    <row r="1888" spans="6:7">
      <c r="F1888"/>
      <c r="G1888"/>
    </row>
    <row r="1889" spans="6:7">
      <c r="F1889"/>
      <c r="G1889"/>
    </row>
    <row r="1890" spans="6:7">
      <c r="F1890"/>
      <c r="G1890"/>
    </row>
    <row r="1891" spans="6:7">
      <c r="F1891"/>
      <c r="G1891"/>
    </row>
    <row r="1892" spans="6:7">
      <c r="F1892"/>
      <c r="G1892"/>
    </row>
    <row r="1893" spans="6:7">
      <c r="F1893"/>
      <c r="G1893"/>
    </row>
    <row r="1894" spans="6:7">
      <c r="F1894"/>
      <c r="G1894"/>
    </row>
    <row r="1895" spans="6:7">
      <c r="F1895"/>
      <c r="G1895"/>
    </row>
    <row r="1896" spans="6:7">
      <c r="F1896"/>
      <c r="G1896"/>
    </row>
    <row r="1897" spans="6:7">
      <c r="F1897"/>
      <c r="G1897"/>
    </row>
    <row r="1898" spans="6:7">
      <c r="F1898"/>
      <c r="G1898"/>
    </row>
    <row r="1899" spans="6:7">
      <c r="F1899"/>
      <c r="G1899"/>
    </row>
    <row r="1900" spans="6:7">
      <c r="F1900"/>
      <c r="G1900"/>
    </row>
    <row r="1901" spans="6:7">
      <c r="F1901"/>
      <c r="G1901"/>
    </row>
    <row r="1902" spans="6:7">
      <c r="F1902"/>
      <c r="G1902"/>
    </row>
    <row r="1903" spans="6:7">
      <c r="F1903"/>
      <c r="G1903"/>
    </row>
    <row r="1904" spans="6:7">
      <c r="F1904"/>
      <c r="G1904"/>
    </row>
    <row r="1905" spans="6:7">
      <c r="F1905"/>
      <c r="G1905"/>
    </row>
    <row r="1906" spans="6:7">
      <c r="F1906"/>
      <c r="G1906"/>
    </row>
    <row r="1907" spans="6:7">
      <c r="F1907"/>
      <c r="G1907"/>
    </row>
    <row r="1908" spans="6:7">
      <c r="F1908"/>
      <c r="G1908"/>
    </row>
    <row r="1909" spans="6:7">
      <c r="F1909"/>
      <c r="G1909"/>
    </row>
    <row r="1910" spans="6:7">
      <c r="F1910"/>
      <c r="G1910"/>
    </row>
    <row r="1911" spans="6:7">
      <c r="F1911"/>
      <c r="G1911"/>
    </row>
    <row r="1912" spans="6:7">
      <c r="F1912"/>
      <c r="G1912"/>
    </row>
    <row r="1913" spans="6:7">
      <c r="F1913"/>
      <c r="G1913"/>
    </row>
    <row r="1914" spans="6:7">
      <c r="F1914"/>
      <c r="G1914"/>
    </row>
    <row r="1915" spans="6:7">
      <c r="F1915"/>
      <c r="G1915"/>
    </row>
    <row r="1916" spans="6:7">
      <c r="F1916"/>
      <c r="G1916"/>
    </row>
    <row r="1917" spans="6:7">
      <c r="F1917"/>
      <c r="G1917"/>
    </row>
    <row r="1918" spans="6:7">
      <c r="F1918"/>
      <c r="G1918"/>
    </row>
    <row r="1919" spans="6:7">
      <c r="F1919"/>
      <c r="G1919"/>
    </row>
    <row r="1920" spans="6:7">
      <c r="F1920"/>
      <c r="G1920"/>
    </row>
    <row r="1921" spans="6:7">
      <c r="F1921"/>
      <c r="G1921"/>
    </row>
    <row r="1922" spans="6:7">
      <c r="F1922"/>
      <c r="G1922"/>
    </row>
    <row r="1923" spans="6:7">
      <c r="F1923"/>
      <c r="G1923"/>
    </row>
    <row r="1924" spans="6:7">
      <c r="F1924"/>
      <c r="G1924"/>
    </row>
    <row r="1925" spans="6:7">
      <c r="F1925"/>
      <c r="G1925"/>
    </row>
    <row r="1926" spans="6:7">
      <c r="F1926"/>
      <c r="G1926"/>
    </row>
    <row r="1927" spans="6:7">
      <c r="F1927"/>
      <c r="G1927"/>
    </row>
    <row r="1928" spans="6:7">
      <c r="F1928"/>
      <c r="G1928"/>
    </row>
    <row r="1929" spans="6:7">
      <c r="F1929"/>
      <c r="G1929"/>
    </row>
    <row r="1930" spans="6:7">
      <c r="F1930"/>
      <c r="G1930"/>
    </row>
    <row r="1931" spans="6:7">
      <c r="F1931"/>
      <c r="G1931"/>
    </row>
    <row r="1932" spans="6:7">
      <c r="F1932"/>
      <c r="G1932"/>
    </row>
    <row r="1933" spans="6:7">
      <c r="F1933"/>
      <c r="G1933"/>
    </row>
    <row r="1934" spans="6:7">
      <c r="F1934"/>
      <c r="G1934"/>
    </row>
    <row r="1935" spans="6:7">
      <c r="F1935"/>
      <c r="G1935"/>
    </row>
    <row r="1936" spans="6:7">
      <c r="F1936"/>
      <c r="G1936"/>
    </row>
    <row r="1937" spans="6:7">
      <c r="F1937"/>
      <c r="G1937"/>
    </row>
    <row r="1938" spans="6:7">
      <c r="F1938"/>
      <c r="G1938"/>
    </row>
    <row r="1939" spans="6:7">
      <c r="F1939"/>
      <c r="G1939"/>
    </row>
    <row r="1940" spans="6:7">
      <c r="F1940"/>
      <c r="G1940"/>
    </row>
    <row r="1941" spans="6:7">
      <c r="F1941"/>
      <c r="G1941"/>
    </row>
    <row r="1942" spans="6:7">
      <c r="F1942"/>
      <c r="G1942"/>
    </row>
    <row r="1943" spans="6:7">
      <c r="F1943"/>
      <c r="G1943"/>
    </row>
    <row r="1944" spans="6:7">
      <c r="F1944"/>
      <c r="G1944"/>
    </row>
    <row r="1945" spans="6:7">
      <c r="F1945"/>
      <c r="G1945"/>
    </row>
    <row r="1946" spans="6:7">
      <c r="F1946"/>
      <c r="G1946"/>
    </row>
    <row r="1947" spans="6:7">
      <c r="F1947"/>
      <c r="G1947"/>
    </row>
    <row r="1948" spans="6:7">
      <c r="F1948"/>
      <c r="G1948"/>
    </row>
    <row r="1949" spans="6:7">
      <c r="F1949"/>
      <c r="G1949"/>
    </row>
    <row r="1950" spans="6:7">
      <c r="F1950"/>
      <c r="G1950"/>
    </row>
    <row r="1951" spans="6:7">
      <c r="F1951"/>
      <c r="G1951"/>
    </row>
    <row r="1952" spans="6:7">
      <c r="F1952"/>
      <c r="G1952"/>
    </row>
    <row r="1953" spans="6:7">
      <c r="F1953"/>
      <c r="G1953"/>
    </row>
    <row r="1954" spans="6:7">
      <c r="F1954"/>
      <c r="G1954"/>
    </row>
    <row r="1955" spans="6:7">
      <c r="F1955"/>
      <c r="G1955"/>
    </row>
    <row r="1956" spans="6:7">
      <c r="F1956"/>
      <c r="G1956"/>
    </row>
    <row r="1957" spans="6:7">
      <c r="F1957"/>
      <c r="G1957"/>
    </row>
    <row r="1958" spans="6:7">
      <c r="F1958"/>
      <c r="G1958"/>
    </row>
    <row r="1959" spans="6:7">
      <c r="F1959"/>
      <c r="G1959"/>
    </row>
    <row r="1960" spans="6:7">
      <c r="F1960"/>
      <c r="G1960"/>
    </row>
    <row r="1961" spans="6:7">
      <c r="F1961"/>
      <c r="G1961"/>
    </row>
    <row r="1962" spans="6:7">
      <c r="F1962"/>
      <c r="G1962"/>
    </row>
    <row r="1963" spans="6:7">
      <c r="F1963"/>
      <c r="G1963"/>
    </row>
    <row r="1964" spans="6:7">
      <c r="F1964"/>
      <c r="G1964"/>
    </row>
    <row r="1965" spans="6:7">
      <c r="F1965"/>
      <c r="G1965"/>
    </row>
    <row r="1966" spans="6:7">
      <c r="F1966"/>
      <c r="G1966"/>
    </row>
    <row r="1967" spans="6:7">
      <c r="F1967"/>
      <c r="G1967"/>
    </row>
    <row r="1968" spans="6:7">
      <c r="F1968"/>
      <c r="G1968"/>
    </row>
    <row r="1969" spans="6:7">
      <c r="F1969"/>
      <c r="G1969"/>
    </row>
    <row r="1970" spans="6:7">
      <c r="F1970"/>
      <c r="G1970"/>
    </row>
    <row r="1971" spans="6:7">
      <c r="F1971"/>
      <c r="G1971"/>
    </row>
    <row r="1972" spans="6:7">
      <c r="F1972"/>
      <c r="G1972"/>
    </row>
    <row r="1973" spans="6:7">
      <c r="F1973"/>
      <c r="G1973"/>
    </row>
    <row r="1974" spans="6:7">
      <c r="F1974"/>
      <c r="G1974"/>
    </row>
    <row r="1975" spans="6:7">
      <c r="F1975"/>
      <c r="G1975"/>
    </row>
    <row r="1976" spans="6:7">
      <c r="F1976"/>
      <c r="G1976"/>
    </row>
    <row r="1977" spans="6:7">
      <c r="F1977"/>
      <c r="G1977"/>
    </row>
    <row r="1978" spans="6:7">
      <c r="F1978"/>
      <c r="G1978"/>
    </row>
    <row r="1979" spans="6:7">
      <c r="F1979"/>
      <c r="G1979"/>
    </row>
    <row r="1980" spans="6:7">
      <c r="F1980"/>
      <c r="G1980"/>
    </row>
    <row r="1981" spans="6:7">
      <c r="F1981"/>
      <c r="G1981"/>
    </row>
    <row r="1982" spans="6:7">
      <c r="F1982"/>
      <c r="G1982"/>
    </row>
    <row r="1983" spans="6:7">
      <c r="F1983"/>
      <c r="G1983"/>
    </row>
    <row r="1984" spans="6:7">
      <c r="F1984"/>
      <c r="G1984"/>
    </row>
    <row r="1985" spans="6:7">
      <c r="F1985"/>
      <c r="G1985"/>
    </row>
    <row r="1986" spans="6:7">
      <c r="F1986"/>
      <c r="G1986"/>
    </row>
    <row r="1987" spans="6:7">
      <c r="F1987"/>
      <c r="G1987"/>
    </row>
    <row r="1988" spans="6:7">
      <c r="F1988"/>
      <c r="G1988"/>
    </row>
    <row r="1989" spans="6:7">
      <c r="F1989"/>
      <c r="G1989"/>
    </row>
    <row r="1990" spans="6:7">
      <c r="F1990"/>
      <c r="G1990"/>
    </row>
    <row r="1991" spans="6:7">
      <c r="F1991"/>
      <c r="G1991"/>
    </row>
    <row r="1992" spans="6:7">
      <c r="F1992"/>
      <c r="G1992"/>
    </row>
    <row r="1993" spans="6:7">
      <c r="F1993"/>
      <c r="G1993"/>
    </row>
    <row r="1994" spans="6:7">
      <c r="F1994"/>
      <c r="G1994"/>
    </row>
    <row r="1995" spans="6:7">
      <c r="F1995"/>
      <c r="G1995"/>
    </row>
    <row r="1996" spans="6:7">
      <c r="F1996"/>
      <c r="G1996"/>
    </row>
    <row r="1997" spans="6:7">
      <c r="F1997"/>
      <c r="G1997"/>
    </row>
    <row r="1998" spans="6:7">
      <c r="F1998"/>
      <c r="G1998"/>
    </row>
    <row r="1999" spans="6:7">
      <c r="F1999"/>
      <c r="G1999"/>
    </row>
    <row r="2000" spans="6:7">
      <c r="F2000"/>
      <c r="G2000"/>
    </row>
    <row r="2001" spans="6:7">
      <c r="F2001"/>
      <c r="G2001"/>
    </row>
    <row r="2002" spans="6:7">
      <c r="F2002"/>
      <c r="G2002"/>
    </row>
    <row r="2003" spans="6:7">
      <c r="F2003"/>
      <c r="G2003"/>
    </row>
    <row r="2004" spans="6:7">
      <c r="F2004"/>
      <c r="G2004"/>
    </row>
    <row r="2005" spans="6:7">
      <c r="F2005"/>
      <c r="G2005"/>
    </row>
    <row r="2006" spans="6:7">
      <c r="F2006"/>
      <c r="G2006"/>
    </row>
    <row r="2007" spans="6:7">
      <c r="F2007"/>
      <c r="G2007"/>
    </row>
    <row r="2008" spans="6:7">
      <c r="F2008"/>
      <c r="G2008"/>
    </row>
    <row r="2009" spans="6:7">
      <c r="F2009"/>
      <c r="G2009"/>
    </row>
    <row r="2010" spans="6:7">
      <c r="F2010"/>
      <c r="G2010"/>
    </row>
    <row r="2011" spans="6:7">
      <c r="F2011"/>
      <c r="G2011"/>
    </row>
    <row r="2012" spans="6:7">
      <c r="F2012"/>
      <c r="G2012"/>
    </row>
    <row r="2013" spans="6:7">
      <c r="F2013"/>
      <c r="G2013"/>
    </row>
    <row r="2014" spans="6:7">
      <c r="F2014"/>
      <c r="G2014"/>
    </row>
    <row r="2015" spans="6:7">
      <c r="F2015"/>
      <c r="G2015"/>
    </row>
    <row r="2016" spans="6:7">
      <c r="F2016"/>
      <c r="G2016"/>
    </row>
    <row r="2017" spans="6:7">
      <c r="F2017"/>
      <c r="G2017"/>
    </row>
    <row r="2018" spans="6:7">
      <c r="F2018"/>
      <c r="G2018"/>
    </row>
    <row r="2019" spans="6:7">
      <c r="F2019"/>
      <c r="G2019"/>
    </row>
    <row r="2020" spans="6:7">
      <c r="F2020"/>
      <c r="G2020"/>
    </row>
    <row r="2021" spans="6:7">
      <c r="F2021"/>
      <c r="G2021"/>
    </row>
    <row r="2022" spans="6:7">
      <c r="F2022"/>
      <c r="G2022"/>
    </row>
    <row r="2023" spans="6:7">
      <c r="F2023"/>
      <c r="G2023"/>
    </row>
  </sheetData>
  <phoneticPr fontId="4"/>
  <dataValidations count="1">
    <dataValidation allowBlank="1" showInputMessage="1" showErrorMessage="1" sqref="F33:R280 B33:B280"/>
  </dataValidations>
  <pageMargins left="0.75" right="0.75" top="1" bottom="1" header="0.5" footer="0.5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9" r:id="rId3" name="Slider rot x">
              <controlPr defaultSize="0" autoPict="0">
                <anchor moveWithCells="1">
                  <from>
                    <xdr:col>2</xdr:col>
                    <xdr:colOff>28575</xdr:colOff>
                    <xdr:row>9</xdr:row>
                    <xdr:rowOff>9525</xdr:rowOff>
                  </from>
                  <to>
                    <xdr:col>5</xdr:col>
                    <xdr:colOff>952500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" name="Slider rot y">
              <controlPr defaultSize="0" autoPict="0">
                <anchor moveWithCells="1">
                  <from>
                    <xdr:col>2</xdr:col>
                    <xdr:colOff>28575</xdr:colOff>
                    <xdr:row>10</xdr:row>
                    <xdr:rowOff>0</xdr:rowOff>
                  </from>
                  <to>
                    <xdr:col>5</xdr:col>
                    <xdr:colOff>952500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" name="Slider rot z">
              <controlPr defaultSize="0" autoPict="0">
                <anchor moveWithCells="1">
                  <from>
                    <xdr:col>2</xdr:col>
                    <xdr:colOff>28575</xdr:colOff>
                    <xdr:row>11</xdr:row>
                    <xdr:rowOff>0</xdr:rowOff>
                  </from>
                  <to>
                    <xdr:col>5</xdr:col>
                    <xdr:colOff>952500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6" name="Slider proj x">
              <controlPr defaultSize="0" autoPict="0">
                <anchor moveWithCells="1">
                  <from>
                    <xdr:col>2</xdr:col>
                    <xdr:colOff>28575</xdr:colOff>
                    <xdr:row>15</xdr:row>
                    <xdr:rowOff>0</xdr:rowOff>
                  </from>
                  <to>
                    <xdr:col>5</xdr:col>
                    <xdr:colOff>952500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7" name="Slider proj y">
              <controlPr defaultSize="0" autoPict="0">
                <anchor moveWithCells="1">
                  <from>
                    <xdr:col>2</xdr:col>
                    <xdr:colOff>28575</xdr:colOff>
                    <xdr:row>16</xdr:row>
                    <xdr:rowOff>0</xdr:rowOff>
                  </from>
                  <to>
                    <xdr:col>5</xdr:col>
                    <xdr:colOff>952500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8" name="Slider proj z">
              <controlPr defaultSize="0" autoPict="0">
                <anchor moveWithCells="1">
                  <from>
                    <xdr:col>2</xdr:col>
                    <xdr:colOff>28575</xdr:colOff>
                    <xdr:row>17</xdr:row>
                    <xdr:rowOff>0</xdr:rowOff>
                  </from>
                  <to>
                    <xdr:col>5</xdr:col>
                    <xdr:colOff>952500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9" name="Slider zoom">
              <controlPr defaultSize="0" autoPict="0">
                <anchor moveWithCells="1">
                  <from>
                    <xdr:col>2</xdr:col>
                    <xdr:colOff>28575</xdr:colOff>
                    <xdr:row>19</xdr:row>
                    <xdr:rowOff>9525</xdr:rowOff>
                  </from>
                  <to>
                    <xdr:col>5</xdr:col>
                    <xdr:colOff>952500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" name="Slider shift x">
              <controlPr defaultSize="0" autoPict="0">
                <anchor moveWithCells="1">
                  <from>
                    <xdr:col>2</xdr:col>
                    <xdr:colOff>28575</xdr:colOff>
                    <xdr:row>20</xdr:row>
                    <xdr:rowOff>0</xdr:rowOff>
                  </from>
                  <to>
                    <xdr:col>5</xdr:col>
                    <xdr:colOff>952500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1" name="Slider shift y">
              <controlPr defaultSize="0" autoPict="0">
                <anchor moveWithCells="1">
                  <from>
                    <xdr:col>2</xdr:col>
                    <xdr:colOff>28575</xdr:colOff>
                    <xdr:row>21</xdr:row>
                    <xdr:rowOff>9525</xdr:rowOff>
                  </from>
                  <to>
                    <xdr:col>5</xdr:col>
                    <xdr:colOff>952500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" name="ToscaleSwitch">
              <controlPr defaultSize="0" autoFill="0" autoLine="0" autoPict="0">
                <anchor moveWithCells="1">
                  <from>
                    <xdr:col>1</xdr:col>
                    <xdr:colOff>714375</xdr:colOff>
                    <xdr:row>21</xdr:row>
                    <xdr:rowOff>180975</xdr:rowOff>
                  </from>
                  <to>
                    <xdr:col>3</xdr:col>
                    <xdr:colOff>257175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13" name="ZdropLines">
              <controlPr defaultSize="0" autoFill="0" autoLine="0" autoPict="0">
                <anchor moveWithCells="1">
                  <from>
                    <xdr:col>1</xdr:col>
                    <xdr:colOff>714375</xdr:colOff>
                    <xdr:row>17</xdr:row>
                    <xdr:rowOff>190500</xdr:rowOff>
                  </from>
                  <to>
                    <xdr:col>2</xdr:col>
                    <xdr:colOff>904875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plot</vt:lpstr>
      <vt:lpstr>firstLabel</vt:lpstr>
      <vt:lpstr>firstZ</vt:lpstr>
      <vt:lpstr>NrPoints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gd</dc:creator>
  <cp:lastModifiedBy>Jochen Schwander</cp:lastModifiedBy>
  <dcterms:created xsi:type="dcterms:W3CDTF">2012-09-19T17:34:13Z</dcterms:created>
  <dcterms:modified xsi:type="dcterms:W3CDTF">2014-06-23T14:06:13Z</dcterms:modified>
</cp:coreProperties>
</file>