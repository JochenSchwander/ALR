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date1904="1"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C:\Hochschule\ALR\vs2012project\rsa_cracker\rsa_cracker\alr\statistic\binary_gcd\"/>
    </mc:Choice>
  </mc:AlternateContent>
  <bookViews>
    <workbookView xWindow="75" yWindow="0" windowWidth="36840" windowHeight="19575" tabRatio="500"/>
  </bookViews>
  <sheets>
    <sheet name="plot" sheetId="1" r:id="rId1"/>
  </sheets>
  <definedNames>
    <definedName name="_xlnm._FilterDatabase" localSheetId="0" hidden="1">plot!$B$32:$R$464</definedName>
    <definedName name="firstLabel">plot!$B$33</definedName>
    <definedName name="firstZ">plot!$E$33</definedName>
    <definedName name="NrPoints">plot!$H$8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" l="1"/>
  <c r="H17" i="1"/>
  <c r="H281" i="1"/>
  <c r="I16" i="1"/>
  <c r="I17" i="1"/>
  <c r="I281" i="1"/>
  <c r="J16" i="1"/>
  <c r="J17" i="1"/>
  <c r="J281" i="1"/>
  <c r="H18" i="1"/>
  <c r="H14" i="1"/>
  <c r="I18" i="1"/>
  <c r="I14" i="1"/>
  <c r="J18" i="1"/>
  <c r="J14" i="1"/>
  <c r="L281" i="1"/>
  <c r="R281" i="1"/>
  <c r="G281" i="1"/>
  <c r="H282" i="1"/>
  <c r="I282" i="1"/>
  <c r="J282" i="1"/>
  <c r="L282" i="1"/>
  <c r="R282" i="1"/>
  <c r="G282" i="1"/>
  <c r="H283" i="1"/>
  <c r="I283" i="1"/>
  <c r="J283" i="1"/>
  <c r="L283" i="1"/>
  <c r="R283" i="1"/>
  <c r="G283" i="1"/>
  <c r="H284" i="1"/>
  <c r="I284" i="1"/>
  <c r="J284" i="1"/>
  <c r="L284" i="1"/>
  <c r="R284" i="1"/>
  <c r="G284" i="1"/>
  <c r="H285" i="1"/>
  <c r="I285" i="1"/>
  <c r="J285" i="1"/>
  <c r="L285" i="1"/>
  <c r="R285" i="1"/>
  <c r="G285" i="1"/>
  <c r="H286" i="1"/>
  <c r="I286" i="1"/>
  <c r="J286" i="1"/>
  <c r="L286" i="1"/>
  <c r="R286" i="1"/>
  <c r="G286" i="1"/>
  <c r="H287" i="1"/>
  <c r="I287" i="1"/>
  <c r="J287" i="1"/>
  <c r="L287" i="1"/>
  <c r="R287" i="1"/>
  <c r="G287" i="1"/>
  <c r="H288" i="1"/>
  <c r="I288" i="1"/>
  <c r="J288" i="1"/>
  <c r="L288" i="1"/>
  <c r="R288" i="1"/>
  <c r="G288" i="1"/>
  <c r="H289" i="1"/>
  <c r="I289" i="1"/>
  <c r="J289" i="1"/>
  <c r="L289" i="1"/>
  <c r="R289" i="1"/>
  <c r="G289" i="1"/>
  <c r="H290" i="1"/>
  <c r="I290" i="1"/>
  <c r="J290" i="1"/>
  <c r="L290" i="1"/>
  <c r="R290" i="1"/>
  <c r="G290" i="1"/>
  <c r="H291" i="1"/>
  <c r="I291" i="1"/>
  <c r="J291" i="1"/>
  <c r="L291" i="1"/>
  <c r="R291" i="1"/>
  <c r="G291" i="1"/>
  <c r="H292" i="1"/>
  <c r="I292" i="1"/>
  <c r="J292" i="1"/>
  <c r="L292" i="1"/>
  <c r="R292" i="1"/>
  <c r="G292" i="1"/>
  <c r="H293" i="1"/>
  <c r="I293" i="1"/>
  <c r="J293" i="1"/>
  <c r="L293" i="1"/>
  <c r="R293" i="1"/>
  <c r="G293" i="1"/>
  <c r="H294" i="1"/>
  <c r="I294" i="1"/>
  <c r="J294" i="1"/>
  <c r="L294" i="1"/>
  <c r="R294" i="1"/>
  <c r="G294" i="1"/>
  <c r="H295" i="1"/>
  <c r="I295" i="1"/>
  <c r="J295" i="1"/>
  <c r="L295" i="1"/>
  <c r="R295" i="1"/>
  <c r="G295" i="1"/>
  <c r="H296" i="1"/>
  <c r="I296" i="1"/>
  <c r="J296" i="1"/>
  <c r="L296" i="1"/>
  <c r="R296" i="1"/>
  <c r="G296" i="1"/>
  <c r="H297" i="1"/>
  <c r="I297" i="1"/>
  <c r="J297" i="1"/>
  <c r="L297" i="1"/>
  <c r="R297" i="1"/>
  <c r="G297" i="1"/>
  <c r="H298" i="1"/>
  <c r="I298" i="1"/>
  <c r="J298" i="1"/>
  <c r="L298" i="1"/>
  <c r="R298" i="1"/>
  <c r="G298" i="1"/>
  <c r="H299" i="1"/>
  <c r="I299" i="1"/>
  <c r="J299" i="1"/>
  <c r="L299" i="1"/>
  <c r="R299" i="1"/>
  <c r="G299" i="1"/>
  <c r="H300" i="1"/>
  <c r="I300" i="1"/>
  <c r="J300" i="1"/>
  <c r="L300" i="1"/>
  <c r="R300" i="1"/>
  <c r="G300" i="1"/>
  <c r="H301" i="1"/>
  <c r="I301" i="1"/>
  <c r="J301" i="1"/>
  <c r="L301" i="1"/>
  <c r="R301" i="1"/>
  <c r="G301" i="1"/>
  <c r="H302" i="1"/>
  <c r="I302" i="1"/>
  <c r="J302" i="1"/>
  <c r="L302" i="1"/>
  <c r="R302" i="1"/>
  <c r="G302" i="1"/>
  <c r="H303" i="1"/>
  <c r="I303" i="1"/>
  <c r="J303" i="1"/>
  <c r="L303" i="1"/>
  <c r="R303" i="1"/>
  <c r="G303" i="1"/>
  <c r="H304" i="1"/>
  <c r="I304" i="1"/>
  <c r="J304" i="1"/>
  <c r="L304" i="1"/>
  <c r="R304" i="1"/>
  <c r="G304" i="1"/>
  <c r="H305" i="1"/>
  <c r="I305" i="1"/>
  <c r="J305" i="1"/>
  <c r="L305" i="1"/>
  <c r="R305" i="1"/>
  <c r="G305" i="1"/>
  <c r="H306" i="1"/>
  <c r="I306" i="1"/>
  <c r="J306" i="1"/>
  <c r="L306" i="1"/>
  <c r="R306" i="1"/>
  <c r="G306" i="1"/>
  <c r="H307" i="1"/>
  <c r="I307" i="1"/>
  <c r="J307" i="1"/>
  <c r="L307" i="1"/>
  <c r="R307" i="1"/>
  <c r="G307" i="1"/>
  <c r="H308" i="1"/>
  <c r="I308" i="1"/>
  <c r="J308" i="1"/>
  <c r="L308" i="1"/>
  <c r="R308" i="1"/>
  <c r="G308" i="1"/>
  <c r="H309" i="1"/>
  <c r="I309" i="1"/>
  <c r="J309" i="1"/>
  <c r="L309" i="1"/>
  <c r="R309" i="1"/>
  <c r="G309" i="1"/>
  <c r="H310" i="1"/>
  <c r="I310" i="1"/>
  <c r="J310" i="1"/>
  <c r="L310" i="1"/>
  <c r="R310" i="1"/>
  <c r="G310" i="1"/>
  <c r="H311" i="1"/>
  <c r="I311" i="1"/>
  <c r="J311" i="1"/>
  <c r="L311" i="1"/>
  <c r="R311" i="1"/>
  <c r="G311" i="1"/>
  <c r="H312" i="1"/>
  <c r="I312" i="1"/>
  <c r="J312" i="1"/>
  <c r="L312" i="1"/>
  <c r="R312" i="1"/>
  <c r="G312" i="1"/>
  <c r="H313" i="1"/>
  <c r="I313" i="1"/>
  <c r="J313" i="1"/>
  <c r="L313" i="1"/>
  <c r="R313" i="1"/>
  <c r="G313" i="1"/>
  <c r="H314" i="1"/>
  <c r="I314" i="1"/>
  <c r="J314" i="1"/>
  <c r="L314" i="1"/>
  <c r="R314" i="1"/>
  <c r="G314" i="1"/>
  <c r="H315" i="1"/>
  <c r="I315" i="1"/>
  <c r="J315" i="1"/>
  <c r="L315" i="1"/>
  <c r="R315" i="1"/>
  <c r="G315" i="1"/>
  <c r="H316" i="1"/>
  <c r="I316" i="1"/>
  <c r="J316" i="1"/>
  <c r="L316" i="1"/>
  <c r="R316" i="1"/>
  <c r="G316" i="1"/>
  <c r="H317" i="1"/>
  <c r="I317" i="1"/>
  <c r="J317" i="1"/>
  <c r="L317" i="1"/>
  <c r="R317" i="1"/>
  <c r="G317" i="1"/>
  <c r="H318" i="1"/>
  <c r="I318" i="1"/>
  <c r="J318" i="1"/>
  <c r="L318" i="1"/>
  <c r="R318" i="1"/>
  <c r="G318" i="1"/>
  <c r="H319" i="1"/>
  <c r="I319" i="1"/>
  <c r="J319" i="1"/>
  <c r="L319" i="1"/>
  <c r="R319" i="1"/>
  <c r="G319" i="1"/>
  <c r="H320" i="1"/>
  <c r="I320" i="1"/>
  <c r="J320" i="1"/>
  <c r="L320" i="1"/>
  <c r="R320" i="1"/>
  <c r="G320" i="1"/>
  <c r="H321" i="1"/>
  <c r="I321" i="1"/>
  <c r="J321" i="1"/>
  <c r="L321" i="1"/>
  <c r="R321" i="1"/>
  <c r="G321" i="1"/>
  <c r="H322" i="1"/>
  <c r="I322" i="1"/>
  <c r="J322" i="1"/>
  <c r="L322" i="1"/>
  <c r="R322" i="1"/>
  <c r="G322" i="1"/>
  <c r="H323" i="1"/>
  <c r="I323" i="1"/>
  <c r="J323" i="1"/>
  <c r="L323" i="1"/>
  <c r="R323" i="1"/>
  <c r="G323" i="1"/>
  <c r="H324" i="1"/>
  <c r="I324" i="1"/>
  <c r="J324" i="1"/>
  <c r="L324" i="1"/>
  <c r="R324" i="1"/>
  <c r="G324" i="1"/>
  <c r="H325" i="1"/>
  <c r="I325" i="1"/>
  <c r="J325" i="1"/>
  <c r="L325" i="1"/>
  <c r="R325" i="1"/>
  <c r="G325" i="1"/>
  <c r="H326" i="1"/>
  <c r="I326" i="1"/>
  <c r="J326" i="1"/>
  <c r="L326" i="1"/>
  <c r="R326" i="1"/>
  <c r="G326" i="1"/>
  <c r="H327" i="1"/>
  <c r="I327" i="1"/>
  <c r="J327" i="1"/>
  <c r="L327" i="1"/>
  <c r="R327" i="1"/>
  <c r="G327" i="1"/>
  <c r="H328" i="1"/>
  <c r="I328" i="1"/>
  <c r="J328" i="1"/>
  <c r="L328" i="1"/>
  <c r="R328" i="1"/>
  <c r="G328" i="1"/>
  <c r="H329" i="1"/>
  <c r="I329" i="1"/>
  <c r="J329" i="1"/>
  <c r="L329" i="1"/>
  <c r="R329" i="1"/>
  <c r="G329" i="1"/>
  <c r="H330" i="1"/>
  <c r="I330" i="1"/>
  <c r="J330" i="1"/>
  <c r="L330" i="1"/>
  <c r="R330" i="1"/>
  <c r="G330" i="1"/>
  <c r="H331" i="1"/>
  <c r="I331" i="1"/>
  <c r="J331" i="1"/>
  <c r="L331" i="1"/>
  <c r="R331" i="1"/>
  <c r="G331" i="1"/>
  <c r="H332" i="1"/>
  <c r="I332" i="1"/>
  <c r="J332" i="1"/>
  <c r="L332" i="1"/>
  <c r="R332" i="1"/>
  <c r="G332" i="1"/>
  <c r="H333" i="1"/>
  <c r="I333" i="1"/>
  <c r="J333" i="1"/>
  <c r="L333" i="1"/>
  <c r="R333" i="1"/>
  <c r="G333" i="1"/>
  <c r="H334" i="1"/>
  <c r="I334" i="1"/>
  <c r="J334" i="1"/>
  <c r="L334" i="1"/>
  <c r="R334" i="1"/>
  <c r="G334" i="1"/>
  <c r="H335" i="1"/>
  <c r="I335" i="1"/>
  <c r="J335" i="1"/>
  <c r="L335" i="1"/>
  <c r="R335" i="1"/>
  <c r="G335" i="1"/>
  <c r="H336" i="1"/>
  <c r="I336" i="1"/>
  <c r="J336" i="1"/>
  <c r="L336" i="1"/>
  <c r="R336" i="1"/>
  <c r="G336" i="1"/>
  <c r="H337" i="1"/>
  <c r="I337" i="1"/>
  <c r="J337" i="1"/>
  <c r="L337" i="1"/>
  <c r="R337" i="1"/>
  <c r="G337" i="1"/>
  <c r="H338" i="1"/>
  <c r="I338" i="1"/>
  <c r="J338" i="1"/>
  <c r="L338" i="1"/>
  <c r="R338" i="1"/>
  <c r="G338" i="1"/>
  <c r="H339" i="1"/>
  <c r="I339" i="1"/>
  <c r="J339" i="1"/>
  <c r="L339" i="1"/>
  <c r="R339" i="1"/>
  <c r="G339" i="1"/>
  <c r="H340" i="1"/>
  <c r="I340" i="1"/>
  <c r="J340" i="1"/>
  <c r="L340" i="1"/>
  <c r="R340" i="1"/>
  <c r="G340" i="1"/>
  <c r="H341" i="1"/>
  <c r="I341" i="1"/>
  <c r="J341" i="1"/>
  <c r="L341" i="1"/>
  <c r="R341" i="1"/>
  <c r="G341" i="1"/>
  <c r="H342" i="1"/>
  <c r="I342" i="1"/>
  <c r="J342" i="1"/>
  <c r="L342" i="1"/>
  <c r="R342" i="1"/>
  <c r="G342" i="1"/>
  <c r="H343" i="1"/>
  <c r="I343" i="1"/>
  <c r="J343" i="1"/>
  <c r="L343" i="1"/>
  <c r="R343" i="1"/>
  <c r="G343" i="1"/>
  <c r="H344" i="1"/>
  <c r="I344" i="1"/>
  <c r="J344" i="1"/>
  <c r="L344" i="1"/>
  <c r="R344" i="1"/>
  <c r="G344" i="1"/>
  <c r="H345" i="1"/>
  <c r="I345" i="1"/>
  <c r="J345" i="1"/>
  <c r="L345" i="1"/>
  <c r="R345" i="1"/>
  <c r="G345" i="1"/>
  <c r="H346" i="1"/>
  <c r="I346" i="1"/>
  <c r="J346" i="1"/>
  <c r="L346" i="1"/>
  <c r="R346" i="1"/>
  <c r="G346" i="1"/>
  <c r="H347" i="1"/>
  <c r="I347" i="1"/>
  <c r="J347" i="1"/>
  <c r="L347" i="1"/>
  <c r="R347" i="1"/>
  <c r="G347" i="1"/>
  <c r="H348" i="1"/>
  <c r="I348" i="1"/>
  <c r="J348" i="1"/>
  <c r="L348" i="1"/>
  <c r="R348" i="1"/>
  <c r="G348" i="1"/>
  <c r="H349" i="1"/>
  <c r="I349" i="1"/>
  <c r="J349" i="1"/>
  <c r="L349" i="1"/>
  <c r="R349" i="1"/>
  <c r="G349" i="1"/>
  <c r="H350" i="1"/>
  <c r="I350" i="1"/>
  <c r="J350" i="1"/>
  <c r="L350" i="1"/>
  <c r="R350" i="1"/>
  <c r="G350" i="1"/>
  <c r="H351" i="1"/>
  <c r="I351" i="1"/>
  <c r="J351" i="1"/>
  <c r="L351" i="1"/>
  <c r="R351" i="1"/>
  <c r="G351" i="1"/>
  <c r="H352" i="1"/>
  <c r="I352" i="1"/>
  <c r="J352" i="1"/>
  <c r="L352" i="1"/>
  <c r="R352" i="1"/>
  <c r="G352" i="1"/>
  <c r="H353" i="1"/>
  <c r="I353" i="1"/>
  <c r="J353" i="1"/>
  <c r="L353" i="1"/>
  <c r="R353" i="1"/>
  <c r="G353" i="1"/>
  <c r="H354" i="1"/>
  <c r="I354" i="1"/>
  <c r="J354" i="1"/>
  <c r="L354" i="1"/>
  <c r="R354" i="1"/>
  <c r="G354" i="1"/>
  <c r="H355" i="1"/>
  <c r="I355" i="1"/>
  <c r="J355" i="1"/>
  <c r="L355" i="1"/>
  <c r="R355" i="1"/>
  <c r="G355" i="1"/>
  <c r="H356" i="1"/>
  <c r="I356" i="1"/>
  <c r="J356" i="1"/>
  <c r="L356" i="1"/>
  <c r="R356" i="1"/>
  <c r="G356" i="1"/>
  <c r="H357" i="1"/>
  <c r="I357" i="1"/>
  <c r="J357" i="1"/>
  <c r="L357" i="1"/>
  <c r="R357" i="1"/>
  <c r="G357" i="1"/>
  <c r="H358" i="1"/>
  <c r="I358" i="1"/>
  <c r="J358" i="1"/>
  <c r="L358" i="1"/>
  <c r="R358" i="1"/>
  <c r="G358" i="1"/>
  <c r="H359" i="1"/>
  <c r="I359" i="1"/>
  <c r="J359" i="1"/>
  <c r="L359" i="1"/>
  <c r="R359" i="1"/>
  <c r="G359" i="1"/>
  <c r="H360" i="1"/>
  <c r="I360" i="1"/>
  <c r="J360" i="1"/>
  <c r="L360" i="1"/>
  <c r="R360" i="1"/>
  <c r="G360" i="1"/>
  <c r="H361" i="1"/>
  <c r="I361" i="1"/>
  <c r="J361" i="1"/>
  <c r="L361" i="1"/>
  <c r="R361" i="1"/>
  <c r="G361" i="1"/>
  <c r="H362" i="1"/>
  <c r="I362" i="1"/>
  <c r="J362" i="1"/>
  <c r="L362" i="1"/>
  <c r="R362" i="1"/>
  <c r="G362" i="1"/>
  <c r="H363" i="1"/>
  <c r="I363" i="1"/>
  <c r="J363" i="1"/>
  <c r="L363" i="1"/>
  <c r="R363" i="1"/>
  <c r="G363" i="1"/>
  <c r="H364" i="1"/>
  <c r="I364" i="1"/>
  <c r="J364" i="1"/>
  <c r="L364" i="1"/>
  <c r="R364" i="1"/>
  <c r="G364" i="1"/>
  <c r="H365" i="1"/>
  <c r="I365" i="1"/>
  <c r="J365" i="1"/>
  <c r="L365" i="1"/>
  <c r="R365" i="1"/>
  <c r="G365" i="1"/>
  <c r="H366" i="1"/>
  <c r="I366" i="1"/>
  <c r="J366" i="1"/>
  <c r="L366" i="1"/>
  <c r="R366" i="1"/>
  <c r="G366" i="1"/>
  <c r="H367" i="1"/>
  <c r="I367" i="1"/>
  <c r="J367" i="1"/>
  <c r="L367" i="1"/>
  <c r="R367" i="1"/>
  <c r="G367" i="1"/>
  <c r="H368" i="1"/>
  <c r="I368" i="1"/>
  <c r="J368" i="1"/>
  <c r="L368" i="1"/>
  <c r="R368" i="1"/>
  <c r="G368" i="1"/>
  <c r="H369" i="1"/>
  <c r="I369" i="1"/>
  <c r="J369" i="1"/>
  <c r="L369" i="1"/>
  <c r="R369" i="1"/>
  <c r="G369" i="1"/>
  <c r="H370" i="1"/>
  <c r="I370" i="1"/>
  <c r="J370" i="1"/>
  <c r="L370" i="1"/>
  <c r="R370" i="1"/>
  <c r="G370" i="1"/>
  <c r="H371" i="1"/>
  <c r="I371" i="1"/>
  <c r="J371" i="1"/>
  <c r="L371" i="1"/>
  <c r="R371" i="1"/>
  <c r="G371" i="1"/>
  <c r="H372" i="1"/>
  <c r="I372" i="1"/>
  <c r="J372" i="1"/>
  <c r="L372" i="1"/>
  <c r="R372" i="1"/>
  <c r="G372" i="1"/>
  <c r="H373" i="1"/>
  <c r="I373" i="1"/>
  <c r="J373" i="1"/>
  <c r="L373" i="1"/>
  <c r="R373" i="1"/>
  <c r="G373" i="1"/>
  <c r="H374" i="1"/>
  <c r="I374" i="1"/>
  <c r="J374" i="1"/>
  <c r="L374" i="1"/>
  <c r="R374" i="1"/>
  <c r="G374" i="1"/>
  <c r="H375" i="1"/>
  <c r="I375" i="1"/>
  <c r="J375" i="1"/>
  <c r="L375" i="1"/>
  <c r="R375" i="1"/>
  <c r="G375" i="1"/>
  <c r="H376" i="1"/>
  <c r="I376" i="1"/>
  <c r="J376" i="1"/>
  <c r="L376" i="1"/>
  <c r="R376" i="1"/>
  <c r="G376" i="1"/>
  <c r="H377" i="1"/>
  <c r="I377" i="1"/>
  <c r="J377" i="1"/>
  <c r="L377" i="1"/>
  <c r="R377" i="1"/>
  <c r="G377" i="1"/>
  <c r="H378" i="1"/>
  <c r="I378" i="1"/>
  <c r="J378" i="1"/>
  <c r="L378" i="1"/>
  <c r="R378" i="1"/>
  <c r="G378" i="1"/>
  <c r="H379" i="1"/>
  <c r="I379" i="1"/>
  <c r="J379" i="1"/>
  <c r="L379" i="1"/>
  <c r="R379" i="1"/>
  <c r="G379" i="1"/>
  <c r="H380" i="1"/>
  <c r="I380" i="1"/>
  <c r="J380" i="1"/>
  <c r="L380" i="1"/>
  <c r="R380" i="1"/>
  <c r="G380" i="1"/>
  <c r="H381" i="1"/>
  <c r="I381" i="1"/>
  <c r="J381" i="1"/>
  <c r="L381" i="1"/>
  <c r="R381" i="1"/>
  <c r="G381" i="1"/>
  <c r="H382" i="1"/>
  <c r="I382" i="1"/>
  <c r="J382" i="1"/>
  <c r="L382" i="1"/>
  <c r="R382" i="1"/>
  <c r="G382" i="1"/>
  <c r="H383" i="1"/>
  <c r="I383" i="1"/>
  <c r="J383" i="1"/>
  <c r="L383" i="1"/>
  <c r="R383" i="1"/>
  <c r="G383" i="1"/>
  <c r="H384" i="1"/>
  <c r="I384" i="1"/>
  <c r="J384" i="1"/>
  <c r="L384" i="1"/>
  <c r="R384" i="1"/>
  <c r="G384" i="1"/>
  <c r="H385" i="1"/>
  <c r="I385" i="1"/>
  <c r="J385" i="1"/>
  <c r="L385" i="1"/>
  <c r="R385" i="1"/>
  <c r="G385" i="1"/>
  <c r="H386" i="1"/>
  <c r="I386" i="1"/>
  <c r="J386" i="1"/>
  <c r="L386" i="1"/>
  <c r="R386" i="1"/>
  <c r="G386" i="1"/>
  <c r="H387" i="1"/>
  <c r="I387" i="1"/>
  <c r="J387" i="1"/>
  <c r="L387" i="1"/>
  <c r="R387" i="1"/>
  <c r="G387" i="1"/>
  <c r="H388" i="1"/>
  <c r="I388" i="1"/>
  <c r="J388" i="1"/>
  <c r="L388" i="1"/>
  <c r="R388" i="1"/>
  <c r="G388" i="1"/>
  <c r="H389" i="1"/>
  <c r="I389" i="1"/>
  <c r="J389" i="1"/>
  <c r="L389" i="1"/>
  <c r="R389" i="1"/>
  <c r="G389" i="1"/>
  <c r="H390" i="1"/>
  <c r="I390" i="1"/>
  <c r="J390" i="1"/>
  <c r="L390" i="1"/>
  <c r="R390" i="1"/>
  <c r="G390" i="1"/>
  <c r="H391" i="1"/>
  <c r="I391" i="1"/>
  <c r="J391" i="1"/>
  <c r="L391" i="1"/>
  <c r="R391" i="1"/>
  <c r="G391" i="1"/>
  <c r="H392" i="1"/>
  <c r="I392" i="1"/>
  <c r="J392" i="1"/>
  <c r="L392" i="1"/>
  <c r="R392" i="1"/>
  <c r="G392" i="1"/>
  <c r="H393" i="1"/>
  <c r="I393" i="1"/>
  <c r="J393" i="1"/>
  <c r="L393" i="1"/>
  <c r="R393" i="1"/>
  <c r="G393" i="1"/>
  <c r="H394" i="1"/>
  <c r="I394" i="1"/>
  <c r="J394" i="1"/>
  <c r="L394" i="1"/>
  <c r="R394" i="1"/>
  <c r="G394" i="1"/>
  <c r="H395" i="1"/>
  <c r="I395" i="1"/>
  <c r="J395" i="1"/>
  <c r="L395" i="1"/>
  <c r="R395" i="1"/>
  <c r="G395" i="1"/>
  <c r="H396" i="1"/>
  <c r="I396" i="1"/>
  <c r="J396" i="1"/>
  <c r="L396" i="1"/>
  <c r="R396" i="1"/>
  <c r="G396" i="1"/>
  <c r="H397" i="1"/>
  <c r="I397" i="1"/>
  <c r="J397" i="1"/>
  <c r="L397" i="1"/>
  <c r="R397" i="1"/>
  <c r="G397" i="1"/>
  <c r="H398" i="1"/>
  <c r="I398" i="1"/>
  <c r="J398" i="1"/>
  <c r="L398" i="1"/>
  <c r="R398" i="1"/>
  <c r="G398" i="1"/>
  <c r="H399" i="1"/>
  <c r="I399" i="1"/>
  <c r="J399" i="1"/>
  <c r="L399" i="1"/>
  <c r="R399" i="1"/>
  <c r="G399" i="1"/>
  <c r="H400" i="1"/>
  <c r="I400" i="1"/>
  <c r="J400" i="1"/>
  <c r="L400" i="1"/>
  <c r="R400" i="1"/>
  <c r="G400" i="1"/>
  <c r="H401" i="1"/>
  <c r="I401" i="1"/>
  <c r="J401" i="1"/>
  <c r="L401" i="1"/>
  <c r="R401" i="1"/>
  <c r="G401" i="1"/>
  <c r="H402" i="1"/>
  <c r="I402" i="1"/>
  <c r="J402" i="1"/>
  <c r="L402" i="1"/>
  <c r="R402" i="1"/>
  <c r="G402" i="1"/>
  <c r="H403" i="1"/>
  <c r="I403" i="1"/>
  <c r="J403" i="1"/>
  <c r="L403" i="1"/>
  <c r="R403" i="1"/>
  <c r="G403" i="1"/>
  <c r="H404" i="1"/>
  <c r="I404" i="1"/>
  <c r="J404" i="1"/>
  <c r="L404" i="1"/>
  <c r="R404" i="1"/>
  <c r="G404" i="1"/>
  <c r="H405" i="1"/>
  <c r="I405" i="1"/>
  <c r="J405" i="1"/>
  <c r="L405" i="1"/>
  <c r="R405" i="1"/>
  <c r="G405" i="1"/>
  <c r="H406" i="1"/>
  <c r="I406" i="1"/>
  <c r="J406" i="1"/>
  <c r="L406" i="1"/>
  <c r="R406" i="1"/>
  <c r="G406" i="1"/>
  <c r="H407" i="1"/>
  <c r="I407" i="1"/>
  <c r="J407" i="1"/>
  <c r="L407" i="1"/>
  <c r="R407" i="1"/>
  <c r="G407" i="1"/>
  <c r="H408" i="1"/>
  <c r="I408" i="1"/>
  <c r="J408" i="1"/>
  <c r="L408" i="1"/>
  <c r="R408" i="1"/>
  <c r="G408" i="1"/>
  <c r="H409" i="1"/>
  <c r="I409" i="1"/>
  <c r="J409" i="1"/>
  <c r="L409" i="1"/>
  <c r="R409" i="1"/>
  <c r="G409" i="1"/>
  <c r="H410" i="1"/>
  <c r="I410" i="1"/>
  <c r="J410" i="1"/>
  <c r="L410" i="1"/>
  <c r="R410" i="1"/>
  <c r="G410" i="1"/>
  <c r="H411" i="1"/>
  <c r="I411" i="1"/>
  <c r="J411" i="1"/>
  <c r="L411" i="1"/>
  <c r="R411" i="1"/>
  <c r="G411" i="1"/>
  <c r="H13" i="1"/>
  <c r="I13" i="1"/>
  <c r="J13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H190" i="1"/>
  <c r="I190" i="1"/>
  <c r="J190" i="1"/>
  <c r="H11" i="1"/>
  <c r="H12" i="1"/>
  <c r="I11" i="1"/>
  <c r="J12" i="1"/>
  <c r="J11" i="1"/>
  <c r="I12" i="1"/>
  <c r="C27" i="1"/>
  <c r="E27" i="1"/>
  <c r="L190" i="1"/>
  <c r="J27" i="1"/>
  <c r="R190" i="1"/>
  <c r="G190" i="1"/>
  <c r="H191" i="1"/>
  <c r="I191" i="1"/>
  <c r="J191" i="1"/>
  <c r="L191" i="1"/>
  <c r="R191" i="1"/>
  <c r="G191" i="1"/>
  <c r="H192" i="1"/>
  <c r="I192" i="1"/>
  <c r="J192" i="1"/>
  <c r="L192" i="1"/>
  <c r="R192" i="1"/>
  <c r="G192" i="1"/>
  <c r="H193" i="1"/>
  <c r="I193" i="1"/>
  <c r="J193" i="1"/>
  <c r="L193" i="1"/>
  <c r="R193" i="1"/>
  <c r="G193" i="1"/>
  <c r="H194" i="1"/>
  <c r="I194" i="1"/>
  <c r="J194" i="1"/>
  <c r="L194" i="1"/>
  <c r="R194" i="1"/>
  <c r="G194" i="1"/>
  <c r="H195" i="1"/>
  <c r="I195" i="1"/>
  <c r="J195" i="1"/>
  <c r="L195" i="1"/>
  <c r="R195" i="1"/>
  <c r="G195" i="1"/>
  <c r="H196" i="1"/>
  <c r="I196" i="1"/>
  <c r="J196" i="1"/>
  <c r="L196" i="1"/>
  <c r="R196" i="1"/>
  <c r="G196" i="1"/>
  <c r="H197" i="1"/>
  <c r="I197" i="1"/>
  <c r="J197" i="1"/>
  <c r="L197" i="1"/>
  <c r="R197" i="1"/>
  <c r="G197" i="1"/>
  <c r="H198" i="1"/>
  <c r="I198" i="1"/>
  <c r="J198" i="1"/>
  <c r="L198" i="1"/>
  <c r="R198" i="1"/>
  <c r="G198" i="1"/>
  <c r="H199" i="1"/>
  <c r="I199" i="1"/>
  <c r="J199" i="1"/>
  <c r="L199" i="1"/>
  <c r="R199" i="1"/>
  <c r="G199" i="1"/>
  <c r="H200" i="1"/>
  <c r="I200" i="1"/>
  <c r="J200" i="1"/>
  <c r="L200" i="1"/>
  <c r="R200" i="1"/>
  <c r="G200" i="1"/>
  <c r="H201" i="1"/>
  <c r="I201" i="1"/>
  <c r="J201" i="1"/>
  <c r="L201" i="1"/>
  <c r="R201" i="1"/>
  <c r="G201" i="1"/>
  <c r="H202" i="1"/>
  <c r="I202" i="1"/>
  <c r="J202" i="1"/>
  <c r="L202" i="1"/>
  <c r="R202" i="1"/>
  <c r="G202" i="1"/>
  <c r="H203" i="1"/>
  <c r="I203" i="1"/>
  <c r="J203" i="1"/>
  <c r="L203" i="1"/>
  <c r="R203" i="1"/>
  <c r="G203" i="1"/>
  <c r="H204" i="1"/>
  <c r="I204" i="1"/>
  <c r="J204" i="1"/>
  <c r="L204" i="1"/>
  <c r="R204" i="1"/>
  <c r="G204" i="1"/>
  <c r="H205" i="1"/>
  <c r="I205" i="1"/>
  <c r="J205" i="1"/>
  <c r="L205" i="1"/>
  <c r="R205" i="1"/>
  <c r="G205" i="1"/>
  <c r="H206" i="1"/>
  <c r="I206" i="1"/>
  <c r="J206" i="1"/>
  <c r="L206" i="1"/>
  <c r="R206" i="1"/>
  <c r="G206" i="1"/>
  <c r="H207" i="1"/>
  <c r="I207" i="1"/>
  <c r="J207" i="1"/>
  <c r="L207" i="1"/>
  <c r="R207" i="1"/>
  <c r="G207" i="1"/>
  <c r="H208" i="1"/>
  <c r="I208" i="1"/>
  <c r="J208" i="1"/>
  <c r="L208" i="1"/>
  <c r="R208" i="1"/>
  <c r="G208" i="1"/>
  <c r="H209" i="1"/>
  <c r="I209" i="1"/>
  <c r="J209" i="1"/>
  <c r="L209" i="1"/>
  <c r="R209" i="1"/>
  <c r="G209" i="1"/>
  <c r="H210" i="1"/>
  <c r="I210" i="1"/>
  <c r="J210" i="1"/>
  <c r="L210" i="1"/>
  <c r="R210" i="1"/>
  <c r="G210" i="1"/>
  <c r="H211" i="1"/>
  <c r="I211" i="1"/>
  <c r="J211" i="1"/>
  <c r="L211" i="1"/>
  <c r="R211" i="1"/>
  <c r="G211" i="1"/>
  <c r="H212" i="1"/>
  <c r="I212" i="1"/>
  <c r="J212" i="1"/>
  <c r="L212" i="1"/>
  <c r="R212" i="1"/>
  <c r="G212" i="1"/>
  <c r="H213" i="1"/>
  <c r="I213" i="1"/>
  <c r="J213" i="1"/>
  <c r="L213" i="1"/>
  <c r="R213" i="1"/>
  <c r="G213" i="1"/>
  <c r="H214" i="1"/>
  <c r="I214" i="1"/>
  <c r="J214" i="1"/>
  <c r="L214" i="1"/>
  <c r="R214" i="1"/>
  <c r="G214" i="1"/>
  <c r="H215" i="1"/>
  <c r="I215" i="1"/>
  <c r="J215" i="1"/>
  <c r="L215" i="1"/>
  <c r="R215" i="1"/>
  <c r="G215" i="1"/>
  <c r="H216" i="1"/>
  <c r="I216" i="1"/>
  <c r="J216" i="1"/>
  <c r="L216" i="1"/>
  <c r="R216" i="1"/>
  <c r="G216" i="1"/>
  <c r="H217" i="1"/>
  <c r="I217" i="1"/>
  <c r="J217" i="1"/>
  <c r="L217" i="1"/>
  <c r="R217" i="1"/>
  <c r="G217" i="1"/>
  <c r="H218" i="1"/>
  <c r="I218" i="1"/>
  <c r="J218" i="1"/>
  <c r="L218" i="1"/>
  <c r="R218" i="1"/>
  <c r="G218" i="1"/>
  <c r="H219" i="1"/>
  <c r="I219" i="1"/>
  <c r="J219" i="1"/>
  <c r="L219" i="1"/>
  <c r="R219" i="1"/>
  <c r="G219" i="1"/>
  <c r="H220" i="1"/>
  <c r="I220" i="1"/>
  <c r="J220" i="1"/>
  <c r="L220" i="1"/>
  <c r="R220" i="1"/>
  <c r="G220" i="1"/>
  <c r="H221" i="1"/>
  <c r="I221" i="1"/>
  <c r="J221" i="1"/>
  <c r="L221" i="1"/>
  <c r="R221" i="1"/>
  <c r="G221" i="1"/>
  <c r="H222" i="1"/>
  <c r="I222" i="1"/>
  <c r="J222" i="1"/>
  <c r="L222" i="1"/>
  <c r="R222" i="1"/>
  <c r="G222" i="1"/>
  <c r="H223" i="1"/>
  <c r="I223" i="1"/>
  <c r="J223" i="1"/>
  <c r="L223" i="1"/>
  <c r="R223" i="1"/>
  <c r="G223" i="1"/>
  <c r="H224" i="1"/>
  <c r="I224" i="1"/>
  <c r="J224" i="1"/>
  <c r="L224" i="1"/>
  <c r="R224" i="1"/>
  <c r="G224" i="1"/>
  <c r="H225" i="1"/>
  <c r="I225" i="1"/>
  <c r="J225" i="1"/>
  <c r="L225" i="1"/>
  <c r="R225" i="1"/>
  <c r="G225" i="1"/>
  <c r="H226" i="1"/>
  <c r="I226" i="1"/>
  <c r="J226" i="1"/>
  <c r="L226" i="1"/>
  <c r="R226" i="1"/>
  <c r="G226" i="1"/>
  <c r="H227" i="1"/>
  <c r="I227" i="1"/>
  <c r="J227" i="1"/>
  <c r="L227" i="1"/>
  <c r="R227" i="1"/>
  <c r="G227" i="1"/>
  <c r="H228" i="1"/>
  <c r="I228" i="1"/>
  <c r="J228" i="1"/>
  <c r="L228" i="1"/>
  <c r="R228" i="1"/>
  <c r="G228" i="1"/>
  <c r="H229" i="1"/>
  <c r="I229" i="1"/>
  <c r="J229" i="1"/>
  <c r="L229" i="1"/>
  <c r="R229" i="1"/>
  <c r="G229" i="1"/>
  <c r="H230" i="1"/>
  <c r="I230" i="1"/>
  <c r="J230" i="1"/>
  <c r="L230" i="1"/>
  <c r="R230" i="1"/>
  <c r="G230" i="1"/>
  <c r="H231" i="1"/>
  <c r="I231" i="1"/>
  <c r="J231" i="1"/>
  <c r="L231" i="1"/>
  <c r="R231" i="1"/>
  <c r="G231" i="1"/>
  <c r="H232" i="1"/>
  <c r="I232" i="1"/>
  <c r="J232" i="1"/>
  <c r="L232" i="1"/>
  <c r="R232" i="1"/>
  <c r="G232" i="1"/>
  <c r="H233" i="1"/>
  <c r="I233" i="1"/>
  <c r="J233" i="1"/>
  <c r="L233" i="1"/>
  <c r="R233" i="1"/>
  <c r="G233" i="1"/>
  <c r="H234" i="1"/>
  <c r="I234" i="1"/>
  <c r="J234" i="1"/>
  <c r="L234" i="1"/>
  <c r="R234" i="1"/>
  <c r="G234" i="1"/>
  <c r="H235" i="1"/>
  <c r="I235" i="1"/>
  <c r="J235" i="1"/>
  <c r="L235" i="1"/>
  <c r="R235" i="1"/>
  <c r="G235" i="1"/>
  <c r="H236" i="1"/>
  <c r="I236" i="1"/>
  <c r="J236" i="1"/>
  <c r="L236" i="1"/>
  <c r="R236" i="1"/>
  <c r="G236" i="1"/>
  <c r="H237" i="1"/>
  <c r="I237" i="1"/>
  <c r="J237" i="1"/>
  <c r="L237" i="1"/>
  <c r="R237" i="1"/>
  <c r="G237" i="1"/>
  <c r="H238" i="1"/>
  <c r="I238" i="1"/>
  <c r="J238" i="1"/>
  <c r="L238" i="1"/>
  <c r="R238" i="1"/>
  <c r="G238" i="1"/>
  <c r="H239" i="1"/>
  <c r="I239" i="1"/>
  <c r="J239" i="1"/>
  <c r="L239" i="1"/>
  <c r="R239" i="1"/>
  <c r="G239" i="1"/>
  <c r="H240" i="1"/>
  <c r="I240" i="1"/>
  <c r="J240" i="1"/>
  <c r="L240" i="1"/>
  <c r="R240" i="1"/>
  <c r="G240" i="1"/>
  <c r="H241" i="1"/>
  <c r="I241" i="1"/>
  <c r="J241" i="1"/>
  <c r="L241" i="1"/>
  <c r="R241" i="1"/>
  <c r="G241" i="1"/>
  <c r="H242" i="1"/>
  <c r="I242" i="1"/>
  <c r="J242" i="1"/>
  <c r="L242" i="1"/>
  <c r="R242" i="1"/>
  <c r="G242" i="1"/>
  <c r="H243" i="1"/>
  <c r="I243" i="1"/>
  <c r="J243" i="1"/>
  <c r="L243" i="1"/>
  <c r="R243" i="1"/>
  <c r="G243" i="1"/>
  <c r="H244" i="1"/>
  <c r="I244" i="1"/>
  <c r="J244" i="1"/>
  <c r="L244" i="1"/>
  <c r="R244" i="1"/>
  <c r="G244" i="1"/>
  <c r="H245" i="1"/>
  <c r="I245" i="1"/>
  <c r="J245" i="1"/>
  <c r="L245" i="1"/>
  <c r="R245" i="1"/>
  <c r="G245" i="1"/>
  <c r="H246" i="1"/>
  <c r="I246" i="1"/>
  <c r="J246" i="1"/>
  <c r="L246" i="1"/>
  <c r="R246" i="1"/>
  <c r="G246" i="1"/>
  <c r="H247" i="1"/>
  <c r="I247" i="1"/>
  <c r="J247" i="1"/>
  <c r="L247" i="1"/>
  <c r="R247" i="1"/>
  <c r="G247" i="1"/>
  <c r="H248" i="1"/>
  <c r="I248" i="1"/>
  <c r="J248" i="1"/>
  <c r="L248" i="1"/>
  <c r="R248" i="1"/>
  <c r="G248" i="1"/>
  <c r="H249" i="1"/>
  <c r="I249" i="1"/>
  <c r="J249" i="1"/>
  <c r="L249" i="1"/>
  <c r="R249" i="1"/>
  <c r="G249" i="1"/>
  <c r="H250" i="1"/>
  <c r="I250" i="1"/>
  <c r="J250" i="1"/>
  <c r="L250" i="1"/>
  <c r="R250" i="1"/>
  <c r="G250" i="1"/>
  <c r="H251" i="1"/>
  <c r="I251" i="1"/>
  <c r="J251" i="1"/>
  <c r="L251" i="1"/>
  <c r="R251" i="1"/>
  <c r="G251" i="1"/>
  <c r="H252" i="1"/>
  <c r="I252" i="1"/>
  <c r="J252" i="1"/>
  <c r="L252" i="1"/>
  <c r="R252" i="1"/>
  <c r="G252" i="1"/>
  <c r="H253" i="1"/>
  <c r="I253" i="1"/>
  <c r="J253" i="1"/>
  <c r="L253" i="1"/>
  <c r="R253" i="1"/>
  <c r="G253" i="1"/>
  <c r="H254" i="1"/>
  <c r="I254" i="1"/>
  <c r="J254" i="1"/>
  <c r="L254" i="1"/>
  <c r="R254" i="1"/>
  <c r="G254" i="1"/>
  <c r="H255" i="1"/>
  <c r="I255" i="1"/>
  <c r="J255" i="1"/>
  <c r="L255" i="1"/>
  <c r="R255" i="1"/>
  <c r="G255" i="1"/>
  <c r="H256" i="1"/>
  <c r="I256" i="1"/>
  <c r="J256" i="1"/>
  <c r="L256" i="1"/>
  <c r="R256" i="1"/>
  <c r="G256" i="1"/>
  <c r="H257" i="1"/>
  <c r="I257" i="1"/>
  <c r="J257" i="1"/>
  <c r="L257" i="1"/>
  <c r="R257" i="1"/>
  <c r="G257" i="1"/>
  <c r="H258" i="1"/>
  <c r="I258" i="1"/>
  <c r="J258" i="1"/>
  <c r="L258" i="1"/>
  <c r="R258" i="1"/>
  <c r="G258" i="1"/>
  <c r="H259" i="1"/>
  <c r="I259" i="1"/>
  <c r="J259" i="1"/>
  <c r="L259" i="1"/>
  <c r="R259" i="1"/>
  <c r="G259" i="1"/>
  <c r="H260" i="1"/>
  <c r="I260" i="1"/>
  <c r="J260" i="1"/>
  <c r="L260" i="1"/>
  <c r="R260" i="1"/>
  <c r="G260" i="1"/>
  <c r="H261" i="1"/>
  <c r="I261" i="1"/>
  <c r="J261" i="1"/>
  <c r="L261" i="1"/>
  <c r="R261" i="1"/>
  <c r="G261" i="1"/>
  <c r="H262" i="1"/>
  <c r="I262" i="1"/>
  <c r="J262" i="1"/>
  <c r="L262" i="1"/>
  <c r="R262" i="1"/>
  <c r="G262" i="1"/>
  <c r="H263" i="1"/>
  <c r="I263" i="1"/>
  <c r="J263" i="1"/>
  <c r="L263" i="1"/>
  <c r="R263" i="1"/>
  <c r="G263" i="1"/>
  <c r="H264" i="1"/>
  <c r="I264" i="1"/>
  <c r="J264" i="1"/>
  <c r="L264" i="1"/>
  <c r="R264" i="1"/>
  <c r="G264" i="1"/>
  <c r="H265" i="1"/>
  <c r="I265" i="1"/>
  <c r="J265" i="1"/>
  <c r="L265" i="1"/>
  <c r="R265" i="1"/>
  <c r="G265" i="1"/>
  <c r="H266" i="1"/>
  <c r="I266" i="1"/>
  <c r="J266" i="1"/>
  <c r="L266" i="1"/>
  <c r="R266" i="1"/>
  <c r="G266" i="1"/>
  <c r="H267" i="1"/>
  <c r="I267" i="1"/>
  <c r="J267" i="1"/>
  <c r="L267" i="1"/>
  <c r="R267" i="1"/>
  <c r="G267" i="1"/>
  <c r="H268" i="1"/>
  <c r="I268" i="1"/>
  <c r="J268" i="1"/>
  <c r="L268" i="1"/>
  <c r="R268" i="1"/>
  <c r="G268" i="1"/>
  <c r="H269" i="1"/>
  <c r="I269" i="1"/>
  <c r="J269" i="1"/>
  <c r="L269" i="1"/>
  <c r="R269" i="1"/>
  <c r="G269" i="1"/>
  <c r="H270" i="1"/>
  <c r="I270" i="1"/>
  <c r="J270" i="1"/>
  <c r="L270" i="1"/>
  <c r="R270" i="1"/>
  <c r="G270" i="1"/>
  <c r="H271" i="1"/>
  <c r="I271" i="1"/>
  <c r="J271" i="1"/>
  <c r="L271" i="1"/>
  <c r="R271" i="1"/>
  <c r="G271" i="1"/>
  <c r="H272" i="1"/>
  <c r="I272" i="1"/>
  <c r="J272" i="1"/>
  <c r="L272" i="1"/>
  <c r="R272" i="1"/>
  <c r="G272" i="1"/>
  <c r="H273" i="1"/>
  <c r="I273" i="1"/>
  <c r="J273" i="1"/>
  <c r="L273" i="1"/>
  <c r="R273" i="1"/>
  <c r="G273" i="1"/>
  <c r="H274" i="1"/>
  <c r="I274" i="1"/>
  <c r="J274" i="1"/>
  <c r="L274" i="1"/>
  <c r="R274" i="1"/>
  <c r="G274" i="1"/>
  <c r="H275" i="1"/>
  <c r="I275" i="1"/>
  <c r="J275" i="1"/>
  <c r="L275" i="1"/>
  <c r="R275" i="1"/>
  <c r="G275" i="1"/>
  <c r="H276" i="1"/>
  <c r="I276" i="1"/>
  <c r="J276" i="1"/>
  <c r="L276" i="1"/>
  <c r="R276" i="1"/>
  <c r="G276" i="1"/>
  <c r="H277" i="1"/>
  <c r="I277" i="1"/>
  <c r="J277" i="1"/>
  <c r="L277" i="1"/>
  <c r="R277" i="1"/>
  <c r="G277" i="1"/>
  <c r="H278" i="1"/>
  <c r="I278" i="1"/>
  <c r="J278" i="1"/>
  <c r="L278" i="1"/>
  <c r="R278" i="1"/>
  <c r="G278" i="1"/>
  <c r="H279" i="1"/>
  <c r="I279" i="1"/>
  <c r="J279" i="1"/>
  <c r="L279" i="1"/>
  <c r="R279" i="1"/>
  <c r="G279" i="1"/>
  <c r="H280" i="1"/>
  <c r="I280" i="1"/>
  <c r="J280" i="1"/>
  <c r="L280" i="1"/>
  <c r="R280" i="1"/>
  <c r="G280" i="1"/>
  <c r="D27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H27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I27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H40" i="1"/>
  <c r="I40" i="1"/>
  <c r="J40" i="1"/>
  <c r="L40" i="1"/>
  <c r="R40" i="1"/>
  <c r="G40" i="1"/>
  <c r="H41" i="1"/>
  <c r="I41" i="1"/>
  <c r="J41" i="1"/>
  <c r="L41" i="1"/>
  <c r="R41" i="1"/>
  <c r="G41" i="1"/>
  <c r="H42" i="1"/>
  <c r="I42" i="1"/>
  <c r="J42" i="1"/>
  <c r="L42" i="1"/>
  <c r="R42" i="1"/>
  <c r="G42" i="1"/>
  <c r="H43" i="1"/>
  <c r="I43" i="1"/>
  <c r="J43" i="1"/>
  <c r="L43" i="1"/>
  <c r="R43" i="1"/>
  <c r="G43" i="1"/>
  <c r="H44" i="1"/>
  <c r="I44" i="1"/>
  <c r="J44" i="1"/>
  <c r="L44" i="1"/>
  <c r="R44" i="1"/>
  <c r="G44" i="1"/>
  <c r="H45" i="1"/>
  <c r="I45" i="1"/>
  <c r="J45" i="1"/>
  <c r="L45" i="1"/>
  <c r="R45" i="1"/>
  <c r="G45" i="1"/>
  <c r="H46" i="1"/>
  <c r="I46" i="1"/>
  <c r="J46" i="1"/>
  <c r="L46" i="1"/>
  <c r="R46" i="1"/>
  <c r="G46" i="1"/>
  <c r="H47" i="1"/>
  <c r="I47" i="1"/>
  <c r="J47" i="1"/>
  <c r="L47" i="1"/>
  <c r="R47" i="1"/>
  <c r="G47" i="1"/>
  <c r="H48" i="1"/>
  <c r="I48" i="1"/>
  <c r="J48" i="1"/>
  <c r="L48" i="1"/>
  <c r="R48" i="1"/>
  <c r="G48" i="1"/>
  <c r="H49" i="1"/>
  <c r="I49" i="1"/>
  <c r="J49" i="1"/>
  <c r="L49" i="1"/>
  <c r="R49" i="1"/>
  <c r="G49" i="1"/>
  <c r="H50" i="1"/>
  <c r="I50" i="1"/>
  <c r="J50" i="1"/>
  <c r="L50" i="1"/>
  <c r="R50" i="1"/>
  <c r="G50" i="1"/>
  <c r="H51" i="1"/>
  <c r="I51" i="1"/>
  <c r="J51" i="1"/>
  <c r="L51" i="1"/>
  <c r="R51" i="1"/>
  <c r="G51" i="1"/>
  <c r="H52" i="1"/>
  <c r="I52" i="1"/>
  <c r="J52" i="1"/>
  <c r="L52" i="1"/>
  <c r="R52" i="1"/>
  <c r="G52" i="1"/>
  <c r="H53" i="1"/>
  <c r="I53" i="1"/>
  <c r="J53" i="1"/>
  <c r="L53" i="1"/>
  <c r="R53" i="1"/>
  <c r="G53" i="1"/>
  <c r="H54" i="1"/>
  <c r="I54" i="1"/>
  <c r="J54" i="1"/>
  <c r="L54" i="1"/>
  <c r="R54" i="1"/>
  <c r="G54" i="1"/>
  <c r="H55" i="1"/>
  <c r="I55" i="1"/>
  <c r="J55" i="1"/>
  <c r="L55" i="1"/>
  <c r="R55" i="1"/>
  <c r="G55" i="1"/>
  <c r="H56" i="1"/>
  <c r="I56" i="1"/>
  <c r="J56" i="1"/>
  <c r="L56" i="1"/>
  <c r="R56" i="1"/>
  <c r="G56" i="1"/>
  <c r="H57" i="1"/>
  <c r="I57" i="1"/>
  <c r="J57" i="1"/>
  <c r="L57" i="1"/>
  <c r="R57" i="1"/>
  <c r="G57" i="1"/>
  <c r="H58" i="1"/>
  <c r="I58" i="1"/>
  <c r="J58" i="1"/>
  <c r="L58" i="1"/>
  <c r="R58" i="1"/>
  <c r="G58" i="1"/>
  <c r="H59" i="1"/>
  <c r="I59" i="1"/>
  <c r="J59" i="1"/>
  <c r="L59" i="1"/>
  <c r="R59" i="1"/>
  <c r="G59" i="1"/>
  <c r="H60" i="1"/>
  <c r="I60" i="1"/>
  <c r="J60" i="1"/>
  <c r="L60" i="1"/>
  <c r="R60" i="1"/>
  <c r="G60" i="1"/>
  <c r="H61" i="1"/>
  <c r="I61" i="1"/>
  <c r="J61" i="1"/>
  <c r="L61" i="1"/>
  <c r="R61" i="1"/>
  <c r="G61" i="1"/>
  <c r="H62" i="1"/>
  <c r="I62" i="1"/>
  <c r="J62" i="1"/>
  <c r="L62" i="1"/>
  <c r="R62" i="1"/>
  <c r="G62" i="1"/>
  <c r="H63" i="1"/>
  <c r="I63" i="1"/>
  <c r="J63" i="1"/>
  <c r="L63" i="1"/>
  <c r="R63" i="1"/>
  <c r="G63" i="1"/>
  <c r="H64" i="1"/>
  <c r="I64" i="1"/>
  <c r="J64" i="1"/>
  <c r="L64" i="1"/>
  <c r="R64" i="1"/>
  <c r="G64" i="1"/>
  <c r="H65" i="1"/>
  <c r="I65" i="1"/>
  <c r="J65" i="1"/>
  <c r="L65" i="1"/>
  <c r="R65" i="1"/>
  <c r="G65" i="1"/>
  <c r="H66" i="1"/>
  <c r="I66" i="1"/>
  <c r="J66" i="1"/>
  <c r="L66" i="1"/>
  <c r="R66" i="1"/>
  <c r="G66" i="1"/>
  <c r="H67" i="1"/>
  <c r="I67" i="1"/>
  <c r="J67" i="1"/>
  <c r="L67" i="1"/>
  <c r="R67" i="1"/>
  <c r="G67" i="1"/>
  <c r="H68" i="1"/>
  <c r="I68" i="1"/>
  <c r="J68" i="1"/>
  <c r="L68" i="1"/>
  <c r="R68" i="1"/>
  <c r="G68" i="1"/>
  <c r="H69" i="1"/>
  <c r="I69" i="1"/>
  <c r="J69" i="1"/>
  <c r="L69" i="1"/>
  <c r="R69" i="1"/>
  <c r="G69" i="1"/>
  <c r="H70" i="1"/>
  <c r="I70" i="1"/>
  <c r="J70" i="1"/>
  <c r="L70" i="1"/>
  <c r="R70" i="1"/>
  <c r="G70" i="1"/>
  <c r="H71" i="1"/>
  <c r="I71" i="1"/>
  <c r="J71" i="1"/>
  <c r="L71" i="1"/>
  <c r="R71" i="1"/>
  <c r="G71" i="1"/>
  <c r="H72" i="1"/>
  <c r="I72" i="1"/>
  <c r="J72" i="1"/>
  <c r="L72" i="1"/>
  <c r="R72" i="1"/>
  <c r="G72" i="1"/>
  <c r="H73" i="1"/>
  <c r="I73" i="1"/>
  <c r="J73" i="1"/>
  <c r="L73" i="1"/>
  <c r="R73" i="1"/>
  <c r="G73" i="1"/>
  <c r="H74" i="1"/>
  <c r="I74" i="1"/>
  <c r="J74" i="1"/>
  <c r="L74" i="1"/>
  <c r="R74" i="1"/>
  <c r="G74" i="1"/>
  <c r="H75" i="1"/>
  <c r="I75" i="1"/>
  <c r="J75" i="1"/>
  <c r="L75" i="1"/>
  <c r="R75" i="1"/>
  <c r="G75" i="1"/>
  <c r="H76" i="1"/>
  <c r="I76" i="1"/>
  <c r="J76" i="1"/>
  <c r="L76" i="1"/>
  <c r="R76" i="1"/>
  <c r="G76" i="1"/>
  <c r="H77" i="1"/>
  <c r="I77" i="1"/>
  <c r="J77" i="1"/>
  <c r="L77" i="1"/>
  <c r="R77" i="1"/>
  <c r="G77" i="1"/>
  <c r="H78" i="1"/>
  <c r="I78" i="1"/>
  <c r="J78" i="1"/>
  <c r="L78" i="1"/>
  <c r="R78" i="1"/>
  <c r="G78" i="1"/>
  <c r="H79" i="1"/>
  <c r="I79" i="1"/>
  <c r="J79" i="1"/>
  <c r="L79" i="1"/>
  <c r="R79" i="1"/>
  <c r="G79" i="1"/>
  <c r="H80" i="1"/>
  <c r="I80" i="1"/>
  <c r="J80" i="1"/>
  <c r="L80" i="1"/>
  <c r="R80" i="1"/>
  <c r="G80" i="1"/>
  <c r="H81" i="1"/>
  <c r="I81" i="1"/>
  <c r="J81" i="1"/>
  <c r="L81" i="1"/>
  <c r="R81" i="1"/>
  <c r="G81" i="1"/>
  <c r="H82" i="1"/>
  <c r="I82" i="1"/>
  <c r="J82" i="1"/>
  <c r="L82" i="1"/>
  <c r="R82" i="1"/>
  <c r="G82" i="1"/>
  <c r="H83" i="1"/>
  <c r="I83" i="1"/>
  <c r="J83" i="1"/>
  <c r="L83" i="1"/>
  <c r="R83" i="1"/>
  <c r="G83" i="1"/>
  <c r="H84" i="1"/>
  <c r="I84" i="1"/>
  <c r="J84" i="1"/>
  <c r="L84" i="1"/>
  <c r="R84" i="1"/>
  <c r="G84" i="1"/>
  <c r="H85" i="1"/>
  <c r="I85" i="1"/>
  <c r="J85" i="1"/>
  <c r="L85" i="1"/>
  <c r="R85" i="1"/>
  <c r="G85" i="1"/>
  <c r="H86" i="1"/>
  <c r="I86" i="1"/>
  <c r="J86" i="1"/>
  <c r="L86" i="1"/>
  <c r="R86" i="1"/>
  <c r="G86" i="1"/>
  <c r="H87" i="1"/>
  <c r="I87" i="1"/>
  <c r="J87" i="1"/>
  <c r="L87" i="1"/>
  <c r="R87" i="1"/>
  <c r="G87" i="1"/>
  <c r="H88" i="1"/>
  <c r="I88" i="1"/>
  <c r="J88" i="1"/>
  <c r="L88" i="1"/>
  <c r="R88" i="1"/>
  <c r="G88" i="1"/>
  <c r="H89" i="1"/>
  <c r="I89" i="1"/>
  <c r="J89" i="1"/>
  <c r="L89" i="1"/>
  <c r="R89" i="1"/>
  <c r="G89" i="1"/>
  <c r="H90" i="1"/>
  <c r="I90" i="1"/>
  <c r="J90" i="1"/>
  <c r="L90" i="1"/>
  <c r="R90" i="1"/>
  <c r="G90" i="1"/>
  <c r="H91" i="1"/>
  <c r="I91" i="1"/>
  <c r="J91" i="1"/>
  <c r="L91" i="1"/>
  <c r="R91" i="1"/>
  <c r="G91" i="1"/>
  <c r="H92" i="1"/>
  <c r="I92" i="1"/>
  <c r="J92" i="1"/>
  <c r="L92" i="1"/>
  <c r="R92" i="1"/>
  <c r="G92" i="1"/>
  <c r="H93" i="1"/>
  <c r="I93" i="1"/>
  <c r="J93" i="1"/>
  <c r="L93" i="1"/>
  <c r="R93" i="1"/>
  <c r="G93" i="1"/>
  <c r="H94" i="1"/>
  <c r="I94" i="1"/>
  <c r="J94" i="1"/>
  <c r="L94" i="1"/>
  <c r="R94" i="1"/>
  <c r="G94" i="1"/>
  <c r="H95" i="1"/>
  <c r="I95" i="1"/>
  <c r="J95" i="1"/>
  <c r="L95" i="1"/>
  <c r="R95" i="1"/>
  <c r="G95" i="1"/>
  <c r="H96" i="1"/>
  <c r="I96" i="1"/>
  <c r="J96" i="1"/>
  <c r="L96" i="1"/>
  <c r="R96" i="1"/>
  <c r="G96" i="1"/>
  <c r="H97" i="1"/>
  <c r="I97" i="1"/>
  <c r="J97" i="1"/>
  <c r="L97" i="1"/>
  <c r="R97" i="1"/>
  <c r="G97" i="1"/>
  <c r="H98" i="1"/>
  <c r="I98" i="1"/>
  <c r="J98" i="1"/>
  <c r="L98" i="1"/>
  <c r="R98" i="1"/>
  <c r="G98" i="1"/>
  <c r="H99" i="1"/>
  <c r="I99" i="1"/>
  <c r="J99" i="1"/>
  <c r="L99" i="1"/>
  <c r="R99" i="1"/>
  <c r="G99" i="1"/>
  <c r="H100" i="1"/>
  <c r="I100" i="1"/>
  <c r="J100" i="1"/>
  <c r="L100" i="1"/>
  <c r="R100" i="1"/>
  <c r="G100" i="1"/>
  <c r="H101" i="1"/>
  <c r="I101" i="1"/>
  <c r="J101" i="1"/>
  <c r="L101" i="1"/>
  <c r="R101" i="1"/>
  <c r="G101" i="1"/>
  <c r="H102" i="1"/>
  <c r="I102" i="1"/>
  <c r="J102" i="1"/>
  <c r="L102" i="1"/>
  <c r="R102" i="1"/>
  <c r="G102" i="1"/>
  <c r="H103" i="1"/>
  <c r="I103" i="1"/>
  <c r="J103" i="1"/>
  <c r="L103" i="1"/>
  <c r="R103" i="1"/>
  <c r="G103" i="1"/>
  <c r="H104" i="1"/>
  <c r="I104" i="1"/>
  <c r="J104" i="1"/>
  <c r="L104" i="1"/>
  <c r="R104" i="1"/>
  <c r="G104" i="1"/>
  <c r="H105" i="1"/>
  <c r="I105" i="1"/>
  <c r="J105" i="1"/>
  <c r="L105" i="1"/>
  <c r="R105" i="1"/>
  <c r="G105" i="1"/>
  <c r="H106" i="1"/>
  <c r="I106" i="1"/>
  <c r="J106" i="1"/>
  <c r="L106" i="1"/>
  <c r="R106" i="1"/>
  <c r="G106" i="1"/>
  <c r="H107" i="1"/>
  <c r="I107" i="1"/>
  <c r="J107" i="1"/>
  <c r="L107" i="1"/>
  <c r="R107" i="1"/>
  <c r="G107" i="1"/>
  <c r="H108" i="1"/>
  <c r="I108" i="1"/>
  <c r="J108" i="1"/>
  <c r="L108" i="1"/>
  <c r="R108" i="1"/>
  <c r="G108" i="1"/>
  <c r="H109" i="1"/>
  <c r="I109" i="1"/>
  <c r="J109" i="1"/>
  <c r="L109" i="1"/>
  <c r="R109" i="1"/>
  <c r="G109" i="1"/>
  <c r="H110" i="1"/>
  <c r="I110" i="1"/>
  <c r="J110" i="1"/>
  <c r="L110" i="1"/>
  <c r="R110" i="1"/>
  <c r="G110" i="1"/>
  <c r="H111" i="1"/>
  <c r="I111" i="1"/>
  <c r="J111" i="1"/>
  <c r="L111" i="1"/>
  <c r="R111" i="1"/>
  <c r="G111" i="1"/>
  <c r="H112" i="1"/>
  <c r="I112" i="1"/>
  <c r="J112" i="1"/>
  <c r="L112" i="1"/>
  <c r="R112" i="1"/>
  <c r="G112" i="1"/>
  <c r="H113" i="1"/>
  <c r="I113" i="1"/>
  <c r="J113" i="1"/>
  <c r="L113" i="1"/>
  <c r="R113" i="1"/>
  <c r="G113" i="1"/>
  <c r="H114" i="1"/>
  <c r="I114" i="1"/>
  <c r="J114" i="1"/>
  <c r="L114" i="1"/>
  <c r="R114" i="1"/>
  <c r="G114" i="1"/>
  <c r="H115" i="1"/>
  <c r="I115" i="1"/>
  <c r="J115" i="1"/>
  <c r="L115" i="1"/>
  <c r="R115" i="1"/>
  <c r="G115" i="1"/>
  <c r="H116" i="1"/>
  <c r="I116" i="1"/>
  <c r="J116" i="1"/>
  <c r="L116" i="1"/>
  <c r="R116" i="1"/>
  <c r="G116" i="1"/>
  <c r="H117" i="1"/>
  <c r="I117" i="1"/>
  <c r="J117" i="1"/>
  <c r="L117" i="1"/>
  <c r="R117" i="1"/>
  <c r="G117" i="1"/>
  <c r="H118" i="1"/>
  <c r="I118" i="1"/>
  <c r="J118" i="1"/>
  <c r="L118" i="1"/>
  <c r="R118" i="1"/>
  <c r="G118" i="1"/>
  <c r="H119" i="1"/>
  <c r="I119" i="1"/>
  <c r="J119" i="1"/>
  <c r="L119" i="1"/>
  <c r="R119" i="1"/>
  <c r="G119" i="1"/>
  <c r="H120" i="1"/>
  <c r="I120" i="1"/>
  <c r="J120" i="1"/>
  <c r="L120" i="1"/>
  <c r="R120" i="1"/>
  <c r="G120" i="1"/>
  <c r="H121" i="1"/>
  <c r="I121" i="1"/>
  <c r="J121" i="1"/>
  <c r="L121" i="1"/>
  <c r="R121" i="1"/>
  <c r="G121" i="1"/>
  <c r="H122" i="1"/>
  <c r="I122" i="1"/>
  <c r="J122" i="1"/>
  <c r="L122" i="1"/>
  <c r="R122" i="1"/>
  <c r="G122" i="1"/>
  <c r="H123" i="1"/>
  <c r="I123" i="1"/>
  <c r="J123" i="1"/>
  <c r="L123" i="1"/>
  <c r="R123" i="1"/>
  <c r="G123" i="1"/>
  <c r="H124" i="1"/>
  <c r="I124" i="1"/>
  <c r="J124" i="1"/>
  <c r="L124" i="1"/>
  <c r="R124" i="1"/>
  <c r="G124" i="1"/>
  <c r="H125" i="1"/>
  <c r="I125" i="1"/>
  <c r="J125" i="1"/>
  <c r="L125" i="1"/>
  <c r="R125" i="1"/>
  <c r="G125" i="1"/>
  <c r="H126" i="1"/>
  <c r="I126" i="1"/>
  <c r="J126" i="1"/>
  <c r="L126" i="1"/>
  <c r="R126" i="1"/>
  <c r="G126" i="1"/>
  <c r="H127" i="1"/>
  <c r="I127" i="1"/>
  <c r="J127" i="1"/>
  <c r="L127" i="1"/>
  <c r="R127" i="1"/>
  <c r="G127" i="1"/>
  <c r="H128" i="1"/>
  <c r="I128" i="1"/>
  <c r="J128" i="1"/>
  <c r="L128" i="1"/>
  <c r="R128" i="1"/>
  <c r="G128" i="1"/>
  <c r="H129" i="1"/>
  <c r="I129" i="1"/>
  <c r="J129" i="1"/>
  <c r="L129" i="1"/>
  <c r="R129" i="1"/>
  <c r="G129" i="1"/>
  <c r="H130" i="1"/>
  <c r="I130" i="1"/>
  <c r="J130" i="1"/>
  <c r="L130" i="1"/>
  <c r="R130" i="1"/>
  <c r="G130" i="1"/>
  <c r="H131" i="1"/>
  <c r="I131" i="1"/>
  <c r="J131" i="1"/>
  <c r="L131" i="1"/>
  <c r="R131" i="1"/>
  <c r="G131" i="1"/>
  <c r="H132" i="1"/>
  <c r="I132" i="1"/>
  <c r="J132" i="1"/>
  <c r="L132" i="1"/>
  <c r="R132" i="1"/>
  <c r="G132" i="1"/>
  <c r="H133" i="1"/>
  <c r="I133" i="1"/>
  <c r="J133" i="1"/>
  <c r="L133" i="1"/>
  <c r="R133" i="1"/>
  <c r="G133" i="1"/>
  <c r="H134" i="1"/>
  <c r="I134" i="1"/>
  <c r="J134" i="1"/>
  <c r="L134" i="1"/>
  <c r="R134" i="1"/>
  <c r="G134" i="1"/>
  <c r="H135" i="1"/>
  <c r="I135" i="1"/>
  <c r="J135" i="1"/>
  <c r="L135" i="1"/>
  <c r="R135" i="1"/>
  <c r="G135" i="1"/>
  <c r="H136" i="1"/>
  <c r="I136" i="1"/>
  <c r="J136" i="1"/>
  <c r="L136" i="1"/>
  <c r="R136" i="1"/>
  <c r="G136" i="1"/>
  <c r="H137" i="1"/>
  <c r="I137" i="1"/>
  <c r="J137" i="1"/>
  <c r="L137" i="1"/>
  <c r="R137" i="1"/>
  <c r="G137" i="1"/>
  <c r="H138" i="1"/>
  <c r="I138" i="1"/>
  <c r="J138" i="1"/>
  <c r="L138" i="1"/>
  <c r="R138" i="1"/>
  <c r="G138" i="1"/>
  <c r="H139" i="1"/>
  <c r="I139" i="1"/>
  <c r="J139" i="1"/>
  <c r="L139" i="1"/>
  <c r="R139" i="1"/>
  <c r="G139" i="1"/>
  <c r="H140" i="1"/>
  <c r="I140" i="1"/>
  <c r="J140" i="1"/>
  <c r="L140" i="1"/>
  <c r="R140" i="1"/>
  <c r="G140" i="1"/>
  <c r="H141" i="1"/>
  <c r="I141" i="1"/>
  <c r="J141" i="1"/>
  <c r="L141" i="1"/>
  <c r="R141" i="1"/>
  <c r="G141" i="1"/>
  <c r="H142" i="1"/>
  <c r="I142" i="1"/>
  <c r="J142" i="1"/>
  <c r="L142" i="1"/>
  <c r="R142" i="1"/>
  <c r="G142" i="1"/>
  <c r="H143" i="1"/>
  <c r="I143" i="1"/>
  <c r="J143" i="1"/>
  <c r="L143" i="1"/>
  <c r="R143" i="1"/>
  <c r="G143" i="1"/>
  <c r="H144" i="1"/>
  <c r="I144" i="1"/>
  <c r="J144" i="1"/>
  <c r="L144" i="1"/>
  <c r="R144" i="1"/>
  <c r="G144" i="1"/>
  <c r="H145" i="1"/>
  <c r="I145" i="1"/>
  <c r="J145" i="1"/>
  <c r="L145" i="1"/>
  <c r="R145" i="1"/>
  <c r="G145" i="1"/>
  <c r="H146" i="1"/>
  <c r="I146" i="1"/>
  <c r="J146" i="1"/>
  <c r="L146" i="1"/>
  <c r="R146" i="1"/>
  <c r="G146" i="1"/>
  <c r="H147" i="1"/>
  <c r="I147" i="1"/>
  <c r="J147" i="1"/>
  <c r="L147" i="1"/>
  <c r="R147" i="1"/>
  <c r="G147" i="1"/>
  <c r="H148" i="1"/>
  <c r="I148" i="1"/>
  <c r="J148" i="1"/>
  <c r="L148" i="1"/>
  <c r="R148" i="1"/>
  <c r="G148" i="1"/>
  <c r="H149" i="1"/>
  <c r="I149" i="1"/>
  <c r="J149" i="1"/>
  <c r="L149" i="1"/>
  <c r="R149" i="1"/>
  <c r="G149" i="1"/>
  <c r="H150" i="1"/>
  <c r="I150" i="1"/>
  <c r="J150" i="1"/>
  <c r="L150" i="1"/>
  <c r="R150" i="1"/>
  <c r="G150" i="1"/>
  <c r="H151" i="1"/>
  <c r="I151" i="1"/>
  <c r="J151" i="1"/>
  <c r="L151" i="1"/>
  <c r="R151" i="1"/>
  <c r="G151" i="1"/>
  <c r="H152" i="1"/>
  <c r="I152" i="1"/>
  <c r="J152" i="1"/>
  <c r="L152" i="1"/>
  <c r="R152" i="1"/>
  <c r="G152" i="1"/>
  <c r="H153" i="1"/>
  <c r="I153" i="1"/>
  <c r="J153" i="1"/>
  <c r="L153" i="1"/>
  <c r="R153" i="1"/>
  <c r="G153" i="1"/>
  <c r="H154" i="1"/>
  <c r="I154" i="1"/>
  <c r="J154" i="1"/>
  <c r="L154" i="1"/>
  <c r="R154" i="1"/>
  <c r="G154" i="1"/>
  <c r="H155" i="1"/>
  <c r="I155" i="1"/>
  <c r="J155" i="1"/>
  <c r="L155" i="1"/>
  <c r="R155" i="1"/>
  <c r="G155" i="1"/>
  <c r="H156" i="1"/>
  <c r="I156" i="1"/>
  <c r="J156" i="1"/>
  <c r="L156" i="1"/>
  <c r="R156" i="1"/>
  <c r="G156" i="1"/>
  <c r="H157" i="1"/>
  <c r="I157" i="1"/>
  <c r="J157" i="1"/>
  <c r="L157" i="1"/>
  <c r="R157" i="1"/>
  <c r="G157" i="1"/>
  <c r="H158" i="1"/>
  <c r="I158" i="1"/>
  <c r="J158" i="1"/>
  <c r="L158" i="1"/>
  <c r="R158" i="1"/>
  <c r="G158" i="1"/>
  <c r="H159" i="1"/>
  <c r="I159" i="1"/>
  <c r="J159" i="1"/>
  <c r="L159" i="1"/>
  <c r="R159" i="1"/>
  <c r="G159" i="1"/>
  <c r="H160" i="1"/>
  <c r="I160" i="1"/>
  <c r="J160" i="1"/>
  <c r="L160" i="1"/>
  <c r="R160" i="1"/>
  <c r="G160" i="1"/>
  <c r="H161" i="1"/>
  <c r="I161" i="1"/>
  <c r="J161" i="1"/>
  <c r="L161" i="1"/>
  <c r="R161" i="1"/>
  <c r="G161" i="1"/>
  <c r="H162" i="1"/>
  <c r="I162" i="1"/>
  <c r="J162" i="1"/>
  <c r="L162" i="1"/>
  <c r="R162" i="1"/>
  <c r="G162" i="1"/>
  <c r="H163" i="1"/>
  <c r="I163" i="1"/>
  <c r="J163" i="1"/>
  <c r="L163" i="1"/>
  <c r="R163" i="1"/>
  <c r="G163" i="1"/>
  <c r="H164" i="1"/>
  <c r="I164" i="1"/>
  <c r="J164" i="1"/>
  <c r="L164" i="1"/>
  <c r="R164" i="1"/>
  <c r="G164" i="1"/>
  <c r="H165" i="1"/>
  <c r="I165" i="1"/>
  <c r="J165" i="1"/>
  <c r="L165" i="1"/>
  <c r="R165" i="1"/>
  <c r="G165" i="1"/>
  <c r="H166" i="1"/>
  <c r="I166" i="1"/>
  <c r="J166" i="1"/>
  <c r="L166" i="1"/>
  <c r="R166" i="1"/>
  <c r="G166" i="1"/>
  <c r="H167" i="1"/>
  <c r="I167" i="1"/>
  <c r="J167" i="1"/>
  <c r="L167" i="1"/>
  <c r="R167" i="1"/>
  <c r="G167" i="1"/>
  <c r="H168" i="1"/>
  <c r="I168" i="1"/>
  <c r="J168" i="1"/>
  <c r="L168" i="1"/>
  <c r="R168" i="1"/>
  <c r="G168" i="1"/>
  <c r="H169" i="1"/>
  <c r="I169" i="1"/>
  <c r="J169" i="1"/>
  <c r="L169" i="1"/>
  <c r="R169" i="1"/>
  <c r="G169" i="1"/>
  <c r="H170" i="1"/>
  <c r="I170" i="1"/>
  <c r="J170" i="1"/>
  <c r="L170" i="1"/>
  <c r="R170" i="1"/>
  <c r="G170" i="1"/>
  <c r="H171" i="1"/>
  <c r="I171" i="1"/>
  <c r="J171" i="1"/>
  <c r="L171" i="1"/>
  <c r="R171" i="1"/>
  <c r="G171" i="1"/>
  <c r="H172" i="1"/>
  <c r="I172" i="1"/>
  <c r="J172" i="1"/>
  <c r="L172" i="1"/>
  <c r="R172" i="1"/>
  <c r="G172" i="1"/>
  <c r="H173" i="1"/>
  <c r="I173" i="1"/>
  <c r="J173" i="1"/>
  <c r="L173" i="1"/>
  <c r="R173" i="1"/>
  <c r="G173" i="1"/>
  <c r="H174" i="1"/>
  <c r="I174" i="1"/>
  <c r="J174" i="1"/>
  <c r="L174" i="1"/>
  <c r="R174" i="1"/>
  <c r="G174" i="1"/>
  <c r="H175" i="1"/>
  <c r="I175" i="1"/>
  <c r="J175" i="1"/>
  <c r="L175" i="1"/>
  <c r="R175" i="1"/>
  <c r="G175" i="1"/>
  <c r="H176" i="1"/>
  <c r="I176" i="1"/>
  <c r="J176" i="1"/>
  <c r="L176" i="1"/>
  <c r="R176" i="1"/>
  <c r="G176" i="1"/>
  <c r="H177" i="1"/>
  <c r="I177" i="1"/>
  <c r="J177" i="1"/>
  <c r="L177" i="1"/>
  <c r="R177" i="1"/>
  <c r="G177" i="1"/>
  <c r="H178" i="1"/>
  <c r="I178" i="1"/>
  <c r="J178" i="1"/>
  <c r="L178" i="1"/>
  <c r="R178" i="1"/>
  <c r="G178" i="1"/>
  <c r="H179" i="1"/>
  <c r="I179" i="1"/>
  <c r="J179" i="1"/>
  <c r="L179" i="1"/>
  <c r="R179" i="1"/>
  <c r="G179" i="1"/>
  <c r="H180" i="1"/>
  <c r="I180" i="1"/>
  <c r="J180" i="1"/>
  <c r="L180" i="1"/>
  <c r="R180" i="1"/>
  <c r="G180" i="1"/>
  <c r="H181" i="1"/>
  <c r="I181" i="1"/>
  <c r="J181" i="1"/>
  <c r="L181" i="1"/>
  <c r="R181" i="1"/>
  <c r="G181" i="1"/>
  <c r="H182" i="1"/>
  <c r="I182" i="1"/>
  <c r="J182" i="1"/>
  <c r="L182" i="1"/>
  <c r="R182" i="1"/>
  <c r="G182" i="1"/>
  <c r="H183" i="1"/>
  <c r="I183" i="1"/>
  <c r="J183" i="1"/>
  <c r="L183" i="1"/>
  <c r="R183" i="1"/>
  <c r="G183" i="1"/>
  <c r="H184" i="1"/>
  <c r="I184" i="1"/>
  <c r="J184" i="1"/>
  <c r="L184" i="1"/>
  <c r="R184" i="1"/>
  <c r="G184" i="1"/>
  <c r="H185" i="1"/>
  <c r="I185" i="1"/>
  <c r="J185" i="1"/>
  <c r="L185" i="1"/>
  <c r="R185" i="1"/>
  <c r="G185" i="1"/>
  <c r="H186" i="1"/>
  <c r="I186" i="1"/>
  <c r="J186" i="1"/>
  <c r="L186" i="1"/>
  <c r="R186" i="1"/>
  <c r="G186" i="1"/>
  <c r="H187" i="1"/>
  <c r="I187" i="1"/>
  <c r="J187" i="1"/>
  <c r="L187" i="1"/>
  <c r="R187" i="1"/>
  <c r="G187" i="1"/>
  <c r="H188" i="1"/>
  <c r="I188" i="1"/>
  <c r="J188" i="1"/>
  <c r="L188" i="1"/>
  <c r="R188" i="1"/>
  <c r="G188" i="1"/>
  <c r="H189" i="1"/>
  <c r="I189" i="1"/>
  <c r="J189" i="1"/>
  <c r="L189" i="1"/>
  <c r="R189" i="1"/>
  <c r="G18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H33" i="1"/>
  <c r="I33" i="1"/>
  <c r="J33" i="1"/>
  <c r="L33" i="1"/>
  <c r="R33" i="1"/>
  <c r="G33" i="1"/>
  <c r="H34" i="1"/>
  <c r="I34" i="1"/>
  <c r="J34" i="1"/>
  <c r="L34" i="1"/>
  <c r="R34" i="1"/>
  <c r="G34" i="1"/>
  <c r="H35" i="1"/>
  <c r="I35" i="1"/>
  <c r="J35" i="1"/>
  <c r="L35" i="1"/>
  <c r="R35" i="1"/>
  <c r="G35" i="1"/>
  <c r="H36" i="1"/>
  <c r="I36" i="1"/>
  <c r="J36" i="1"/>
  <c r="L36" i="1"/>
  <c r="R36" i="1"/>
  <c r="G36" i="1"/>
  <c r="H37" i="1"/>
  <c r="I37" i="1"/>
  <c r="J37" i="1"/>
  <c r="L37" i="1"/>
  <c r="R37" i="1"/>
  <c r="G37" i="1"/>
  <c r="H38" i="1"/>
  <c r="I38" i="1"/>
  <c r="J38" i="1"/>
  <c r="L38" i="1"/>
  <c r="R38" i="1"/>
  <c r="G38" i="1"/>
  <c r="H39" i="1"/>
  <c r="I39" i="1"/>
  <c r="J39" i="1"/>
  <c r="L39" i="1"/>
  <c r="R39" i="1"/>
  <c r="G39" i="1"/>
  <c r="K33" i="1"/>
  <c r="K34" i="1"/>
  <c r="K35" i="1"/>
  <c r="K36" i="1"/>
  <c r="K37" i="1"/>
  <c r="K38" i="1"/>
  <c r="K39" i="1"/>
  <c r="M33" i="1"/>
  <c r="M34" i="1"/>
  <c r="M35" i="1"/>
  <c r="M36" i="1"/>
  <c r="M37" i="1"/>
  <c r="M38" i="1"/>
  <c r="M39" i="1"/>
  <c r="N33" i="1"/>
  <c r="N34" i="1"/>
  <c r="N35" i="1"/>
  <c r="N36" i="1"/>
  <c r="N37" i="1"/>
  <c r="N38" i="1"/>
  <c r="N39" i="1"/>
  <c r="O33" i="1"/>
  <c r="O34" i="1"/>
  <c r="O35" i="1"/>
  <c r="O36" i="1"/>
  <c r="O37" i="1"/>
  <c r="O38" i="1"/>
  <c r="O39" i="1"/>
  <c r="P33" i="1"/>
  <c r="P34" i="1"/>
  <c r="P35" i="1"/>
  <c r="P36" i="1"/>
  <c r="P37" i="1"/>
  <c r="P38" i="1"/>
  <c r="P39" i="1"/>
  <c r="Q33" i="1"/>
  <c r="Q34" i="1"/>
  <c r="Q35" i="1"/>
  <c r="Q36" i="1"/>
  <c r="Q37" i="1"/>
  <c r="Q38" i="1"/>
  <c r="Q39" i="1"/>
  <c r="H8" i="1" a="1"/>
  <c r="H8" i="1"/>
  <c r="J20" i="1"/>
  <c r="J21" i="1"/>
  <c r="J22" i="1"/>
  <c r="J24" i="1"/>
  <c r="J23" i="1"/>
  <c r="AF29" i="1"/>
  <c r="J25" i="1"/>
  <c r="AG29" i="1"/>
  <c r="AJ29" i="1"/>
  <c r="AI29" i="1"/>
  <c r="AF28" i="1"/>
  <c r="AG28" i="1"/>
  <c r="AJ28" i="1"/>
  <c r="AI28" i="1"/>
  <c r="AF27" i="1"/>
  <c r="AG27" i="1"/>
  <c r="AJ27" i="1"/>
  <c r="AI27" i="1"/>
  <c r="AF26" i="1"/>
  <c r="AG26" i="1"/>
  <c r="AJ26" i="1"/>
  <c r="AI26" i="1"/>
  <c r="AF25" i="1"/>
  <c r="AG25" i="1"/>
  <c r="AJ25" i="1"/>
  <c r="AI25" i="1"/>
  <c r="AF24" i="1"/>
  <c r="AG24" i="1"/>
  <c r="AJ24" i="1"/>
  <c r="AI24" i="1"/>
  <c r="AF23" i="1"/>
  <c r="AG23" i="1"/>
  <c r="AJ23" i="1"/>
  <c r="AI23" i="1"/>
  <c r="AF22" i="1"/>
  <c r="AG22" i="1"/>
  <c r="AJ22" i="1"/>
  <c r="AI22" i="1"/>
  <c r="AF21" i="1"/>
  <c r="AG21" i="1"/>
  <c r="AJ21" i="1"/>
  <c r="AI21" i="1"/>
  <c r="AF20" i="1"/>
  <c r="AG20" i="1"/>
  <c r="AJ20" i="1"/>
  <c r="AI20" i="1"/>
  <c r="AF19" i="1"/>
  <c r="AG19" i="1"/>
  <c r="AJ19" i="1"/>
  <c r="AI19" i="1"/>
  <c r="AF18" i="1"/>
  <c r="AG18" i="1"/>
  <c r="AJ18" i="1"/>
  <c r="AI18" i="1"/>
  <c r="AF17" i="1"/>
  <c r="AG17" i="1"/>
  <c r="AJ17" i="1"/>
  <c r="AI17" i="1"/>
  <c r="AF16" i="1"/>
  <c r="AG16" i="1"/>
  <c r="AJ16" i="1"/>
  <c r="AI16" i="1"/>
  <c r="AF15" i="1"/>
  <c r="AG15" i="1"/>
  <c r="AJ15" i="1"/>
  <c r="AI15" i="1"/>
  <c r="AF14" i="1"/>
  <c r="AG14" i="1"/>
  <c r="AJ14" i="1"/>
  <c r="AI14" i="1"/>
  <c r="AF13" i="1"/>
  <c r="AG13" i="1"/>
  <c r="AJ13" i="1"/>
  <c r="AI13" i="1"/>
  <c r="AF12" i="1"/>
  <c r="AG12" i="1"/>
  <c r="AJ12" i="1"/>
  <c r="AI12" i="1"/>
  <c r="AF11" i="1"/>
  <c r="AG11" i="1"/>
  <c r="AJ11" i="1"/>
  <c r="AI11" i="1"/>
  <c r="AF10" i="1"/>
  <c r="AG10" i="1"/>
  <c r="AJ10" i="1"/>
  <c r="AI10" i="1"/>
  <c r="AF9" i="1"/>
  <c r="AG9" i="1"/>
  <c r="AJ9" i="1"/>
  <c r="AI9" i="1"/>
  <c r="H20" i="1"/>
  <c r="H21" i="1"/>
  <c r="H22" i="1"/>
  <c r="H24" i="1"/>
  <c r="H23" i="1"/>
  <c r="V9" i="1"/>
  <c r="H25" i="1"/>
  <c r="W9" i="1"/>
  <c r="Y9" i="1"/>
  <c r="Z9" i="1"/>
  <c r="I20" i="1"/>
  <c r="I21" i="1"/>
  <c r="I22" i="1"/>
  <c r="I24" i="1"/>
  <c r="I23" i="1"/>
  <c r="AA29" i="1"/>
  <c r="I25" i="1"/>
  <c r="AB29" i="1"/>
  <c r="AE29" i="1"/>
  <c r="AD29" i="1"/>
  <c r="AA28" i="1"/>
  <c r="AB28" i="1"/>
  <c r="AE28" i="1"/>
  <c r="AD28" i="1"/>
  <c r="AA27" i="1"/>
  <c r="AB27" i="1"/>
  <c r="AE27" i="1"/>
  <c r="AD27" i="1"/>
  <c r="AA26" i="1"/>
  <c r="AB26" i="1"/>
  <c r="AE26" i="1"/>
  <c r="AD26" i="1"/>
  <c r="AA25" i="1"/>
  <c r="AB25" i="1"/>
  <c r="AE25" i="1"/>
  <c r="AD25" i="1"/>
  <c r="AA24" i="1"/>
  <c r="AB24" i="1"/>
  <c r="AE24" i="1"/>
  <c r="AD24" i="1"/>
  <c r="AA23" i="1"/>
  <c r="AB23" i="1"/>
  <c r="AE23" i="1"/>
  <c r="AD23" i="1"/>
  <c r="AA22" i="1"/>
  <c r="AB22" i="1"/>
  <c r="AE22" i="1"/>
  <c r="AD22" i="1"/>
  <c r="AA21" i="1"/>
  <c r="AB21" i="1"/>
  <c r="AE21" i="1"/>
  <c r="AD21" i="1"/>
  <c r="AA20" i="1"/>
  <c r="AB20" i="1"/>
  <c r="AE20" i="1"/>
  <c r="AD20" i="1"/>
  <c r="AA19" i="1"/>
  <c r="AB19" i="1"/>
  <c r="AE19" i="1"/>
  <c r="AD19" i="1"/>
  <c r="AA18" i="1"/>
  <c r="AB18" i="1"/>
  <c r="AE18" i="1"/>
  <c r="AD18" i="1"/>
  <c r="AA17" i="1"/>
  <c r="AB17" i="1"/>
  <c r="AE17" i="1"/>
  <c r="AD17" i="1"/>
  <c r="AA16" i="1"/>
  <c r="AB16" i="1"/>
  <c r="AE16" i="1"/>
  <c r="AD16" i="1"/>
  <c r="AA15" i="1"/>
  <c r="AB15" i="1"/>
  <c r="AE15" i="1"/>
  <c r="AD15" i="1"/>
  <c r="AA14" i="1"/>
  <c r="AB14" i="1"/>
  <c r="AE14" i="1"/>
  <c r="AD14" i="1"/>
  <c r="AA13" i="1"/>
  <c r="AB13" i="1"/>
  <c r="AE13" i="1"/>
  <c r="AD13" i="1"/>
  <c r="AA12" i="1"/>
  <c r="AB12" i="1"/>
  <c r="AE12" i="1"/>
  <c r="AD12" i="1"/>
  <c r="AA11" i="1"/>
  <c r="AB11" i="1"/>
  <c r="AE11" i="1"/>
  <c r="AD11" i="1"/>
  <c r="AA10" i="1"/>
  <c r="AB10" i="1"/>
  <c r="AE10" i="1"/>
  <c r="AD10" i="1"/>
  <c r="AA9" i="1"/>
  <c r="AB9" i="1"/>
  <c r="AE9" i="1"/>
  <c r="AD9" i="1"/>
  <c r="V29" i="1"/>
  <c r="W29" i="1"/>
  <c r="Z29" i="1"/>
  <c r="Y29" i="1"/>
  <c r="V28" i="1"/>
  <c r="W28" i="1"/>
  <c r="Z28" i="1"/>
  <c r="Y28" i="1"/>
  <c r="V27" i="1"/>
  <c r="W27" i="1"/>
  <c r="Z27" i="1"/>
  <c r="Y27" i="1"/>
  <c r="V26" i="1"/>
  <c r="W26" i="1"/>
  <c r="Z26" i="1"/>
  <c r="Y26" i="1"/>
  <c r="V25" i="1"/>
  <c r="W25" i="1"/>
  <c r="Z25" i="1"/>
  <c r="Y25" i="1"/>
  <c r="V24" i="1"/>
  <c r="W24" i="1"/>
  <c r="Z24" i="1"/>
  <c r="Y24" i="1"/>
  <c r="V23" i="1"/>
  <c r="W23" i="1"/>
  <c r="Z23" i="1"/>
  <c r="Y23" i="1"/>
  <c r="V22" i="1"/>
  <c r="W22" i="1"/>
  <c r="Z22" i="1"/>
  <c r="Y22" i="1"/>
  <c r="V21" i="1"/>
  <c r="W21" i="1"/>
  <c r="Z21" i="1"/>
  <c r="Y21" i="1"/>
  <c r="V20" i="1"/>
  <c r="W20" i="1"/>
  <c r="Z20" i="1"/>
  <c r="Y20" i="1"/>
  <c r="V19" i="1"/>
  <c r="W19" i="1"/>
  <c r="Z19" i="1"/>
  <c r="Y19" i="1"/>
  <c r="V18" i="1"/>
  <c r="W18" i="1"/>
  <c r="Z18" i="1"/>
  <c r="Y18" i="1"/>
  <c r="V17" i="1"/>
  <c r="W17" i="1"/>
  <c r="Z17" i="1"/>
  <c r="Y17" i="1"/>
  <c r="V16" i="1"/>
  <c r="W16" i="1"/>
  <c r="Z16" i="1"/>
  <c r="Y16" i="1"/>
  <c r="V15" i="1"/>
  <c r="W15" i="1"/>
  <c r="Z15" i="1"/>
  <c r="Y15" i="1"/>
  <c r="V14" i="1"/>
  <c r="W14" i="1"/>
  <c r="Z14" i="1"/>
  <c r="Y14" i="1"/>
  <c r="V13" i="1"/>
  <c r="W13" i="1"/>
  <c r="Z13" i="1"/>
  <c r="Y13" i="1"/>
  <c r="V12" i="1"/>
  <c r="W12" i="1"/>
  <c r="Z12" i="1"/>
  <c r="Y12" i="1"/>
  <c r="V11" i="1"/>
  <c r="W11" i="1"/>
  <c r="Z11" i="1"/>
  <c r="Y11" i="1"/>
  <c r="V10" i="1"/>
  <c r="W10" i="1"/>
  <c r="Z10" i="1"/>
  <c r="Y10" i="1"/>
  <c r="AH10" i="1"/>
  <c r="AH28" i="1"/>
  <c r="AH25" i="1"/>
  <c r="AH22" i="1"/>
  <c r="AH19" i="1"/>
  <c r="AH16" i="1"/>
  <c r="AH13" i="1"/>
  <c r="AC28" i="1"/>
  <c r="AC25" i="1"/>
  <c r="AC22" i="1"/>
  <c r="AC19" i="1"/>
  <c r="AC16" i="1"/>
  <c r="AC13" i="1"/>
  <c r="R28" i="1"/>
  <c r="Q28" i="1"/>
  <c r="R27" i="1"/>
  <c r="Q27" i="1"/>
  <c r="R26" i="1"/>
  <c r="Q26" i="1"/>
  <c r="R25" i="1"/>
  <c r="Q25" i="1"/>
  <c r="R24" i="1"/>
  <c r="Q24" i="1"/>
  <c r="P28" i="1"/>
  <c r="O28" i="1"/>
  <c r="P27" i="1"/>
  <c r="O27" i="1"/>
  <c r="P26" i="1"/>
  <c r="O26" i="1"/>
  <c r="P25" i="1"/>
  <c r="O25" i="1"/>
  <c r="P24" i="1"/>
  <c r="O24" i="1"/>
  <c r="N28" i="1"/>
  <c r="N27" i="1"/>
  <c r="N26" i="1"/>
  <c r="N25" i="1"/>
  <c r="N24" i="1"/>
  <c r="M28" i="1"/>
  <c r="M27" i="1"/>
  <c r="M26" i="1"/>
  <c r="M25" i="1"/>
  <c r="M24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X10" i="1"/>
  <c r="AC10" i="1"/>
  <c r="X13" i="1"/>
  <c r="X16" i="1"/>
  <c r="X19" i="1"/>
  <c r="X22" i="1"/>
  <c r="X25" i="1"/>
  <c r="X28" i="1"/>
</calcChain>
</file>

<file path=xl/sharedStrings.xml><?xml version="1.0" encoding="utf-8"?>
<sst xmlns="http://schemas.openxmlformats.org/spreadsheetml/2006/main" count="92" uniqueCount="88">
  <si>
    <t>z drop lines</t>
  </si>
  <si>
    <t>_xs_cpy</t>
  </si>
  <si>
    <t>_ys_cpy</t>
  </si>
  <si>
    <t>_xs_cpz</t>
  </si>
  <si>
    <t>_ys_cpz</t>
  </si>
  <si>
    <t xml:space="preserve"> &lt;- array formula!</t>
  </si>
  <si>
    <t>tick label z</t>
  </si>
  <si>
    <t xml:space="preserve">tmz z </t>
  </si>
  <si>
    <t>vectzc</t>
  </si>
  <si>
    <t>xs_cage</t>
  </si>
  <si>
    <t>ys_cage</t>
  </si>
  <si>
    <t>_tmz_y</t>
  </si>
  <si>
    <t>_tmz_x</t>
  </si>
  <si>
    <t>data normalisation</t>
  </si>
  <si>
    <t>data points</t>
  </si>
  <si>
    <t>cp normalised position</t>
  </si>
  <si>
    <t>cut plane frame</t>
  </si>
  <si>
    <t>cut plane x frame</t>
  </si>
  <si>
    <t>cut plane y frame</t>
  </si>
  <si>
    <t>cut plane z frame</t>
  </si>
  <si>
    <t>shift x</t>
  </si>
  <si>
    <t>shift y</t>
  </si>
  <si>
    <t>zoom</t>
  </si>
  <si>
    <t>4th dimension</t>
  </si>
  <si>
    <t>to-scale-ratios</t>
  </si>
  <si>
    <t>rotation matrix</t>
  </si>
  <si>
    <t>cut planes</t>
  </si>
  <si>
    <t>_xs_cpx</t>
  </si>
  <si>
    <t>cut plane x</t>
  </si>
  <si>
    <t>_ys_cpx</t>
  </si>
  <si>
    <t>cut plane z</t>
  </si>
  <si>
    <t>cut plane y</t>
  </si>
  <si>
    <t>plane 1</t>
  </si>
  <si>
    <t>plane 2</t>
  </si>
  <si>
    <t>labels</t>
  </si>
  <si>
    <t>x</t>
  </si>
  <si>
    <t>y</t>
  </si>
  <si>
    <t>z</t>
  </si>
  <si>
    <t>min</t>
  </si>
  <si>
    <t>range</t>
  </si>
  <si>
    <t>sin a</t>
  </si>
  <si>
    <t>cos a</t>
  </si>
  <si>
    <t>rot 1</t>
  </si>
  <si>
    <t>rot 2</t>
  </si>
  <si>
    <t>rotate x</t>
  </si>
  <si>
    <t>rotate y</t>
  </si>
  <si>
    <t>rotate z</t>
  </si>
  <si>
    <t>cut plane YZ</t>
  </si>
  <si>
    <t>cut plane XZ</t>
  </si>
  <si>
    <t>cut plane XY</t>
  </si>
  <si>
    <t>angles</t>
  </si>
  <si>
    <t>planes</t>
  </si>
  <si>
    <t>norm</t>
  </si>
  <si>
    <t>screen</t>
  </si>
  <si>
    <t>xs</t>
  </si>
  <si>
    <t>ys</t>
  </si>
  <si>
    <t>fract</t>
  </si>
  <si>
    <t>ts tick mark step width</t>
  </si>
  <si>
    <t>ft location first tick mark</t>
  </si>
  <si>
    <t>tx number of tick marks</t>
  </si>
  <si>
    <t>ftn normalised location first tick mark</t>
  </si>
  <si>
    <t>tsn normalised tick mark step width</t>
  </si>
  <si>
    <t>tick marks</t>
  </si>
  <si>
    <t>cage</t>
  </si>
  <si>
    <t>tick mark</t>
  </si>
  <si>
    <t>vect</t>
  </si>
  <si>
    <t>tick label x</t>
  </si>
  <si>
    <t>xsx</t>
  </si>
  <si>
    <t>ysx</t>
  </si>
  <si>
    <t>xsy</t>
  </si>
  <si>
    <t>ysy</t>
  </si>
  <si>
    <t>xsz</t>
  </si>
  <si>
    <t>ysz</t>
  </si>
  <si>
    <t>vectxc</t>
  </si>
  <si>
    <t>tmx x</t>
  </si>
  <si>
    <t>_tmx_y</t>
  </si>
  <si>
    <t>_tmx_z</t>
  </si>
  <si>
    <t>vectyc</t>
  </si>
  <si>
    <t>tmy y</t>
  </si>
  <si>
    <t>_tmy_x</t>
  </si>
  <si>
    <t>_tmy_z</t>
  </si>
  <si>
    <t>tick label y</t>
  </si>
  <si>
    <t>x norm</t>
  </si>
  <si>
    <t>y norm</t>
  </si>
  <si>
    <t>z norm</t>
  </si>
  <si>
    <t>time</t>
  </si>
  <si>
    <t>gridSize</t>
  </si>
  <si>
    <t>blockSize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</si>
</sst>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{0\}"/>
  </numFmts>
  <fonts count="11">
    <font>
      <sz val="10"/>
      <name val="Verdana"/>
    </font>
    <font>
      <b/>
      <sz val="10"/>
      <name val="Verdana"/>
    </font>
    <font>
      <sz val="10"/>
      <name val="Verdana"/>
    </font>
    <font>
      <sz val="10"/>
      <color indexed="12"/>
      <name val="Verdana"/>
    </font>
    <font>
      <sz val="8"/>
      <name val="Verdana"/>
    </font>
    <font>
      <sz val="10"/>
      <color indexed="60"/>
      <name val="Verdana"/>
    </font>
    <font>
      <i/>
      <sz val="10"/>
      <color indexed="60"/>
      <name val="Verdana"/>
    </font>
    <font>
      <b/>
      <sz val="14"/>
      <name val="Verdana"/>
    </font>
    <font>
      <sz val="10"/>
      <color rgb="FF000000"/>
      <name val="Geneva"/>
    </font>
    <font>
      <sz val="10"/>
      <color indexed="60"/>
      <name val="Verdana"/>
      <family val="2"/>
    </font>
    <font>
      <sz val="1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0" fillId="0" borderId="0" xfId="0" applyAlignment="1">
      <alignment wrapText="1"/>
    </xf>
    <xf numFmtId="0" fontId="0" fillId="0" borderId="7" xfId="0" applyBorder="1"/>
    <xf numFmtId="0" fontId="0" fillId="0" borderId="8" xfId="0" applyBorder="1"/>
    <xf numFmtId="0" fontId="3" fillId="0" borderId="0" xfId="0" applyFont="1"/>
    <xf numFmtId="0" fontId="2" fillId="0" borderId="0" xfId="0" applyFont="1" applyFill="1"/>
    <xf numFmtId="0" fontId="0" fillId="0" borderId="0" xfId="0" applyFill="1" applyBorder="1"/>
    <xf numFmtId="0" fontId="0" fillId="0" borderId="0" xfId="0" applyAlignment="1"/>
    <xf numFmtId="0" fontId="1" fillId="0" borderId="0" xfId="0" applyFont="1" applyBorder="1"/>
    <xf numFmtId="0" fontId="1" fillId="0" borderId="9" xfId="0" applyFont="1" applyBorder="1"/>
    <xf numFmtId="0" fontId="1" fillId="0" borderId="3" xfId="0" applyFont="1" applyBorder="1"/>
    <xf numFmtId="0" fontId="0" fillId="0" borderId="4" xfId="0" applyFill="1" applyBorder="1"/>
    <xf numFmtId="0" fontId="0" fillId="0" borderId="2" xfId="0" applyFill="1" applyBorder="1"/>
    <xf numFmtId="0" fontId="0" fillId="0" borderId="10" xfId="0" applyFill="1" applyBorder="1"/>
    <xf numFmtId="0" fontId="1" fillId="0" borderId="2" xfId="0" applyFont="1" applyBorder="1"/>
    <xf numFmtId="0" fontId="1" fillId="0" borderId="4" xfId="0" applyFont="1" applyBorder="1"/>
    <xf numFmtId="0" fontId="0" fillId="0" borderId="9" xfId="0" applyBorder="1"/>
    <xf numFmtId="0" fontId="0" fillId="0" borderId="9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" xfId="0" applyFill="1" applyBorder="1"/>
    <xf numFmtId="0" fontId="0" fillId="0" borderId="0" xfId="0" applyAlignment="1">
      <alignment horizontal="right"/>
    </xf>
    <xf numFmtId="0" fontId="0" fillId="0" borderId="0" xfId="0" applyNumberFormat="1"/>
    <xf numFmtId="0" fontId="0" fillId="0" borderId="5" xfId="0" quotePrefix="1" applyNumberFormat="1" applyBorder="1"/>
    <xf numFmtId="0" fontId="0" fillId="0" borderId="6" xfId="0" quotePrefix="1" applyNumberFormat="1" applyBorder="1"/>
    <xf numFmtId="0" fontId="0" fillId="0" borderId="11" xfId="0" applyFill="1" applyBorder="1"/>
    <xf numFmtId="0" fontId="0" fillId="0" borderId="7" xfId="0" applyFill="1" applyBorder="1"/>
    <xf numFmtId="0" fontId="0" fillId="0" borderId="8" xfId="0" applyFill="1" applyBorder="1"/>
    <xf numFmtId="0" fontId="5" fillId="0" borderId="0" xfId="0" applyFont="1" applyFill="1"/>
    <xf numFmtId="0" fontId="5" fillId="0" borderId="0" xfId="0" applyFont="1" applyFill="1" applyBorder="1"/>
    <xf numFmtId="0" fontId="5" fillId="0" borderId="2" xfId="0" applyFont="1" applyFill="1" applyBorder="1"/>
    <xf numFmtId="0" fontId="5" fillId="0" borderId="6" xfId="0" applyFont="1" applyFill="1" applyBorder="1"/>
    <xf numFmtId="0" fontId="5" fillId="0" borderId="10" xfId="0" applyFont="1" applyFill="1" applyBorder="1"/>
    <xf numFmtId="164" fontId="5" fillId="0" borderId="3" xfId="0" applyNumberFormat="1" applyFont="1" applyFill="1" applyBorder="1" applyAlignment="1">
      <alignment horizontal="center"/>
    </xf>
    <xf numFmtId="0" fontId="5" fillId="0" borderId="3" xfId="0" applyFont="1" applyFill="1" applyBorder="1"/>
    <xf numFmtId="0" fontId="5" fillId="0" borderId="9" xfId="0" applyFont="1" applyFill="1" applyBorder="1"/>
    <xf numFmtId="0" fontId="5" fillId="0" borderId="4" xfId="0" applyFont="1" applyFill="1" applyBorder="1"/>
    <xf numFmtId="0" fontId="5" fillId="0" borderId="5" xfId="0" applyFont="1" applyFill="1" applyBorder="1"/>
    <xf numFmtId="0" fontId="5" fillId="0" borderId="0" xfId="0" applyFont="1"/>
    <xf numFmtId="0" fontId="6" fillId="0" borderId="0" xfId="0" applyFont="1" applyFill="1" applyBorder="1"/>
    <xf numFmtId="0" fontId="6" fillId="0" borderId="2" xfId="0" applyFont="1" applyFill="1" applyBorder="1"/>
    <xf numFmtId="0" fontId="6" fillId="0" borderId="6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0" fontId="2" fillId="0" borderId="6" xfId="0" applyFont="1" applyBorder="1"/>
    <xf numFmtId="0" fontId="7" fillId="2" borderId="6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5" fillId="3" borderId="0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0" fillId="0" borderId="0" xfId="0" applyNumberFormat="1" applyFill="1"/>
    <xf numFmtId="0" fontId="2" fillId="0" borderId="0" xfId="0" applyFont="1"/>
    <xf numFmtId="0" fontId="2" fillId="4" borderId="0" xfId="0" applyFont="1" applyFill="1" applyAlignment="1"/>
    <xf numFmtId="0" fontId="0" fillId="0" borderId="0" xfId="0" applyFont="1"/>
    <xf numFmtId="0" fontId="0" fillId="0" borderId="0" xfId="0" applyFont="1" applyFill="1"/>
    <xf numFmtId="0" fontId="10" fillId="0" borderId="0" xfId="0" applyFont="1"/>
    <xf numFmtId="0" fontId="10" fillId="2" borderId="0" xfId="0" applyNumberFormat="1" applyFont="1" applyFill="1" applyAlignment="1" applyProtection="1"/>
    <xf numFmtId="0" fontId="9" fillId="3" borderId="0" xfId="0" applyNumberFormat="1" applyFont="1" applyFill="1" applyBorder="1" applyAlignment="1" applyProtection="1"/>
    <xf numFmtId="0" fontId="9" fillId="3" borderId="1" xfId="0" applyNumberFormat="1" applyFont="1" applyFill="1" applyBorder="1" applyAlignment="1" applyProtection="1"/>
    <xf numFmtId="0" fontId="9" fillId="3" borderId="2" xfId="0" applyNumberFormat="1" applyFont="1" applyFill="1" applyBorder="1" applyAlignment="1" applyProtection="1"/>
  </cellXfs>
  <cellStyles count="1">
    <cellStyle name="Standard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45102781136638E-2"/>
          <c:y val="1.39049826187717E-2"/>
          <c:w val="0.97218863361547803"/>
          <c:h val="0.97334878331402097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tx>
                <c:strRef>
                  <c:f>plot!$C$32</c:f>
                  <c:strCache>
                    <c:ptCount val="1"/>
                    <c:pt idx="0">
                      <c:v>gridSize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{74CF0FA5-9E0E-4D22-A1D5-CCF226DCDDD3}</c15:txfldGUID>
                      <c15:f>plot!$C$32</c15:f>
                      <c15:dlblFieldTableCache>
                        <c:ptCount val="1"/>
                        <c:pt idx="0">
                          <c:v>gridSize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/>
              <c:tx>
                <c:strRef>
                  <c:f>plot!$E$32</c:f>
                  <c:strCache>
                    <c:ptCount val="1"/>
                    <c:pt idx="0">
                      <c:v>time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{DE4B2B65-1F96-4EBD-A2FD-67FA623AEA8A}</c15:txfldGUID>
                      <c15:f>plot!$E$32</c15:f>
                      <c15:dlblFieldTableCache>
                        <c:ptCount val="1"/>
                        <c:pt idx="0">
                          <c:v>time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/>
              <c:tx>
                <c:strRef>
                  <c:f>plot!$D$32</c:f>
                  <c:strCache>
                    <c:ptCount val="1"/>
                    <c:pt idx="0">
                      <c:v>blockSize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{E8527AE7-7DFC-4D0F-B85D-B78056F5A845}</c15:txfldGUID>
                      <c15:f>plot!$D$32</c15:f>
                      <c15:dlblFieldTableCache>
                        <c:ptCount val="1"/>
                        <c:pt idx="0">
                          <c:v>blockSize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plot!$N$10:$N$20</c:f>
              <c:numCache>
                <c:formatCode>General</c:formatCode>
                <c:ptCount val="11"/>
                <c:pt idx="0">
                  <c:v>-0.64085638205578865</c:v>
                </c:pt>
                <c:pt idx="1">
                  <c:v>-0.29883623873011983</c:v>
                </c:pt>
                <c:pt idx="2">
                  <c:v>-0.29883623873011972</c:v>
                </c:pt>
                <c:pt idx="3">
                  <c:v>-0.64085638205578843</c:v>
                </c:pt>
                <c:pt idx="4">
                  <c:v>-0.64085638205578865</c:v>
                </c:pt>
                <c:pt idx="5">
                  <c:v>0.29883623873011972</c:v>
                </c:pt>
                <c:pt idx="6">
                  <c:v>0.64085638205578843</c:v>
                </c:pt>
                <c:pt idx="7">
                  <c:v>0.64085638205578865</c:v>
                </c:pt>
                <c:pt idx="8">
                  <c:v>-0.29883623873011972</c:v>
                </c:pt>
                <c:pt idx="9">
                  <c:v>-0.29883623873011983</c:v>
                </c:pt>
                <c:pt idx="10">
                  <c:v>0.64085638205578843</c:v>
                </c:pt>
              </c:numCache>
            </c:numRef>
          </c:xVal>
          <c:yVal>
            <c:numRef>
              <c:f>plot!$O$10:$O$20</c:f>
              <c:numCache>
                <c:formatCode>General</c:formatCode>
                <c:ptCount val="11"/>
                <c:pt idx="0">
                  <c:v>-0.58243082125727907</c:v>
                </c:pt>
                <c:pt idx="1">
                  <c:v>-0.11258451086432519</c:v>
                </c:pt>
                <c:pt idx="2">
                  <c:v>0.75344089292011351</c:v>
                </c:pt>
                <c:pt idx="3">
                  <c:v>0.28359458252715963</c:v>
                </c:pt>
                <c:pt idx="4">
                  <c:v>-0.58243082125727907</c:v>
                </c:pt>
                <c:pt idx="5">
                  <c:v>-0.75344089292011351</c:v>
                </c:pt>
                <c:pt idx="6">
                  <c:v>-0.28359458252715963</c:v>
                </c:pt>
                <c:pt idx="7">
                  <c:v>0.58243082125727907</c:v>
                </c:pt>
                <c:pt idx="8">
                  <c:v>0.75344089292011351</c:v>
                </c:pt>
                <c:pt idx="9">
                  <c:v>-0.11258451086432519</c:v>
                </c:pt>
                <c:pt idx="10">
                  <c:v>-0.28359458252715963</c:v>
                </c:pt>
              </c:numCache>
            </c:numRef>
          </c:yVal>
          <c:smooth val="0"/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{B36C89E8-688B-4B06-B42C-7BBCF934C8CB}</c15:txfldGUID>
                      <c15:f>plot!$X$9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plot!$X$10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{3B795451-2F7E-45B4-A20A-4CB08F23E85E}</c15:txfldGUID>
                      <c15:f>plot!$X$10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{594570A5-47AB-4EAF-87F3-7F884DBCC7F0}</c15:txfldGUID>
                      <c15:f>plot!$X$11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{B6DAB85A-FB5C-416C-94FC-D62D14DC02AB}</c15:txfldGUID>
                      <c15:f>plot!$X$12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plot!$X$13</c:f>
                  <c:strCache>
                    <c:ptCount val="1"/>
                    <c:pt idx="0">
                      <c:v>14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{A6DC4C10-FCA8-4913-BDC0-2677C44A7993}</c15:txfldGUID>
                      <c15:f>plot!$X$13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{61C68C0F-2848-4B7B-8DB4-8F995142F351}</c15:txfldGUID>
                      <c15:f>plot!$X$14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{EB968EAD-01F2-4027-8075-27F7A481E06C}</c15:txfldGUID>
                      <c15:f>plot!$X$15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plot!$X$16</c:f>
                  <c:strCache>
                    <c:ptCount val="1"/>
                    <c:pt idx="0">
                      <c:v>21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{C4517811-1806-45C8-BD08-D1CCA259C18B}</c15:txfldGUID>
                      <c15:f>plot!$X$16</c15:f>
                      <c15:dlblFieldTableCache>
                        <c:ptCount val="1"/>
                        <c:pt idx="0">
                          <c:v>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{94C67F6E-C214-402C-8E58-F17518B82EAC}</c15:txfldGUID>
                      <c15:f>plot!$X$17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{8499C98C-C205-495B-BF0B-4682AD896A03}</c15:txfldGUID>
                      <c15:f>plot!$X$18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plot!$X$19</c:f>
                  <c:strCache>
                    <c:ptCount val="1"/>
                    <c:pt idx="0">
                      <c:v>28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{782AE0DA-1BF1-4F0E-82CB-E4C26D3FA76B}</c15:txfldGUID>
                      <c15:f>plot!$X$19</c15:f>
                      <c15:dlblFieldTableCache>
                        <c:ptCount val="1"/>
                        <c:pt idx="0">
                          <c:v>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{C724DE2C-FBF0-4BDD-BA6F-C2A2D81D2831}</c15:txfldGUID>
                      <c15:f>plot!$X$20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{9AB07E3A-7029-4A55-8AD2-2576D283CE25}</c15:txfldGUID>
                      <c15:f>plot!$X$21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plot!$X$22</c:f>
                  <c:strCache>
                    <c:ptCount val="1"/>
                    <c:pt idx="0">
                      <c:v>35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{DA58515E-3AA5-4586-A885-2D7DC667316C}</c15:txfldGUID>
                      <c15:f>plot!$X$22</c15:f>
                      <c15:dlblFieldTableCache>
                        <c:ptCount val="1"/>
                        <c:pt idx="0">
                          <c:v>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{8C445C9E-F7C7-4AC1-A248-47E82054829A}</c15:txfldGUID>
                      <c15:f>plot!$X$23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{E5F9B285-FDB4-4940-8BD7-58C7BB347C36}</c15:txfldGUID>
                      <c15:f>plot!$X$24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plot!$X$25</c:f>
                  <c:strCache>
                    <c:ptCount val="1"/>
                    <c:pt idx="0">
                      <c:v>35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{BBA13682-D7B2-48E3-9D6D-79D86B3AE467}</c15:txfldGUID>
                      <c15:f>plot!$X$25</c15:f>
                      <c15:dlblFieldTableCache>
                        <c:ptCount val="1"/>
                        <c:pt idx="0">
                          <c:v>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{BD0994E3-8B79-4AF6-B0F7-0312D4D80D71}</c15:txfldGUID>
                      <c15:f>plot!$X$26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{6D2E1F5A-975E-4999-B07F-EEF723061FF9}</c15:txfldGUID>
                      <c15:f>plot!$X$27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plot!$X$28</c:f>
                  <c:strCache>
                    <c:ptCount val="1"/>
                    <c:pt idx="0">
                      <c:v>35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{6FA8E279-13DA-4075-BC7B-3DFE5D11E775}</c15:txfldGUID>
                      <c15:f>plot!$X$28</c15:f>
                      <c15:dlblFieldTableCache>
                        <c:ptCount val="1"/>
                        <c:pt idx="0">
                          <c:v>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{99FEB4F6-9F6E-481F-AFC8-65D31ADD82E8}</c15:txfldGUID>
                      <c15:f>plot!$X$29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plot!$Y$9:$Y$29</c:f>
              <c:numCache>
                <c:formatCode>General</c:formatCode>
                <c:ptCount val="21"/>
                <c:pt idx="0">
                  <c:v>0.6028541439084919</c:v>
                </c:pt>
                <c:pt idx="1">
                  <c:v>0.69682340598708281</c:v>
                </c:pt>
                <c:pt idx="2">
                  <c:v>0.6028541439084919</c:v>
                </c:pt>
                <c:pt idx="3">
                  <c:v>0.536350227150723</c:v>
                </c:pt>
                <c:pt idx="4">
                  <c:v>0.6303194892293138</c:v>
                </c:pt>
                <c:pt idx="5">
                  <c:v>0.536350227150723</c:v>
                </c:pt>
                <c:pt idx="6">
                  <c:v>0.4698463103929541</c:v>
                </c:pt>
                <c:pt idx="7">
                  <c:v>0.5638155724715449</c:v>
                </c:pt>
                <c:pt idx="8">
                  <c:v>0.4698463103929541</c:v>
                </c:pt>
                <c:pt idx="9">
                  <c:v>0.40334239363518515</c:v>
                </c:pt>
                <c:pt idx="10">
                  <c:v>0.497311655713776</c:v>
                </c:pt>
                <c:pt idx="11">
                  <c:v>0.40334239363518515</c:v>
                </c:pt>
                <c:pt idx="12">
                  <c:v>0.33683847687741625</c:v>
                </c:pt>
                <c:pt idx="13">
                  <c:v>0.43080773895600705</c:v>
                </c:pt>
                <c:pt idx="14">
                  <c:v>0.33683847687741625</c:v>
                </c:pt>
                <c:pt idx="15">
                  <c:v>0.33683847687741625</c:v>
                </c:pt>
                <c:pt idx="16">
                  <c:v>0.43080773895600705</c:v>
                </c:pt>
                <c:pt idx="17">
                  <c:v>0.33683847687741625</c:v>
                </c:pt>
                <c:pt idx="18">
                  <c:v>0.33683847687741625</c:v>
                </c:pt>
                <c:pt idx="19">
                  <c:v>0.43080773895600705</c:v>
                </c:pt>
                <c:pt idx="20">
                  <c:v>0.33683847687741625</c:v>
                </c:pt>
              </c:numCache>
            </c:numRef>
          </c:xVal>
          <c:yVal>
            <c:numRef>
              <c:f>plot!$Z$9:$Z$29</c:f>
              <c:numCache>
                <c:formatCode>General</c:formatCode>
                <c:ptCount val="21"/>
                <c:pt idx="0">
                  <c:v>-0.33579972812637671</c:v>
                </c:pt>
                <c:pt idx="1">
                  <c:v>-0.35290073529266019</c:v>
                </c:pt>
                <c:pt idx="2">
                  <c:v>-0.33579972812637671</c:v>
                </c:pt>
                <c:pt idx="3">
                  <c:v>-0.42715873292500667</c:v>
                </c:pt>
                <c:pt idx="4">
                  <c:v>-0.4442597400912901</c:v>
                </c:pt>
                <c:pt idx="5">
                  <c:v>-0.42715873292500667</c:v>
                </c:pt>
                <c:pt idx="6">
                  <c:v>-0.51851773772363652</c:v>
                </c:pt>
                <c:pt idx="7">
                  <c:v>-0.53561874488992001</c:v>
                </c:pt>
                <c:pt idx="8">
                  <c:v>-0.51851773772363652</c:v>
                </c:pt>
                <c:pt idx="9">
                  <c:v>-0.60987674252226654</c:v>
                </c:pt>
                <c:pt idx="10">
                  <c:v>-0.62697774968855002</c:v>
                </c:pt>
                <c:pt idx="11">
                  <c:v>-0.60987674252226654</c:v>
                </c:pt>
                <c:pt idx="12">
                  <c:v>-0.70123574732089633</c:v>
                </c:pt>
                <c:pt idx="13">
                  <c:v>-0.71833675448717993</c:v>
                </c:pt>
                <c:pt idx="14">
                  <c:v>-0.70123574732089633</c:v>
                </c:pt>
                <c:pt idx="15">
                  <c:v>-0.70123574732089633</c:v>
                </c:pt>
                <c:pt idx="16">
                  <c:v>-0.71833675448717993</c:v>
                </c:pt>
                <c:pt idx="17">
                  <c:v>-0.70123574732089633</c:v>
                </c:pt>
                <c:pt idx="18">
                  <c:v>-0.70123574732089633</c:v>
                </c:pt>
                <c:pt idx="19">
                  <c:v>-0.71833675448717993</c:v>
                </c:pt>
                <c:pt idx="20">
                  <c:v>-0.70123574732089633</c:v>
                </c:pt>
              </c:numCache>
            </c:numRef>
          </c:yVal>
          <c:smooth val="0"/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plot!$M$33:$M$411</c:f>
              <c:numCache>
                <c:formatCode>General</c:formatCode>
                <c:ptCount val="379"/>
                <c:pt idx="0">
                  <c:v>-0.29883623873011983</c:v>
                </c:pt>
                <c:pt idx="1">
                  <c:v>-0.27884277871339841</c:v>
                </c:pt>
                <c:pt idx="2">
                  <c:v>-0.25884931869667688</c:v>
                </c:pt>
                <c:pt idx="3">
                  <c:v>-0.23885585867995549</c:v>
                </c:pt>
                <c:pt idx="4">
                  <c:v>-0.21886239866323395</c:v>
                </c:pt>
                <c:pt idx="5">
                  <c:v>-0.19886893864651253</c:v>
                </c:pt>
                <c:pt idx="6">
                  <c:v>-0.17887547862979111</c:v>
                </c:pt>
                <c:pt idx="7">
                  <c:v>-0.15888201861306964</c:v>
                </c:pt>
                <c:pt idx="8">
                  <c:v>-0.13888855859634816</c:v>
                </c:pt>
                <c:pt idx="9">
                  <c:v>-0.11889509857962674</c:v>
                </c:pt>
                <c:pt idx="10">
                  <c:v>-9.8901638562905264E-2</c:v>
                </c:pt>
                <c:pt idx="11">
                  <c:v>-7.8908178546183816E-2</c:v>
                </c:pt>
                <c:pt idx="12">
                  <c:v>-5.8914718529462361E-2</c:v>
                </c:pt>
                <c:pt idx="13">
                  <c:v>-3.8921258512740885E-2</c:v>
                </c:pt>
                <c:pt idx="14">
                  <c:v>-1.8927798496019461E-2</c:v>
                </c:pt>
                <c:pt idx="15">
                  <c:v>1.0656615207020174E-3</c:v>
                </c:pt>
                <c:pt idx="16">
                  <c:v>2.105912153742347E-2</c:v>
                </c:pt>
                <c:pt idx="17">
                  <c:v>4.105258155414495E-2</c:v>
                </c:pt>
                <c:pt idx="18">
                  <c:v>6.1046041570866384E-2</c:v>
                </c:pt>
                <c:pt idx="19">
                  <c:v>8.1039501587587812E-2</c:v>
                </c:pt>
                <c:pt idx="20">
                  <c:v>0.1010329616043093</c:v>
                </c:pt>
                <c:pt idx="21">
                  <c:v>0.12102642162103072</c:v>
                </c:pt>
                <c:pt idx="22">
                  <c:v>0.14101988163775223</c:v>
                </c:pt>
                <c:pt idx="23">
                  <c:v>0.16101334165447365</c:v>
                </c:pt>
                <c:pt idx="24">
                  <c:v>0.18100680167119507</c:v>
                </c:pt>
                <c:pt idx="25">
                  <c:v>0.20100026168791654</c:v>
                </c:pt>
                <c:pt idx="26">
                  <c:v>0.22099372170463805</c:v>
                </c:pt>
                <c:pt idx="27">
                  <c:v>0.24098718172135952</c:v>
                </c:pt>
                <c:pt idx="28">
                  <c:v>0.26098064173808094</c:v>
                </c:pt>
                <c:pt idx="29">
                  <c:v>0.28097410175480242</c:v>
                </c:pt>
                <c:pt idx="30">
                  <c:v>0.30096756177152389</c:v>
                </c:pt>
                <c:pt idx="31">
                  <c:v>0.32096102178824526</c:v>
                </c:pt>
                <c:pt idx="32">
                  <c:v>0.34095448180496679</c:v>
                </c:pt>
                <c:pt idx="33">
                  <c:v>0.36094794182168821</c:v>
                </c:pt>
                <c:pt idx="34">
                  <c:v>0.38094140183840974</c:v>
                </c:pt>
                <c:pt idx="35">
                  <c:v>0.40093486185513111</c:v>
                </c:pt>
                <c:pt idx="36">
                  <c:v>0.42092832187185258</c:v>
                </c:pt>
                <c:pt idx="37">
                  <c:v>0.440921781888574</c:v>
                </c:pt>
                <c:pt idx="38">
                  <c:v>0.46091524190529543</c:v>
                </c:pt>
                <c:pt idx="39">
                  <c:v>0.48090870192201696</c:v>
                </c:pt>
                <c:pt idx="40">
                  <c:v>0.50090216193873838</c:v>
                </c:pt>
                <c:pt idx="41">
                  <c:v>0.52089562195545991</c:v>
                </c:pt>
                <c:pt idx="42">
                  <c:v>0.54088908197218122</c:v>
                </c:pt>
                <c:pt idx="43">
                  <c:v>0.56088254198890275</c:v>
                </c:pt>
                <c:pt idx="44">
                  <c:v>0.58087600200562428</c:v>
                </c:pt>
                <c:pt idx="45">
                  <c:v>0.6008694620223457</c:v>
                </c:pt>
                <c:pt idx="46">
                  <c:v>0.62086292203906712</c:v>
                </c:pt>
                <c:pt idx="47">
                  <c:v>0.64085638205578854</c:v>
                </c:pt>
                <c:pt idx="48">
                  <c:v>-0.29883623873011983</c:v>
                </c:pt>
                <c:pt idx="49">
                  <c:v>-0.27884277871339841</c:v>
                </c:pt>
                <c:pt idx="50">
                  <c:v>-0.25884931869667688</c:v>
                </c:pt>
                <c:pt idx="51">
                  <c:v>-0.23885585867995549</c:v>
                </c:pt>
                <c:pt idx="52">
                  <c:v>-0.21886239866323395</c:v>
                </c:pt>
                <c:pt idx="53">
                  <c:v>-0.19886893864651253</c:v>
                </c:pt>
                <c:pt idx="54">
                  <c:v>-0.17887547862979111</c:v>
                </c:pt>
                <c:pt idx="55">
                  <c:v>-0.15888201861306964</c:v>
                </c:pt>
                <c:pt idx="56">
                  <c:v>-0.13888855859634813</c:v>
                </c:pt>
                <c:pt idx="57">
                  <c:v>-0.11889509857962671</c:v>
                </c:pt>
                <c:pt idx="58">
                  <c:v>-9.8901638562905236E-2</c:v>
                </c:pt>
                <c:pt idx="59">
                  <c:v>-7.8908178546183788E-2</c:v>
                </c:pt>
                <c:pt idx="60">
                  <c:v>-5.891471852946234E-2</c:v>
                </c:pt>
                <c:pt idx="61">
                  <c:v>-3.8921258512740864E-2</c:v>
                </c:pt>
                <c:pt idx="62">
                  <c:v>-1.892779849601944E-2</c:v>
                </c:pt>
                <c:pt idx="63">
                  <c:v>1.065661520702038E-3</c:v>
                </c:pt>
                <c:pt idx="64">
                  <c:v>2.1059121537423488E-2</c:v>
                </c:pt>
                <c:pt idx="65">
                  <c:v>4.1052581554144964E-2</c:v>
                </c:pt>
                <c:pt idx="66">
                  <c:v>6.1046041570866405E-2</c:v>
                </c:pt>
                <c:pt idx="67">
                  <c:v>8.1039501587587826E-2</c:v>
                </c:pt>
                <c:pt idx="68">
                  <c:v>0.10103296160430932</c:v>
                </c:pt>
                <c:pt idx="69">
                  <c:v>0.12102642162103074</c:v>
                </c:pt>
                <c:pt idx="70">
                  <c:v>0.14101988163775225</c:v>
                </c:pt>
                <c:pt idx="71">
                  <c:v>0.16101334165447367</c:v>
                </c:pt>
                <c:pt idx="72">
                  <c:v>0.18100680167119509</c:v>
                </c:pt>
                <c:pt idx="73">
                  <c:v>0.20100026168791657</c:v>
                </c:pt>
                <c:pt idx="74">
                  <c:v>0.22099372170463807</c:v>
                </c:pt>
                <c:pt idx="75">
                  <c:v>0.24098718172135955</c:v>
                </c:pt>
                <c:pt idx="76">
                  <c:v>0.26098064173808094</c:v>
                </c:pt>
                <c:pt idx="77">
                  <c:v>0.28097410175480242</c:v>
                </c:pt>
                <c:pt idx="78">
                  <c:v>0.30096756177152389</c:v>
                </c:pt>
                <c:pt idx="79">
                  <c:v>0.32096102178824526</c:v>
                </c:pt>
                <c:pt idx="80">
                  <c:v>0.34095448180496679</c:v>
                </c:pt>
                <c:pt idx="81">
                  <c:v>0.36094794182168821</c:v>
                </c:pt>
                <c:pt idx="82">
                  <c:v>0.38094140183840974</c:v>
                </c:pt>
                <c:pt idx="83">
                  <c:v>0.40093486185513111</c:v>
                </c:pt>
                <c:pt idx="84">
                  <c:v>0.42092832187185258</c:v>
                </c:pt>
                <c:pt idx="85">
                  <c:v>0.440921781888574</c:v>
                </c:pt>
                <c:pt idx="86">
                  <c:v>0.46091524190529548</c:v>
                </c:pt>
                <c:pt idx="87">
                  <c:v>0.48090870192201701</c:v>
                </c:pt>
                <c:pt idx="88">
                  <c:v>0.50090216193873838</c:v>
                </c:pt>
                <c:pt idx="89">
                  <c:v>0.52089562195545991</c:v>
                </c:pt>
                <c:pt idx="90">
                  <c:v>0.54088908197218122</c:v>
                </c:pt>
                <c:pt idx="91">
                  <c:v>0.56088254198890275</c:v>
                </c:pt>
                <c:pt idx="92">
                  <c:v>0.58087600200562428</c:v>
                </c:pt>
                <c:pt idx="93">
                  <c:v>0.6008694620223457</c:v>
                </c:pt>
                <c:pt idx="94">
                  <c:v>0.62086292203906712</c:v>
                </c:pt>
                <c:pt idx="95">
                  <c:v>0.64085638205578854</c:v>
                </c:pt>
                <c:pt idx="96">
                  <c:v>-0.29883623873011983</c:v>
                </c:pt>
                <c:pt idx="97">
                  <c:v>-0.27884277871339841</c:v>
                </c:pt>
                <c:pt idx="98">
                  <c:v>-0.25884931869667688</c:v>
                </c:pt>
                <c:pt idx="99">
                  <c:v>-0.23885585867995549</c:v>
                </c:pt>
                <c:pt idx="100">
                  <c:v>-0.21886239866323395</c:v>
                </c:pt>
                <c:pt idx="101">
                  <c:v>-0.19886893864651251</c:v>
                </c:pt>
                <c:pt idx="102">
                  <c:v>-0.17887547862979108</c:v>
                </c:pt>
                <c:pt idx="103">
                  <c:v>-0.15888201861306961</c:v>
                </c:pt>
                <c:pt idx="104">
                  <c:v>-0.13888855859634813</c:v>
                </c:pt>
                <c:pt idx="105">
                  <c:v>-0.11889509857962671</c:v>
                </c:pt>
                <c:pt idx="106">
                  <c:v>-9.8901638562905236E-2</c:v>
                </c:pt>
                <c:pt idx="107">
                  <c:v>-7.8908178546183774E-2</c:v>
                </c:pt>
                <c:pt idx="108">
                  <c:v>-5.8914718529462326E-2</c:v>
                </c:pt>
                <c:pt idx="109">
                  <c:v>-3.8921258512740843E-2</c:v>
                </c:pt>
                <c:pt idx="110">
                  <c:v>-1.8927798496019416E-2</c:v>
                </c:pt>
                <c:pt idx="111">
                  <c:v>1.0656615207020627E-3</c:v>
                </c:pt>
                <c:pt idx="112">
                  <c:v>2.1059121537423502E-2</c:v>
                </c:pt>
                <c:pt idx="113">
                  <c:v>4.1052581554144978E-2</c:v>
                </c:pt>
                <c:pt idx="114">
                  <c:v>6.1046041570866419E-2</c:v>
                </c:pt>
                <c:pt idx="115">
                  <c:v>8.1039501587587839E-2</c:v>
                </c:pt>
                <c:pt idx="116">
                  <c:v>0.10103296160430933</c:v>
                </c:pt>
                <c:pt idx="117">
                  <c:v>0.12102642162103075</c:v>
                </c:pt>
                <c:pt idx="118">
                  <c:v>0.14101988163775225</c:v>
                </c:pt>
                <c:pt idx="119">
                  <c:v>0.16101334165447367</c:v>
                </c:pt>
                <c:pt idx="120">
                  <c:v>0.18100680167119509</c:v>
                </c:pt>
                <c:pt idx="121">
                  <c:v>0.2010002616879166</c:v>
                </c:pt>
                <c:pt idx="122">
                  <c:v>0.2209937217046381</c:v>
                </c:pt>
                <c:pt idx="123">
                  <c:v>0.24098718172135958</c:v>
                </c:pt>
                <c:pt idx="124">
                  <c:v>0.260980641738081</c:v>
                </c:pt>
                <c:pt idx="125">
                  <c:v>0.28097410175480247</c:v>
                </c:pt>
                <c:pt idx="126">
                  <c:v>0.30096756177152395</c:v>
                </c:pt>
                <c:pt idx="127">
                  <c:v>0.32096102178824532</c:v>
                </c:pt>
                <c:pt idx="128">
                  <c:v>-0.29883623873011983</c:v>
                </c:pt>
                <c:pt idx="129">
                  <c:v>-0.27884277871339841</c:v>
                </c:pt>
                <c:pt idx="130">
                  <c:v>-0.25884931869667688</c:v>
                </c:pt>
                <c:pt idx="131">
                  <c:v>-0.23885585867995549</c:v>
                </c:pt>
                <c:pt idx="132">
                  <c:v>-0.21886239866323393</c:v>
                </c:pt>
                <c:pt idx="133">
                  <c:v>-0.19886893864651251</c:v>
                </c:pt>
                <c:pt idx="134">
                  <c:v>-0.17887547862979108</c:v>
                </c:pt>
                <c:pt idx="135">
                  <c:v>-0.15888201861306961</c:v>
                </c:pt>
                <c:pt idx="136">
                  <c:v>-0.13888855859634813</c:v>
                </c:pt>
                <c:pt idx="137">
                  <c:v>-0.1188950985796267</c:v>
                </c:pt>
                <c:pt idx="138">
                  <c:v>-9.8901638562905209E-2</c:v>
                </c:pt>
                <c:pt idx="139">
                  <c:v>-7.890817854618376E-2</c:v>
                </c:pt>
                <c:pt idx="140">
                  <c:v>-5.8914718529462319E-2</c:v>
                </c:pt>
                <c:pt idx="141">
                  <c:v>-3.8921258512740843E-2</c:v>
                </c:pt>
                <c:pt idx="142">
                  <c:v>-1.8927798496019416E-2</c:v>
                </c:pt>
                <c:pt idx="143">
                  <c:v>1.0656615207020662E-3</c:v>
                </c:pt>
                <c:pt idx="144">
                  <c:v>2.1059121537423516E-2</c:v>
                </c:pt>
                <c:pt idx="145">
                  <c:v>4.1052581554144998E-2</c:v>
                </c:pt>
                <c:pt idx="146">
                  <c:v>6.1046041570866433E-2</c:v>
                </c:pt>
                <c:pt idx="147">
                  <c:v>8.1039501587587853E-2</c:v>
                </c:pt>
                <c:pt idx="148">
                  <c:v>0.10103296160430936</c:v>
                </c:pt>
                <c:pt idx="149">
                  <c:v>0.12102642162103078</c:v>
                </c:pt>
                <c:pt idx="150">
                  <c:v>0.14101988163775228</c:v>
                </c:pt>
                <c:pt idx="151">
                  <c:v>0.1610133416544737</c:v>
                </c:pt>
                <c:pt idx="152">
                  <c:v>-0.29883623873011983</c:v>
                </c:pt>
                <c:pt idx="153">
                  <c:v>-0.27884277871339841</c:v>
                </c:pt>
                <c:pt idx="154">
                  <c:v>-0.25884931869667688</c:v>
                </c:pt>
                <c:pt idx="155">
                  <c:v>-0.23885585867995546</c:v>
                </c:pt>
                <c:pt idx="156">
                  <c:v>-0.21886239866323393</c:v>
                </c:pt>
                <c:pt idx="157">
                  <c:v>-0.19886893864651251</c:v>
                </c:pt>
                <c:pt idx="158">
                  <c:v>-0.17887547862979108</c:v>
                </c:pt>
                <c:pt idx="159">
                  <c:v>-0.15888201861306961</c:v>
                </c:pt>
                <c:pt idx="160">
                  <c:v>-0.13888855859634811</c:v>
                </c:pt>
                <c:pt idx="161">
                  <c:v>-0.1188950985796267</c:v>
                </c:pt>
                <c:pt idx="162">
                  <c:v>-9.8901638562905209E-2</c:v>
                </c:pt>
                <c:pt idx="163">
                  <c:v>-7.890817854618376E-2</c:v>
                </c:pt>
                <c:pt idx="164">
                  <c:v>-5.8914718529462312E-2</c:v>
                </c:pt>
                <c:pt idx="165">
                  <c:v>-3.8921258512740829E-2</c:v>
                </c:pt>
                <c:pt idx="166">
                  <c:v>-1.8927798496019402E-2</c:v>
                </c:pt>
                <c:pt idx="167">
                  <c:v>1.0656615207020818E-3</c:v>
                </c:pt>
                <c:pt idx="168">
                  <c:v>2.1059121537423533E-2</c:v>
                </c:pt>
                <c:pt idx="169">
                  <c:v>4.1052581554145012E-2</c:v>
                </c:pt>
                <c:pt idx="170">
                  <c:v>6.1046041570866454E-2</c:v>
                </c:pt>
                <c:pt idx="171">
                  <c:v>-0.29883623873011983</c:v>
                </c:pt>
                <c:pt idx="172">
                  <c:v>-0.27884277871339841</c:v>
                </c:pt>
                <c:pt idx="173">
                  <c:v>-0.25884931869667688</c:v>
                </c:pt>
                <c:pt idx="174">
                  <c:v>-0.23885585867995546</c:v>
                </c:pt>
                <c:pt idx="175">
                  <c:v>-0.21886239866323393</c:v>
                </c:pt>
                <c:pt idx="176">
                  <c:v>-0.19886893864651251</c:v>
                </c:pt>
                <c:pt idx="177">
                  <c:v>-0.17887547862979106</c:v>
                </c:pt>
                <c:pt idx="178">
                  <c:v>-0.15888201861306958</c:v>
                </c:pt>
                <c:pt idx="179">
                  <c:v>-0.13888855859634811</c:v>
                </c:pt>
                <c:pt idx="180">
                  <c:v>-0.11889509857962668</c:v>
                </c:pt>
                <c:pt idx="181">
                  <c:v>-9.8901638562905209E-2</c:v>
                </c:pt>
                <c:pt idx="182">
                  <c:v>-7.8908178546183746E-2</c:v>
                </c:pt>
                <c:pt idx="183">
                  <c:v>-5.8914718529462298E-2</c:v>
                </c:pt>
                <c:pt idx="184">
                  <c:v>-3.8921258512740815E-2</c:v>
                </c:pt>
                <c:pt idx="185">
                  <c:v>-1.8927798496019384E-2</c:v>
                </c:pt>
                <c:pt idx="186">
                  <c:v>1.0656615207021002E-3</c:v>
                </c:pt>
                <c:pt idx="187">
                  <c:v>-0.29883623873011983</c:v>
                </c:pt>
                <c:pt idx="188">
                  <c:v>-0.27884277871339841</c:v>
                </c:pt>
                <c:pt idx="189">
                  <c:v>-0.25884931869667688</c:v>
                </c:pt>
                <c:pt idx="190">
                  <c:v>-0.23885585867995546</c:v>
                </c:pt>
                <c:pt idx="191">
                  <c:v>-0.21886239866323393</c:v>
                </c:pt>
                <c:pt idx="192">
                  <c:v>-0.19886893864651248</c:v>
                </c:pt>
                <c:pt idx="193">
                  <c:v>-0.17887547862979106</c:v>
                </c:pt>
                <c:pt idx="194">
                  <c:v>-0.15888201861306958</c:v>
                </c:pt>
                <c:pt idx="195">
                  <c:v>-0.13888855859634811</c:v>
                </c:pt>
                <c:pt idx="196">
                  <c:v>-0.11889509857962667</c:v>
                </c:pt>
                <c:pt idx="197">
                  <c:v>-9.8901638562905195E-2</c:v>
                </c:pt>
                <c:pt idx="198">
                  <c:v>-7.8908178546183733E-2</c:v>
                </c:pt>
                <c:pt idx="199">
                  <c:v>-5.8914718529462284E-2</c:v>
                </c:pt>
                <c:pt idx="200">
                  <c:v>-0.29883623873011983</c:v>
                </c:pt>
                <c:pt idx="201">
                  <c:v>-0.27884277871339841</c:v>
                </c:pt>
                <c:pt idx="202">
                  <c:v>-0.25884931869667682</c:v>
                </c:pt>
                <c:pt idx="203">
                  <c:v>-0.23885585867995546</c:v>
                </c:pt>
                <c:pt idx="204">
                  <c:v>-0.2188623986632339</c:v>
                </c:pt>
                <c:pt idx="205">
                  <c:v>-0.19886893864651248</c:v>
                </c:pt>
                <c:pt idx="206">
                  <c:v>-0.17887547862979106</c:v>
                </c:pt>
                <c:pt idx="207">
                  <c:v>-0.15888201861306958</c:v>
                </c:pt>
                <c:pt idx="208">
                  <c:v>-0.13888855859634811</c:v>
                </c:pt>
                <c:pt idx="209">
                  <c:v>-0.11889509857962667</c:v>
                </c:pt>
                <c:pt idx="210">
                  <c:v>-9.8901638562905181E-2</c:v>
                </c:pt>
                <c:pt idx="211">
                  <c:v>-7.8908178546183719E-2</c:v>
                </c:pt>
                <c:pt idx="212">
                  <c:v>-0.29883623873011983</c:v>
                </c:pt>
                <c:pt idx="213">
                  <c:v>-0.27884277871339841</c:v>
                </c:pt>
                <c:pt idx="214">
                  <c:v>-0.25884931869667682</c:v>
                </c:pt>
                <c:pt idx="215">
                  <c:v>-0.23885585867995546</c:v>
                </c:pt>
                <c:pt idx="216">
                  <c:v>-0.2188623986632339</c:v>
                </c:pt>
                <c:pt idx="217">
                  <c:v>-0.19886893864651248</c:v>
                </c:pt>
                <c:pt idx="218">
                  <c:v>-0.17887547862979106</c:v>
                </c:pt>
                <c:pt idx="219">
                  <c:v>-0.15888201861306958</c:v>
                </c:pt>
                <c:pt idx="220">
                  <c:v>-0.13888855859634808</c:v>
                </c:pt>
                <c:pt idx="221">
                  <c:v>-0.11889509857962666</c:v>
                </c:pt>
                <c:pt idx="222">
                  <c:v>-0.29883623873011983</c:v>
                </c:pt>
                <c:pt idx="223">
                  <c:v>-0.27884277871339841</c:v>
                </c:pt>
                <c:pt idx="224">
                  <c:v>-0.25884931869667682</c:v>
                </c:pt>
                <c:pt idx="225">
                  <c:v>-0.23885585867995546</c:v>
                </c:pt>
                <c:pt idx="226">
                  <c:v>-0.2188623986632339</c:v>
                </c:pt>
                <c:pt idx="227">
                  <c:v>-0.19886893864651248</c:v>
                </c:pt>
                <c:pt idx="228">
                  <c:v>-0.17887547862979106</c:v>
                </c:pt>
                <c:pt idx="229">
                  <c:v>-0.15888201861306955</c:v>
                </c:pt>
                <c:pt idx="230">
                  <c:v>-0.13888855859634808</c:v>
                </c:pt>
                <c:pt idx="231">
                  <c:v>-0.29883623873011983</c:v>
                </c:pt>
                <c:pt idx="232">
                  <c:v>-0.27884277871339841</c:v>
                </c:pt>
                <c:pt idx="233">
                  <c:v>-0.25884931869667682</c:v>
                </c:pt>
                <c:pt idx="234">
                  <c:v>-0.23885585867995546</c:v>
                </c:pt>
                <c:pt idx="235">
                  <c:v>-0.2188623986632339</c:v>
                </c:pt>
                <c:pt idx="236">
                  <c:v>-0.19886893864651248</c:v>
                </c:pt>
                <c:pt idx="237">
                  <c:v>-0.17887547862979103</c:v>
                </c:pt>
                <c:pt idx="238">
                  <c:v>-0.15888201861306955</c:v>
                </c:pt>
                <c:pt idx="239">
                  <c:v>-0.29883623873011983</c:v>
                </c:pt>
                <c:pt idx="240">
                  <c:v>-0.27884277871339841</c:v>
                </c:pt>
                <c:pt idx="241">
                  <c:v>-0.25884931869667682</c:v>
                </c:pt>
                <c:pt idx="242">
                  <c:v>-0.23885585867995543</c:v>
                </c:pt>
                <c:pt idx="243">
                  <c:v>-0.2188623986632339</c:v>
                </c:pt>
                <c:pt idx="244">
                  <c:v>-0.19886893864651248</c:v>
                </c:pt>
                <c:pt idx="245">
                  <c:v>-0.17887547862979103</c:v>
                </c:pt>
                <c:pt idx="246">
                  <c:v>-0.15888201861306955</c:v>
                </c:pt>
                <c:pt idx="247">
                  <c:v>-0.29883623873011983</c:v>
                </c:pt>
                <c:pt idx="248">
                  <c:v>-0.27884277871339841</c:v>
                </c:pt>
                <c:pt idx="249">
                  <c:v>-0.25884931869667682</c:v>
                </c:pt>
                <c:pt idx="250">
                  <c:v>-0.23885585867995543</c:v>
                </c:pt>
                <c:pt idx="251">
                  <c:v>-0.2188623986632339</c:v>
                </c:pt>
                <c:pt idx="252">
                  <c:v>-0.19886893864651245</c:v>
                </c:pt>
                <c:pt idx="253">
                  <c:v>-0.17887547862979103</c:v>
                </c:pt>
                <c:pt idx="254">
                  <c:v>-0.29883623873011983</c:v>
                </c:pt>
                <c:pt idx="255">
                  <c:v>-0.27884277871339841</c:v>
                </c:pt>
                <c:pt idx="256">
                  <c:v>-0.25884931869667682</c:v>
                </c:pt>
                <c:pt idx="257">
                  <c:v>-0.23885585867995543</c:v>
                </c:pt>
                <c:pt idx="258">
                  <c:v>-0.2188623986632339</c:v>
                </c:pt>
                <c:pt idx="259">
                  <c:v>-0.19886893864651245</c:v>
                </c:pt>
                <c:pt idx="260">
                  <c:v>-0.29883623873011983</c:v>
                </c:pt>
                <c:pt idx="261">
                  <c:v>-0.27884277871339835</c:v>
                </c:pt>
                <c:pt idx="262">
                  <c:v>-0.25884931869667682</c:v>
                </c:pt>
                <c:pt idx="263">
                  <c:v>-0.23885585867995543</c:v>
                </c:pt>
                <c:pt idx="264">
                  <c:v>-0.21886239866323387</c:v>
                </c:pt>
                <c:pt idx="265">
                  <c:v>-0.19886893864651245</c:v>
                </c:pt>
                <c:pt idx="266">
                  <c:v>-0.29883623873011983</c:v>
                </c:pt>
                <c:pt idx="267">
                  <c:v>-0.27884277871339835</c:v>
                </c:pt>
                <c:pt idx="268">
                  <c:v>-0.25884931869667682</c:v>
                </c:pt>
                <c:pt idx="269">
                  <c:v>-0.23885585867995543</c:v>
                </c:pt>
                <c:pt idx="270">
                  <c:v>-0.21886239866323387</c:v>
                </c:pt>
                <c:pt idx="271">
                  <c:v>-0.19886893864651245</c:v>
                </c:pt>
                <c:pt idx="272">
                  <c:v>-0.29883623873011983</c:v>
                </c:pt>
                <c:pt idx="273">
                  <c:v>-0.27884277871339835</c:v>
                </c:pt>
                <c:pt idx="274">
                  <c:v>-0.25884931869667682</c:v>
                </c:pt>
                <c:pt idx="275">
                  <c:v>-0.23885585867995543</c:v>
                </c:pt>
                <c:pt idx="276">
                  <c:v>-0.21886239866323387</c:v>
                </c:pt>
                <c:pt idx="277">
                  <c:v>-0.29883623873011983</c:v>
                </c:pt>
                <c:pt idx="278">
                  <c:v>-0.27884277871339835</c:v>
                </c:pt>
                <c:pt idx="279">
                  <c:v>-0.25884931869667682</c:v>
                </c:pt>
                <c:pt idx="280">
                  <c:v>-0.23885585867995543</c:v>
                </c:pt>
                <c:pt idx="281">
                  <c:v>-0.21886239866323387</c:v>
                </c:pt>
                <c:pt idx="282">
                  <c:v>-0.29883623873011983</c:v>
                </c:pt>
                <c:pt idx="283">
                  <c:v>-0.27884277871339835</c:v>
                </c:pt>
                <c:pt idx="284">
                  <c:v>-0.25884931869667682</c:v>
                </c:pt>
                <c:pt idx="285">
                  <c:v>-0.23885585867995543</c:v>
                </c:pt>
                <c:pt idx="286">
                  <c:v>-0.21886239866323387</c:v>
                </c:pt>
                <c:pt idx="287">
                  <c:v>-0.29883623873011983</c:v>
                </c:pt>
                <c:pt idx="288">
                  <c:v>-0.27884277871339835</c:v>
                </c:pt>
                <c:pt idx="289">
                  <c:v>-0.25884931869667682</c:v>
                </c:pt>
                <c:pt idx="290">
                  <c:v>-0.2388558586799554</c:v>
                </c:pt>
                <c:pt idx="291">
                  <c:v>-0.29883623873011983</c:v>
                </c:pt>
                <c:pt idx="292">
                  <c:v>-0.27884277871339835</c:v>
                </c:pt>
                <c:pt idx="293">
                  <c:v>-0.25884931869667682</c:v>
                </c:pt>
                <c:pt idx="294">
                  <c:v>-0.2388558586799554</c:v>
                </c:pt>
                <c:pt idx="295">
                  <c:v>-0.29883623873011983</c:v>
                </c:pt>
                <c:pt idx="296">
                  <c:v>-0.27884277871339835</c:v>
                </c:pt>
                <c:pt idx="297">
                  <c:v>-0.25884931869667682</c:v>
                </c:pt>
                <c:pt idx="298">
                  <c:v>-0.2388558586799554</c:v>
                </c:pt>
                <c:pt idx="299">
                  <c:v>-0.29883623873011983</c:v>
                </c:pt>
                <c:pt idx="300">
                  <c:v>-0.27884277871339835</c:v>
                </c:pt>
                <c:pt idx="301">
                  <c:v>-0.25884931869667682</c:v>
                </c:pt>
                <c:pt idx="302">
                  <c:v>-0.2388558586799554</c:v>
                </c:pt>
                <c:pt idx="303">
                  <c:v>-0.29883623873011983</c:v>
                </c:pt>
                <c:pt idx="304">
                  <c:v>-0.27884277871339835</c:v>
                </c:pt>
                <c:pt idx="305">
                  <c:v>-0.25884931869667682</c:v>
                </c:pt>
                <c:pt idx="306">
                  <c:v>-0.2388558586799554</c:v>
                </c:pt>
                <c:pt idx="307">
                  <c:v>-0.29883623873011983</c:v>
                </c:pt>
                <c:pt idx="308">
                  <c:v>-0.27884277871339835</c:v>
                </c:pt>
                <c:pt idx="309">
                  <c:v>-0.25884931869667682</c:v>
                </c:pt>
                <c:pt idx="310">
                  <c:v>-0.29883623873011983</c:v>
                </c:pt>
                <c:pt idx="311">
                  <c:v>-0.27884277871339835</c:v>
                </c:pt>
                <c:pt idx="312">
                  <c:v>-0.25884931869667682</c:v>
                </c:pt>
                <c:pt idx="313">
                  <c:v>-0.29883623873011983</c:v>
                </c:pt>
                <c:pt idx="314">
                  <c:v>-0.27884277871339835</c:v>
                </c:pt>
                <c:pt idx="315">
                  <c:v>-0.25884931869667682</c:v>
                </c:pt>
                <c:pt idx="316">
                  <c:v>-0.29883623873011983</c:v>
                </c:pt>
                <c:pt idx="317">
                  <c:v>-0.27884277871339835</c:v>
                </c:pt>
                <c:pt idx="318">
                  <c:v>-0.25884931869667682</c:v>
                </c:pt>
                <c:pt idx="319">
                  <c:v>-0.29883623873011983</c:v>
                </c:pt>
                <c:pt idx="320">
                  <c:v>-0.27884277871339835</c:v>
                </c:pt>
                <c:pt idx="321">
                  <c:v>-0.25884931869667682</c:v>
                </c:pt>
                <c:pt idx="322">
                  <c:v>-0.29883623873011983</c:v>
                </c:pt>
                <c:pt idx="323">
                  <c:v>-0.27884277871339835</c:v>
                </c:pt>
                <c:pt idx="324">
                  <c:v>-0.25884931869667682</c:v>
                </c:pt>
                <c:pt idx="325">
                  <c:v>-0.29883623873011983</c:v>
                </c:pt>
                <c:pt idx="326">
                  <c:v>-0.27884277871339835</c:v>
                </c:pt>
                <c:pt idx="327">
                  <c:v>-0.25884931869667677</c:v>
                </c:pt>
                <c:pt idx="328">
                  <c:v>-0.29883623873011977</c:v>
                </c:pt>
                <c:pt idx="329">
                  <c:v>-0.27884277871339835</c:v>
                </c:pt>
                <c:pt idx="330">
                  <c:v>-0.25884931869667677</c:v>
                </c:pt>
                <c:pt idx="331">
                  <c:v>-0.29883623873011977</c:v>
                </c:pt>
                <c:pt idx="332">
                  <c:v>-0.27884277871339835</c:v>
                </c:pt>
                <c:pt idx="333">
                  <c:v>-0.29883623873011977</c:v>
                </c:pt>
                <c:pt idx="334">
                  <c:v>-0.27884277871339835</c:v>
                </c:pt>
                <c:pt idx="335">
                  <c:v>-0.29883623873011977</c:v>
                </c:pt>
                <c:pt idx="336">
                  <c:v>-0.27884277871339835</c:v>
                </c:pt>
                <c:pt idx="337">
                  <c:v>-0.29883623873011977</c:v>
                </c:pt>
                <c:pt idx="338">
                  <c:v>-0.27884277871339835</c:v>
                </c:pt>
                <c:pt idx="339">
                  <c:v>-0.29883623873011977</c:v>
                </c:pt>
                <c:pt idx="340">
                  <c:v>-0.27884277871339835</c:v>
                </c:pt>
                <c:pt idx="341">
                  <c:v>-0.29883623873011977</c:v>
                </c:pt>
                <c:pt idx="342">
                  <c:v>-0.27884277871339835</c:v>
                </c:pt>
                <c:pt idx="343">
                  <c:v>-0.29883623873011977</c:v>
                </c:pt>
                <c:pt idx="344">
                  <c:v>-0.27884277871339835</c:v>
                </c:pt>
                <c:pt idx="345">
                  <c:v>-0.29883623873011977</c:v>
                </c:pt>
                <c:pt idx="346">
                  <c:v>-0.27884277871339835</c:v>
                </c:pt>
                <c:pt idx="347">
                  <c:v>-0.29883623873011972</c:v>
                </c:pt>
                <c:pt idx="348">
                  <c:v>-0.27884277871339835</c:v>
                </c:pt>
                <c:pt idx="349">
                  <c:v>-0.29883623873011972</c:v>
                </c:pt>
                <c:pt idx="350">
                  <c:v>-0.27884277871339835</c:v>
                </c:pt>
                <c:pt idx="351">
                  <c:v>-0.29883623873011972</c:v>
                </c:pt>
                <c:pt idx="352">
                  <c:v>-0.27884277871339835</c:v>
                </c:pt>
                <c:pt idx="353">
                  <c:v>-0.29883623873011972</c:v>
                </c:pt>
                <c:pt idx="354">
                  <c:v>-0.27884277871339835</c:v>
                </c:pt>
                <c:pt idx="355">
                  <c:v>-0.29883623873011972</c:v>
                </c:pt>
                <c:pt idx="356">
                  <c:v>-0.27884277871339835</c:v>
                </c:pt>
                <c:pt idx="357">
                  <c:v>-0.29883623873011972</c:v>
                </c:pt>
                <c:pt idx="358">
                  <c:v>-0.27884277871339835</c:v>
                </c:pt>
                <c:pt idx="359">
                  <c:v>-0.29883623873011972</c:v>
                </c:pt>
                <c:pt idx="360">
                  <c:v>-0.2788427787133983</c:v>
                </c:pt>
                <c:pt idx="361">
                  <c:v>-0.29883623873011972</c:v>
                </c:pt>
                <c:pt idx="362">
                  <c:v>-0.2788427787133983</c:v>
                </c:pt>
                <c:pt idx="363">
                  <c:v>-0.29883623873011972</c:v>
                </c:pt>
                <c:pt idx="364">
                  <c:v>-0.29883623873011972</c:v>
                </c:pt>
                <c:pt idx="365">
                  <c:v>-0.29883623873011972</c:v>
                </c:pt>
                <c:pt idx="366">
                  <c:v>-0.29883623873011972</c:v>
                </c:pt>
                <c:pt idx="367">
                  <c:v>-0.29883623873011972</c:v>
                </c:pt>
                <c:pt idx="368">
                  <c:v>-0.29883623873011972</c:v>
                </c:pt>
                <c:pt idx="369">
                  <c:v>-0.29883623873011972</c:v>
                </c:pt>
                <c:pt idx="370">
                  <c:v>-0.29883623873011972</c:v>
                </c:pt>
                <c:pt idx="371">
                  <c:v>-0.29883623873011972</c:v>
                </c:pt>
                <c:pt idx="372">
                  <c:v>-0.29883623873011972</c:v>
                </c:pt>
                <c:pt idx="373">
                  <c:v>-0.29883623873011972</c:v>
                </c:pt>
                <c:pt idx="374">
                  <c:v>-0.29883623873011972</c:v>
                </c:pt>
                <c:pt idx="375">
                  <c:v>-0.29883623873011972</c:v>
                </c:pt>
                <c:pt idx="376">
                  <c:v>-0.29883623873011972</c:v>
                </c:pt>
                <c:pt idx="377">
                  <c:v>-0.29883623873011972</c:v>
                </c:pt>
                <c:pt idx="378">
                  <c:v>-0.29883623873011972</c:v>
                </c:pt>
              </c:numCache>
            </c:numRef>
          </c:xVal>
          <c:yVal>
            <c:numRef>
              <c:f>plot!$N$33:$N$411</c:f>
              <c:numCache>
                <c:formatCode>General</c:formatCode>
                <c:ptCount val="379"/>
                <c:pt idx="0">
                  <c:v>-2.0120657867112091E-2</c:v>
                </c:pt>
                <c:pt idx="1">
                  <c:v>-8.7904321610838831E-2</c:v>
                </c:pt>
                <c:pt idx="2">
                  <c:v>-0.11564665870050178</c:v>
                </c:pt>
                <c:pt idx="3">
                  <c:v>-0.12178775377941975</c:v>
                </c:pt>
                <c:pt idx="4">
                  <c:v>-0.12397740214905523</c:v>
                </c:pt>
                <c:pt idx="5">
                  <c:v>-0.12498161650590583</c:v>
                </c:pt>
                <c:pt idx="6">
                  <c:v>-0.11768779277326297</c:v>
                </c:pt>
                <c:pt idx="7">
                  <c:v>-0.11632113910454406</c:v>
                </c:pt>
                <c:pt idx="8">
                  <c:v>-0.10771016646880699</c:v>
                </c:pt>
                <c:pt idx="9">
                  <c:v>-0.10410435966482784</c:v>
                </c:pt>
                <c:pt idx="10">
                  <c:v>-8.8907642513619822E-2</c:v>
                </c:pt>
                <c:pt idx="11">
                  <c:v>-7.5818363607362493E-2</c:v>
                </c:pt>
                <c:pt idx="12">
                  <c:v>-7.194912702276457E-2</c:v>
                </c:pt>
                <c:pt idx="13">
                  <c:v>-5.9254992787435457E-2</c:v>
                </c:pt>
                <c:pt idx="14">
                  <c:v>-5.077573504200783E-2</c:v>
                </c:pt>
                <c:pt idx="15">
                  <c:v>-3.729131146482223E-2</c:v>
                </c:pt>
                <c:pt idx="16">
                  <c:v>-1.47185604562865E-2</c:v>
                </c:pt>
                <c:pt idx="17">
                  <c:v>-5.8441580399307136E-3</c:v>
                </c:pt>
                <c:pt idx="18">
                  <c:v>6.981691085707814E-3</c:v>
                </c:pt>
                <c:pt idx="19">
                  <c:v>2.4285846481866658E-2</c:v>
                </c:pt>
                <c:pt idx="20">
                  <c:v>2.5257355479657351E-2</c:v>
                </c:pt>
                <c:pt idx="21">
                  <c:v>2.7019153819304503E-2</c:v>
                </c:pt>
                <c:pt idx="22">
                  <c:v>2.9834671281427111E-2</c:v>
                </c:pt>
                <c:pt idx="23">
                  <c:v>3.0279320717980035E-2</c:v>
                </c:pt>
                <c:pt idx="24">
                  <c:v>3.7704859340932373E-2</c:v>
                </c:pt>
                <c:pt idx="25">
                  <c:v>4.1837525706149126E-2</c:v>
                </c:pt>
                <c:pt idx="26">
                  <c:v>5.0053353670957895E-2</c:v>
                </c:pt>
                <c:pt idx="27">
                  <c:v>5.5634883829578291E-2</c:v>
                </c:pt>
                <c:pt idx="28">
                  <c:v>7.8602779509042153E-2</c:v>
                </c:pt>
                <c:pt idx="29">
                  <c:v>8.4711169228900318E-2</c:v>
                </c:pt>
                <c:pt idx="30">
                  <c:v>8.79218313619511E-2</c:v>
                </c:pt>
                <c:pt idx="31">
                  <c:v>9.3503361520571524E-2</c:v>
                </c:pt>
                <c:pt idx="32">
                  <c:v>0.12239842726395929</c:v>
                </c:pt>
                <c:pt idx="33">
                  <c:v>0.1252139447260818</c:v>
                </c:pt>
                <c:pt idx="34">
                  <c:v>0.12328772613706532</c:v>
                </c:pt>
                <c:pt idx="35">
                  <c:v>0.12478609469609367</c:v>
                </c:pt>
                <c:pt idx="36">
                  <c:v>0.13168477375780827</c:v>
                </c:pt>
                <c:pt idx="37">
                  <c:v>0.13226113808467069</c:v>
                </c:pt>
                <c:pt idx="38">
                  <c:v>0.1353400853274121</c:v>
                </c:pt>
                <c:pt idx="39">
                  <c:v>0.13670673899613109</c:v>
                </c:pt>
                <c:pt idx="40">
                  <c:v>0.14373713294815504</c:v>
                </c:pt>
                <c:pt idx="41">
                  <c:v>0.14325977815254207</c:v>
                </c:pt>
                <c:pt idx="42">
                  <c:v>0.14475814671157042</c:v>
                </c:pt>
                <c:pt idx="43">
                  <c:v>0.14612480038028938</c:v>
                </c:pt>
                <c:pt idx="44">
                  <c:v>0.1564480665900489</c:v>
                </c:pt>
                <c:pt idx="45">
                  <c:v>0.16137102229712219</c:v>
                </c:pt>
                <c:pt idx="46">
                  <c:v>0.16352796530769764</c:v>
                </c:pt>
                <c:pt idx="47">
                  <c:v>0.16528976364734493</c:v>
                </c:pt>
                <c:pt idx="48">
                  <c:v>-9.1246698634199097E-2</c:v>
                </c:pt>
                <c:pt idx="49">
                  <c:v>-0.11451072945334168</c:v>
                </c:pt>
                <c:pt idx="50">
                  <c:v>-0.11419779490709819</c:v>
                </c:pt>
                <c:pt idx="51">
                  <c:v>-0.10124023089115025</c:v>
                </c:pt>
                <c:pt idx="52">
                  <c:v>-8.2882356372516008E-2</c:v>
                </c:pt>
                <c:pt idx="53">
                  <c:v>-5.6753303325626114E-2</c:v>
                </c:pt>
                <c:pt idx="54">
                  <c:v>-2.970224604657018E-2</c:v>
                </c:pt>
                <c:pt idx="55">
                  <c:v>-8.1832141605099884E-3</c:v>
                </c:pt>
                <c:pt idx="56">
                  <c:v>2.3477864279375704E-2</c:v>
                </c:pt>
                <c:pt idx="57">
                  <c:v>5.3953508706476527E-2</c:v>
                </c:pt>
                <c:pt idx="58">
                  <c:v>7.2574813005729488E-2</c:v>
                </c:pt>
                <c:pt idx="59">
                  <c:v>7.8946632506206482E-2</c:v>
                </c:pt>
                <c:pt idx="60">
                  <c:v>7.9522996833068821E-2</c:v>
                </c:pt>
                <c:pt idx="61">
                  <c:v>8.0757935611478399E-2</c:v>
                </c:pt>
                <c:pt idx="62">
                  <c:v>9.4769218749901712E-2</c:v>
                </c:pt>
                <c:pt idx="63">
                  <c:v>0.10785849765615901</c:v>
                </c:pt>
                <c:pt idx="64">
                  <c:v>0.1251626530523178</c:v>
                </c:pt>
                <c:pt idx="65">
                  <c:v>0.13153447255279471</c:v>
                </c:pt>
                <c:pt idx="66">
                  <c:v>0.14106744942069771</c:v>
                </c:pt>
                <c:pt idx="67">
                  <c:v>0.15191757519169499</c:v>
                </c:pt>
                <c:pt idx="68">
                  <c:v>0.15104507572515377</c:v>
                </c:pt>
                <c:pt idx="69">
                  <c:v>0.15939261858027201</c:v>
                </c:pt>
                <c:pt idx="70">
                  <c:v>0.21318179859214023</c:v>
                </c:pt>
                <c:pt idx="71">
                  <c:v>0.23061766887860846</c:v>
                </c:pt>
                <c:pt idx="72">
                  <c:v>0.15756540952250492</c:v>
                </c:pt>
                <c:pt idx="73">
                  <c:v>0.16591295237762305</c:v>
                </c:pt>
                <c:pt idx="74">
                  <c:v>0.17834365683233339</c:v>
                </c:pt>
                <c:pt idx="75">
                  <c:v>0.1884034932614741</c:v>
                </c:pt>
                <c:pt idx="76">
                  <c:v>0.22190858016569162</c:v>
                </c:pt>
                <c:pt idx="77">
                  <c:v>0.23763215687813732</c:v>
                </c:pt>
                <c:pt idx="78">
                  <c:v>0.25045800600377577</c:v>
                </c:pt>
                <c:pt idx="79">
                  <c:v>0.266313297606531</c:v>
                </c:pt>
                <c:pt idx="80">
                  <c:v>0.30890671194209851</c:v>
                </c:pt>
                <c:pt idx="81">
                  <c:v>0.32067884194526169</c:v>
                </c:pt>
                <c:pt idx="82">
                  <c:v>0.33231925705811532</c:v>
                </c:pt>
                <c:pt idx="83">
                  <c:v>0.34303766793880319</c:v>
                </c:pt>
                <c:pt idx="84">
                  <c:v>0.35981496377372429</c:v>
                </c:pt>
                <c:pt idx="85">
                  <c:v>0.37316767246060045</c:v>
                </c:pt>
                <c:pt idx="86">
                  <c:v>0.3859935215862389</c:v>
                </c:pt>
                <c:pt idx="87">
                  <c:v>0.39684364735723621</c:v>
                </c:pt>
                <c:pt idx="88">
                  <c:v>0.41638695588865515</c:v>
                </c:pt>
                <c:pt idx="89">
                  <c:v>0.42908109012398421</c:v>
                </c:pt>
                <c:pt idx="90">
                  <c:v>0.44190693924962265</c:v>
                </c:pt>
                <c:pt idx="91">
                  <c:v>0.45539136282680825</c:v>
                </c:pt>
                <c:pt idx="92">
                  <c:v>0.4778323989450346</c:v>
                </c:pt>
                <c:pt idx="93">
                  <c:v>0.49078996296098254</c:v>
                </c:pt>
                <c:pt idx="94">
                  <c:v>0.50980641193116372</c:v>
                </c:pt>
                <c:pt idx="95">
                  <c:v>0.52421283974051525</c:v>
                </c:pt>
                <c:pt idx="96">
                  <c:v>-0.10836963437442371</c:v>
                </c:pt>
                <c:pt idx="97">
                  <c:v>-0.10871527427972721</c:v>
                </c:pt>
                <c:pt idx="98">
                  <c:v>-8.6274238161501038E-2</c:v>
                </c:pt>
                <c:pt idx="99">
                  <c:v>-4.947627899954804E-2</c:v>
                </c:pt>
                <c:pt idx="100">
                  <c:v>-7.2780093349087416E-3</c:v>
                </c:pt>
                <c:pt idx="101">
                  <c:v>3.3076251865398532E-2</c:v>
                </c:pt>
                <c:pt idx="102">
                  <c:v>8.6470287206338564E-2</c:v>
                </c:pt>
                <c:pt idx="103">
                  <c:v>9.0471238681245875E-2</c:v>
                </c:pt>
                <c:pt idx="104">
                  <c:v>0.10474595160028802</c:v>
                </c:pt>
                <c:pt idx="105">
                  <c:v>0.12323554100923159</c:v>
                </c:pt>
                <c:pt idx="106">
                  <c:v>0.13434909656084759</c:v>
                </c:pt>
                <c:pt idx="107">
                  <c:v>0.1445406478802978</c:v>
                </c:pt>
                <c:pt idx="108">
                  <c:v>0.18502662397091452</c:v>
                </c:pt>
                <c:pt idx="109">
                  <c:v>0.20035505601243206</c:v>
                </c:pt>
                <c:pt idx="110">
                  <c:v>0.25980797630760538</c:v>
                </c:pt>
                <c:pt idx="111">
                  <c:v>0.28251244220645044</c:v>
                </c:pt>
                <c:pt idx="112">
                  <c:v>0.2053770212507548</c:v>
                </c:pt>
                <c:pt idx="113">
                  <c:v>0.21952001927948755</c:v>
                </c:pt>
                <c:pt idx="114">
                  <c:v>0.23629731511440863</c:v>
                </c:pt>
                <c:pt idx="115">
                  <c:v>0.25439175985242396</c:v>
                </c:pt>
                <c:pt idx="116">
                  <c:v>0.26537360051373066</c:v>
                </c:pt>
                <c:pt idx="117">
                  <c:v>0.284126619703293</c:v>
                </c:pt>
                <c:pt idx="118">
                  <c:v>0.30366992823471206</c:v>
                </c:pt>
                <c:pt idx="119">
                  <c:v>0.32281809209520274</c:v>
                </c:pt>
                <c:pt idx="120">
                  <c:v>0.31061811206205131</c:v>
                </c:pt>
                <c:pt idx="121">
                  <c:v>0.33556173109615645</c:v>
                </c:pt>
                <c:pt idx="122">
                  <c:v>0.35866134166592978</c:v>
                </c:pt>
                <c:pt idx="123">
                  <c:v>0.38189266712601244</c:v>
                </c:pt>
                <c:pt idx="124">
                  <c:v>0.43383783867354886</c:v>
                </c:pt>
                <c:pt idx="125">
                  <c:v>0.46339147886848375</c:v>
                </c:pt>
                <c:pt idx="126">
                  <c:v>0.48780823834135134</c:v>
                </c:pt>
                <c:pt idx="127">
                  <c:v>0.52144504013587811</c:v>
                </c:pt>
                <c:pt idx="128">
                  <c:v>-0.11258451086432519</c:v>
                </c:pt>
                <c:pt idx="129">
                  <c:v>-9.4094921455381564E-2</c:v>
                </c:pt>
                <c:pt idx="130">
                  <c:v>-4.29400392497018E-2</c:v>
                </c:pt>
                <c:pt idx="131">
                  <c:v>7.8196982850498031E-3</c:v>
                </c:pt>
                <c:pt idx="132">
                  <c:v>7.8336669366214445E-2</c:v>
                </c:pt>
                <c:pt idx="133">
                  <c:v>9.7484833226705064E-2</c:v>
                </c:pt>
                <c:pt idx="134">
                  <c:v>0.12677504364102113</c:v>
                </c:pt>
                <c:pt idx="135">
                  <c:v>0.13604459072830533</c:v>
                </c:pt>
                <c:pt idx="136">
                  <c:v>0.16533480114262145</c:v>
                </c:pt>
                <c:pt idx="137">
                  <c:v>0.19515187111817511</c:v>
                </c:pt>
                <c:pt idx="138">
                  <c:v>0.29807070521545709</c:v>
                </c:pt>
                <c:pt idx="139">
                  <c:v>0.31932630732089851</c:v>
                </c:pt>
                <c:pt idx="140">
                  <c:v>0.2157161934130094</c:v>
                </c:pt>
                <c:pt idx="141">
                  <c:v>0.23894751887309224</c:v>
                </c:pt>
                <c:pt idx="142">
                  <c:v>0.27403318446102282</c:v>
                </c:pt>
                <c:pt idx="143">
                  <c:v>0.30714312669431193</c:v>
                </c:pt>
                <c:pt idx="144">
                  <c:v>0.30600719744715194</c:v>
                </c:pt>
                <c:pt idx="145">
                  <c:v>0.33279482494558893</c:v>
                </c:pt>
                <c:pt idx="146">
                  <c:v>0.36300703959207109</c:v>
                </c:pt>
                <c:pt idx="147">
                  <c:v>0.39111181599360234</c:v>
                </c:pt>
                <c:pt idx="148">
                  <c:v>0.41210398831842487</c:v>
                </c:pt>
                <c:pt idx="149">
                  <c:v>0.4419210582939786</c:v>
                </c:pt>
                <c:pt idx="150">
                  <c:v>0.47160641337922282</c:v>
                </c:pt>
                <c:pt idx="151">
                  <c:v>0.50814094276055699</c:v>
                </c:pt>
                <c:pt idx="152">
                  <c:v>-0.10678905569071068</c:v>
                </c:pt>
                <c:pt idx="153">
                  <c:v>-7.1044815651232995E-2</c:v>
                </c:pt>
                <c:pt idx="154">
                  <c:v>1.4478787845728647E-3</c:v>
                </c:pt>
                <c:pt idx="155">
                  <c:v>7.499429234285418E-2</c:v>
                </c:pt>
                <c:pt idx="156">
                  <c:v>0.11508512376254273</c:v>
                </c:pt>
                <c:pt idx="157">
                  <c:v>0.13317956850055804</c:v>
                </c:pt>
                <c:pt idx="158">
                  <c:v>0.17037267233343928</c:v>
                </c:pt>
                <c:pt idx="159">
                  <c:v>0.18780854261990748</c:v>
                </c:pt>
                <c:pt idx="160">
                  <c:v>0.20563955757730407</c:v>
                </c:pt>
                <c:pt idx="161">
                  <c:v>0.23479805310131066</c:v>
                </c:pt>
                <c:pt idx="162">
                  <c:v>0.30110014769257387</c:v>
                </c:pt>
                <c:pt idx="163">
                  <c:v>0.32248746468832468</c:v>
                </c:pt>
                <c:pt idx="164">
                  <c:v>0.29197911490216383</c:v>
                </c:pt>
                <c:pt idx="165">
                  <c:v>0.32759164005133212</c:v>
                </c:pt>
                <c:pt idx="166">
                  <c:v>0.3733462117543257</c:v>
                </c:pt>
                <c:pt idx="167">
                  <c:v>0.41778363455422507</c:v>
                </c:pt>
                <c:pt idx="168">
                  <c:v>0.42692146675119985</c:v>
                </c:pt>
                <c:pt idx="169">
                  <c:v>0.4676708726224354</c:v>
                </c:pt>
                <c:pt idx="170">
                  <c:v>0.51158143586109717</c:v>
                </c:pt>
                <c:pt idx="171">
                  <c:v>-0.10415475788452228</c:v>
                </c:pt>
                <c:pt idx="172">
                  <c:v>-4.2330969563779353E-2</c:v>
                </c:pt>
                <c:pt idx="173">
                  <c:v>4.939209885720186E-2</c:v>
                </c:pt>
                <c:pt idx="174">
                  <c:v>0.10568386178494912</c:v>
                </c:pt>
                <c:pt idx="175">
                  <c:v>0.14893585057206374</c:v>
                </c:pt>
                <c:pt idx="176">
                  <c:v>0.16479114217481883</c:v>
                </c:pt>
                <c:pt idx="177">
                  <c:v>0.29392123944367565</c:v>
                </c:pt>
                <c:pt idx="178">
                  <c:v>0.31148882462045319</c:v>
                </c:pt>
                <c:pt idx="179">
                  <c:v>0.25305691808869529</c:v>
                </c:pt>
                <c:pt idx="180">
                  <c:v>0.28880115812817303</c:v>
                </c:pt>
                <c:pt idx="181">
                  <c:v>0.33034085334126512</c:v>
                </c:pt>
                <c:pt idx="182">
                  <c:v>0.37029996987064429</c:v>
                </c:pt>
                <c:pt idx="183">
                  <c:v>0.380359806299785</c:v>
                </c:pt>
                <c:pt idx="184">
                  <c:v>0.42664123756401623</c:v>
                </c:pt>
                <c:pt idx="185">
                  <c:v>0.4876747365429025</c:v>
                </c:pt>
                <c:pt idx="186">
                  <c:v>0.54831309085086066</c:v>
                </c:pt>
                <c:pt idx="187">
                  <c:v>-9.6251864465957071E-2</c:v>
                </c:pt>
                <c:pt idx="188">
                  <c:v>-1.6514851063132996E-2</c:v>
                </c:pt>
                <c:pt idx="189">
                  <c:v>0.10207805498097006</c:v>
                </c:pt>
                <c:pt idx="190">
                  <c:v>0.12478252087981503</c:v>
                </c:pt>
                <c:pt idx="191">
                  <c:v>0.19213833459355364</c:v>
                </c:pt>
                <c:pt idx="192">
                  <c:v>0.25066925065656093</c:v>
                </c:pt>
                <c:pt idx="193">
                  <c:v>0.29721411170141104</c:v>
                </c:pt>
                <c:pt idx="194">
                  <c:v>0.31517684154911707</c:v>
                </c:pt>
                <c:pt idx="195">
                  <c:v>0.30666487844462936</c:v>
                </c:pt>
                <c:pt idx="196">
                  <c:v>0.35479031817319268</c:v>
                </c:pt>
                <c:pt idx="197">
                  <c:v>0.40489148125639696</c:v>
                </c:pt>
                <c:pt idx="198">
                  <c:v>0.45696836769424276</c:v>
                </c:pt>
                <c:pt idx="199">
                  <c:v>0.47558967199349583</c:v>
                </c:pt>
                <c:pt idx="200">
                  <c:v>-8.7953826376463595E-2</c:v>
                </c:pt>
                <c:pt idx="201">
                  <c:v>1.5096722611127877E-2</c:v>
                </c:pt>
                <c:pt idx="202">
                  <c:v>0.12223043319831128</c:v>
                </c:pt>
                <c:pt idx="203">
                  <c:v>0.14849120113551076</c:v>
                </c:pt>
                <c:pt idx="204">
                  <c:v>0.27077212410827756</c:v>
                </c:pt>
                <c:pt idx="205">
                  <c:v>0.33127876352592617</c:v>
                </c:pt>
                <c:pt idx="206">
                  <c:v>0.30024355417852783</c:v>
                </c:pt>
                <c:pt idx="207">
                  <c:v>0.33704151334048077</c:v>
                </c:pt>
                <c:pt idx="208">
                  <c:v>0.36685858331603455</c:v>
                </c:pt>
                <c:pt idx="209">
                  <c:v>0.4255212142693513</c:v>
                </c:pt>
                <c:pt idx="210">
                  <c:v>0.4882670068222601</c:v>
                </c:pt>
                <c:pt idx="211">
                  <c:v>0.55562282053599876</c:v>
                </c:pt>
                <c:pt idx="212">
                  <c:v>-7.7548350042019432E-2</c:v>
                </c:pt>
                <c:pt idx="213">
                  <c:v>4.4469143150128621E-2</c:v>
                </c:pt>
                <c:pt idx="214">
                  <c:v>0.13434820310677797</c:v>
                </c:pt>
                <c:pt idx="215">
                  <c:v>0.16403355819202231</c:v>
                </c:pt>
                <c:pt idx="216">
                  <c:v>0.27182584323075287</c:v>
                </c:pt>
                <c:pt idx="217">
                  <c:v>0.33338620177087691</c:v>
                </c:pt>
                <c:pt idx="218">
                  <c:v>0.33593828945238075</c:v>
                </c:pt>
                <c:pt idx="219">
                  <c:v>0.39130804814796194</c:v>
                </c:pt>
                <c:pt idx="220">
                  <c:v>0.43166230934826932</c:v>
                </c:pt>
                <c:pt idx="221">
                  <c:v>0.50191585064881505</c:v>
                </c:pt>
                <c:pt idx="222">
                  <c:v>-6.85917375009788E-2</c:v>
                </c:pt>
                <c:pt idx="223">
                  <c:v>7.9110159301506139E-2</c:v>
                </c:pt>
                <c:pt idx="224">
                  <c:v>0.1463342581249352</c:v>
                </c:pt>
                <c:pt idx="225">
                  <c:v>0.18379079173843538</c:v>
                </c:pt>
                <c:pt idx="226">
                  <c:v>0.27340642191446596</c:v>
                </c:pt>
                <c:pt idx="227">
                  <c:v>0.33509849534489938</c:v>
                </c:pt>
                <c:pt idx="228">
                  <c:v>0.38361907974439091</c:v>
                </c:pt>
                <c:pt idx="229">
                  <c:v>0.4484723105422504</c:v>
                </c:pt>
                <c:pt idx="230">
                  <c:v>0.50054919698009614</c:v>
                </c:pt>
                <c:pt idx="231">
                  <c:v>-0.10573533656823531</c:v>
                </c:pt>
                <c:pt idx="232">
                  <c:v>9.504766102894599E-2</c:v>
                </c:pt>
                <c:pt idx="233">
                  <c:v>0.1588471727043301</c:v>
                </c:pt>
                <c:pt idx="234">
                  <c:v>0.1990697190143281</c:v>
                </c:pt>
                <c:pt idx="235">
                  <c:v>0.2914513618868565</c:v>
                </c:pt>
                <c:pt idx="236">
                  <c:v>0.35103599707233929</c:v>
                </c:pt>
                <c:pt idx="237">
                  <c:v>0.43156329981701991</c:v>
                </c:pt>
                <c:pt idx="238">
                  <c:v>0.510114879207059</c:v>
                </c:pt>
                <c:pt idx="239">
                  <c:v>-9.4934715562862815E-2</c:v>
                </c:pt>
                <c:pt idx="240">
                  <c:v>0.10413598846029604</c:v>
                </c:pt>
                <c:pt idx="241">
                  <c:v>0.17030636816124975</c:v>
                </c:pt>
                <c:pt idx="242">
                  <c:v>0.22198810992816728</c:v>
                </c:pt>
                <c:pt idx="243">
                  <c:v>0.32398493979328347</c:v>
                </c:pt>
                <c:pt idx="244">
                  <c:v>0.39147246839733124</c:v>
                </c:pt>
                <c:pt idx="245">
                  <c:v>0.48451268572140682</c:v>
                </c:pt>
                <c:pt idx="246">
                  <c:v>0.57873833705826705</c:v>
                </c:pt>
                <c:pt idx="247">
                  <c:v>-8.189494142223025E-2</c:v>
                </c:pt>
                <c:pt idx="248">
                  <c:v>0.11045830319514818</c:v>
                </c:pt>
                <c:pt idx="249">
                  <c:v>0.18558529543714247</c:v>
                </c:pt>
                <c:pt idx="250">
                  <c:v>0.24121848391334264</c:v>
                </c:pt>
                <c:pt idx="251">
                  <c:v>0.35704537726094793</c:v>
                </c:pt>
                <c:pt idx="252">
                  <c:v>0.43586038643160596</c:v>
                </c:pt>
                <c:pt idx="253">
                  <c:v>0.53719864184517496</c:v>
                </c:pt>
                <c:pt idx="254">
                  <c:v>-6.635258436571867E-2</c:v>
                </c:pt>
                <c:pt idx="255">
                  <c:v>0.11664890303969094</c:v>
                </c:pt>
                <c:pt idx="256">
                  <c:v>0.19599077177158666</c:v>
                </c:pt>
                <c:pt idx="257">
                  <c:v>0.26176600680161216</c:v>
                </c:pt>
                <c:pt idx="258">
                  <c:v>0.39076438918015954</c:v>
                </c:pt>
                <c:pt idx="259">
                  <c:v>0.47827258111123938</c:v>
                </c:pt>
                <c:pt idx="260">
                  <c:v>-5.0019937967350547E-2</c:v>
                </c:pt>
                <c:pt idx="261">
                  <c:v>0.12428836667763737</c:v>
                </c:pt>
                <c:pt idx="262">
                  <c:v>0.21021597992500413</c:v>
                </c:pt>
                <c:pt idx="263">
                  <c:v>0.28573811683792671</c:v>
                </c:pt>
                <c:pt idx="264">
                  <c:v>0.42408825642844289</c:v>
                </c:pt>
                <c:pt idx="265">
                  <c:v>0.52476793739046468</c:v>
                </c:pt>
                <c:pt idx="266">
                  <c:v>-3.6980163826717871E-2</c:v>
                </c:pt>
                <c:pt idx="267">
                  <c:v>0.13205954520589311</c:v>
                </c:pt>
                <c:pt idx="268">
                  <c:v>0.22839263478770411</c:v>
                </c:pt>
                <c:pt idx="269">
                  <c:v>0.31181766511919207</c:v>
                </c:pt>
                <c:pt idx="270">
                  <c:v>0.46110014060538995</c:v>
                </c:pt>
                <c:pt idx="271">
                  <c:v>0.57705874884330455</c:v>
                </c:pt>
                <c:pt idx="272">
                  <c:v>-2.3150100344228819E-2</c:v>
                </c:pt>
                <c:pt idx="273">
                  <c:v>0.14167473219848079</c:v>
                </c:pt>
                <c:pt idx="274">
                  <c:v>0.24419842162483454</c:v>
                </c:pt>
                <c:pt idx="275">
                  <c:v>0.3371069240586006</c:v>
                </c:pt>
                <c:pt idx="276">
                  <c:v>0.4983754545629559</c:v>
                </c:pt>
                <c:pt idx="277">
                  <c:v>-7.08088372647947E-3</c:v>
                </c:pt>
                <c:pt idx="278">
                  <c:v>0.14720675759147647</c:v>
                </c:pt>
                <c:pt idx="279">
                  <c:v>0.2584236297782519</c:v>
                </c:pt>
                <c:pt idx="280">
                  <c:v>0.36410847657203171</c:v>
                </c:pt>
                <c:pt idx="281">
                  <c:v>0.53788992165578209</c:v>
                </c:pt>
                <c:pt idx="282">
                  <c:v>9.9103371234357529E-3</c:v>
                </c:pt>
                <c:pt idx="283">
                  <c:v>0.15642679991313593</c:v>
                </c:pt>
                <c:pt idx="284">
                  <c:v>0.27475627617662013</c:v>
                </c:pt>
                <c:pt idx="285">
                  <c:v>0.39348089711103262</c:v>
                </c:pt>
                <c:pt idx="286">
                  <c:v>0.58109240567727194</c:v>
                </c:pt>
                <c:pt idx="287">
                  <c:v>2.532097928963789E-2</c:v>
                </c:pt>
                <c:pt idx="288">
                  <c:v>0.16735913580881784</c:v>
                </c:pt>
                <c:pt idx="289">
                  <c:v>0.29280121614901067</c:v>
                </c:pt>
                <c:pt idx="290">
                  <c:v>0.42114102407601095</c:v>
                </c:pt>
                <c:pt idx="291">
                  <c:v>3.6516744965938597E-2</c:v>
                </c:pt>
                <c:pt idx="292">
                  <c:v>0.1734180207630511</c:v>
                </c:pt>
                <c:pt idx="293">
                  <c:v>0.31124130079232959</c:v>
                </c:pt>
                <c:pt idx="294">
                  <c:v>0.45117201906655868</c:v>
                </c:pt>
                <c:pt idx="295">
                  <c:v>5.5088544499566905E-2</c:v>
                </c:pt>
                <c:pt idx="296">
                  <c:v>0.18276977797502003</c:v>
                </c:pt>
                <c:pt idx="297">
                  <c:v>0.33113024922905204</c:v>
                </c:pt>
                <c:pt idx="298">
                  <c:v>0.48159815872803474</c:v>
                </c:pt>
                <c:pt idx="299">
                  <c:v>7.9587514097119033E-2</c:v>
                </c:pt>
                <c:pt idx="300">
                  <c:v>0.19554612233503371</c:v>
                </c:pt>
                <c:pt idx="301">
                  <c:v>0.35154605722701221</c:v>
                </c:pt>
                <c:pt idx="302">
                  <c:v>0.51189258349920153</c:v>
                </c:pt>
                <c:pt idx="303">
                  <c:v>8.5646399051352406E-2</c:v>
                </c:pt>
                <c:pt idx="304">
                  <c:v>0.20542473910824027</c:v>
                </c:pt>
                <c:pt idx="305">
                  <c:v>0.37143500566373461</c:v>
                </c:pt>
                <c:pt idx="306">
                  <c:v>0.5494313272373863</c:v>
                </c:pt>
                <c:pt idx="307">
                  <c:v>9.1178424444348039E-2</c:v>
                </c:pt>
                <c:pt idx="308">
                  <c:v>0.21583021544268444</c:v>
                </c:pt>
                <c:pt idx="309">
                  <c:v>0.39237767322293243</c:v>
                </c:pt>
                <c:pt idx="310">
                  <c:v>9.5920160495487183E-2</c:v>
                </c:pt>
                <c:pt idx="311">
                  <c:v>0.2247868279837251</c:v>
                </c:pt>
                <c:pt idx="312">
                  <c:v>0.41648149814955637</c:v>
                </c:pt>
                <c:pt idx="313">
                  <c:v>9.9608177424150984E-2</c:v>
                </c:pt>
                <c:pt idx="314">
                  <c:v>0.23506058942785982</c:v>
                </c:pt>
                <c:pt idx="315">
                  <c:v>0.43610701680565994</c:v>
                </c:pt>
                <c:pt idx="316">
                  <c:v>0.10355962413343356</c:v>
                </c:pt>
                <c:pt idx="317">
                  <c:v>0.24520263598168518</c:v>
                </c:pt>
                <c:pt idx="318">
                  <c:v>0.45902540771949912</c:v>
                </c:pt>
                <c:pt idx="319">
                  <c:v>0.10816964529426326</c:v>
                </c:pt>
                <c:pt idx="320">
                  <c:v>0.25494953786458235</c:v>
                </c:pt>
                <c:pt idx="321">
                  <c:v>0.48260237308488546</c:v>
                </c:pt>
                <c:pt idx="322">
                  <c:v>0.11146251755199885</c:v>
                </c:pt>
                <c:pt idx="323">
                  <c:v>0.26904303112769024</c:v>
                </c:pt>
                <c:pt idx="324">
                  <c:v>0.50565247888903397</c:v>
                </c:pt>
                <c:pt idx="325">
                  <c:v>0.11501881959035312</c:v>
                </c:pt>
                <c:pt idx="326">
                  <c:v>0.27918507768151568</c:v>
                </c:pt>
                <c:pt idx="327">
                  <c:v>0.52936115914472959</c:v>
                </c:pt>
                <c:pt idx="328">
                  <c:v>0.45194550900185038</c:v>
                </c:pt>
                <c:pt idx="329">
                  <c:v>0.29525429429926497</c:v>
                </c:pt>
                <c:pt idx="330">
                  <c:v>0.5584701499031115</c:v>
                </c:pt>
                <c:pt idx="331">
                  <c:v>0.45918982796886854</c:v>
                </c:pt>
                <c:pt idx="332">
                  <c:v>0.30724034931742217</c:v>
                </c:pt>
                <c:pt idx="333">
                  <c:v>0.4676195809486714</c:v>
                </c:pt>
                <c:pt idx="334">
                  <c:v>0.32067526812898306</c:v>
                </c:pt>
                <c:pt idx="335">
                  <c:v>0.47183445743857277</c:v>
                </c:pt>
                <c:pt idx="336">
                  <c:v>0.33450533161147222</c:v>
                </c:pt>
                <c:pt idx="337">
                  <c:v>0.47986906574744748</c:v>
                </c:pt>
                <c:pt idx="338">
                  <c:v>0.34741339086179546</c:v>
                </c:pt>
                <c:pt idx="339">
                  <c:v>0.48895739317879744</c:v>
                </c:pt>
                <c:pt idx="340">
                  <c:v>0.36177031390552222</c:v>
                </c:pt>
                <c:pt idx="341">
                  <c:v>0.49488456324272134</c:v>
                </c:pt>
                <c:pt idx="342">
                  <c:v>0.37691752629110564</c:v>
                </c:pt>
                <c:pt idx="343">
                  <c:v>0.50634375869964099</c:v>
                </c:pt>
                <c:pt idx="344">
                  <c:v>0.39206473867668884</c:v>
                </c:pt>
                <c:pt idx="345">
                  <c:v>0.51371979255696854</c:v>
                </c:pt>
                <c:pt idx="346">
                  <c:v>0.40444593836577447</c:v>
                </c:pt>
                <c:pt idx="347">
                  <c:v>0.52293983487862794</c:v>
                </c:pt>
                <c:pt idx="348">
                  <c:v>0.41906629119012007</c:v>
                </c:pt>
                <c:pt idx="349">
                  <c:v>0.52926214961348017</c:v>
                </c:pt>
                <c:pt idx="350">
                  <c:v>0.43434521846601282</c:v>
                </c:pt>
                <c:pt idx="351">
                  <c:v>0.53558446434833229</c:v>
                </c:pt>
                <c:pt idx="352">
                  <c:v>0.4492290010709773</c:v>
                </c:pt>
                <c:pt idx="353">
                  <c:v>0.54454107688937281</c:v>
                </c:pt>
                <c:pt idx="354">
                  <c:v>0.46503478790810771</c:v>
                </c:pt>
                <c:pt idx="355">
                  <c:v>0.55441969366257937</c:v>
                </c:pt>
                <c:pt idx="356">
                  <c:v>0.48070885985492873</c:v>
                </c:pt>
                <c:pt idx="357">
                  <c:v>0.56745946780321199</c:v>
                </c:pt>
                <c:pt idx="358">
                  <c:v>0.49532921267927454</c:v>
                </c:pt>
                <c:pt idx="359">
                  <c:v>0.57786494413765621</c:v>
                </c:pt>
                <c:pt idx="360">
                  <c:v>0.51627188023847226</c:v>
                </c:pt>
                <c:pt idx="361">
                  <c:v>0.58708498645931562</c:v>
                </c:pt>
                <c:pt idx="362">
                  <c:v>0.53260452663684044</c:v>
                </c:pt>
                <c:pt idx="363">
                  <c:v>0.59564645432942798</c:v>
                </c:pt>
                <c:pt idx="364">
                  <c:v>0.60407620730923095</c:v>
                </c:pt>
                <c:pt idx="365">
                  <c:v>0.61434996875336556</c:v>
                </c:pt>
                <c:pt idx="366">
                  <c:v>0.61961856436574247</c:v>
                </c:pt>
                <c:pt idx="367">
                  <c:v>0.63384377251915991</c:v>
                </c:pt>
                <c:pt idx="368">
                  <c:v>0.64490782330515106</c:v>
                </c:pt>
                <c:pt idx="369">
                  <c:v>0.65175699760124095</c:v>
                </c:pt>
                <c:pt idx="370">
                  <c:v>0.66532363130311145</c:v>
                </c:pt>
                <c:pt idx="371">
                  <c:v>0.67625596719879311</c:v>
                </c:pt>
                <c:pt idx="372">
                  <c:v>0.68547600952045262</c:v>
                </c:pt>
                <c:pt idx="373">
                  <c:v>0.69877921344170413</c:v>
                </c:pt>
                <c:pt idx="374">
                  <c:v>0.70918468977614824</c:v>
                </c:pt>
                <c:pt idx="375">
                  <c:v>0.71800958742687948</c:v>
                </c:pt>
                <c:pt idx="376">
                  <c:v>0.72986392755472729</c:v>
                </c:pt>
                <c:pt idx="377">
                  <c:v>0.74053283366979028</c:v>
                </c:pt>
                <c:pt idx="378">
                  <c:v>0.75344089292011351</c:v>
                </c:pt>
              </c:numCache>
            </c:numRef>
          </c:yVal>
          <c:smooth val="0"/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plot!$M$24:$M$28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0.64085638205578843</c:v>
                </c:pt>
                <c:pt idx="2">
                  <c:v>0.64085638205578865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plot!$N$24:$N$28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-0.28359458252715963</c:v>
                </c:pt>
                <c:pt idx="2">
                  <c:v>0.58243082125727907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plot!$O$24:$O$28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-0.64085638205578843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plot!$P$24:$P$28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0.28359458252715963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plot!$Q$24:$Q$28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0.29883623873011972</c:v>
                </c:pt>
                <c:pt idx="3">
                  <c:v>0.64085638205578843</c:v>
                </c:pt>
                <c:pt idx="4">
                  <c:v>-0.29883623873011983</c:v>
                </c:pt>
              </c:numCache>
            </c:numRef>
          </c:xVal>
          <c:yVal>
            <c:numRef>
              <c:f>plot!$R$24:$R$28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-0.75344089292011351</c:v>
                </c:pt>
                <c:pt idx="3">
                  <c:v>-0.28359458252715963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plot!$O$33:$O$411</c:f>
              <c:numCache>
                <c:formatCode>General</c:formatCode>
                <c:ptCount val="379"/>
                <c:pt idx="0">
                  <c:v>-0.29883623873011983</c:v>
                </c:pt>
                <c:pt idx="1">
                  <c:v>-0.29883623873011983</c:v>
                </c:pt>
                <c:pt idx="2">
                  <c:v>-0.29883623873011983</c:v>
                </c:pt>
                <c:pt idx="3">
                  <c:v>-0.29883623873011983</c:v>
                </c:pt>
                <c:pt idx="4">
                  <c:v>-0.29883623873011983</c:v>
                </c:pt>
                <c:pt idx="5">
                  <c:v>-0.29883623873011983</c:v>
                </c:pt>
                <c:pt idx="6">
                  <c:v>-0.29883623873011983</c:v>
                </c:pt>
                <c:pt idx="7">
                  <c:v>-0.29883623873011983</c:v>
                </c:pt>
                <c:pt idx="8">
                  <c:v>-0.29883623873011983</c:v>
                </c:pt>
                <c:pt idx="9">
                  <c:v>-0.29883623873011983</c:v>
                </c:pt>
                <c:pt idx="10">
                  <c:v>-0.29883623873011983</c:v>
                </c:pt>
                <c:pt idx="11">
                  <c:v>-0.29883623873011983</c:v>
                </c:pt>
                <c:pt idx="12">
                  <c:v>-0.29883623873011983</c:v>
                </c:pt>
                <c:pt idx="13">
                  <c:v>-0.29883623873011983</c:v>
                </c:pt>
                <c:pt idx="14">
                  <c:v>-0.29883623873011983</c:v>
                </c:pt>
                <c:pt idx="15">
                  <c:v>-0.29883623873011983</c:v>
                </c:pt>
                <c:pt idx="16">
                  <c:v>-0.29883623873011983</c:v>
                </c:pt>
                <c:pt idx="17">
                  <c:v>-0.29883623873011983</c:v>
                </c:pt>
                <c:pt idx="18">
                  <c:v>-0.29883623873011983</c:v>
                </c:pt>
                <c:pt idx="19">
                  <c:v>-0.29883623873011983</c:v>
                </c:pt>
                <c:pt idx="20">
                  <c:v>-0.29883623873011983</c:v>
                </c:pt>
                <c:pt idx="21">
                  <c:v>-0.29883623873011983</c:v>
                </c:pt>
                <c:pt idx="22">
                  <c:v>-0.29883623873011983</c:v>
                </c:pt>
                <c:pt idx="23">
                  <c:v>-0.29883623873011983</c:v>
                </c:pt>
                <c:pt idx="24">
                  <c:v>-0.29883623873011977</c:v>
                </c:pt>
                <c:pt idx="25">
                  <c:v>-0.29883623873011977</c:v>
                </c:pt>
                <c:pt idx="26">
                  <c:v>-0.29883623873011977</c:v>
                </c:pt>
                <c:pt idx="27">
                  <c:v>-0.29883623873011977</c:v>
                </c:pt>
                <c:pt idx="28">
                  <c:v>-0.29883623873011977</c:v>
                </c:pt>
                <c:pt idx="29">
                  <c:v>-0.29883623873011977</c:v>
                </c:pt>
                <c:pt idx="30">
                  <c:v>-0.29883623873011977</c:v>
                </c:pt>
                <c:pt idx="31">
                  <c:v>-0.29883623873011977</c:v>
                </c:pt>
                <c:pt idx="32">
                  <c:v>-0.29883623873011977</c:v>
                </c:pt>
                <c:pt idx="33">
                  <c:v>-0.29883623873011977</c:v>
                </c:pt>
                <c:pt idx="34">
                  <c:v>-0.29883623873011977</c:v>
                </c:pt>
                <c:pt idx="35">
                  <c:v>-0.29883623873011977</c:v>
                </c:pt>
                <c:pt idx="36">
                  <c:v>-0.29883623873011977</c:v>
                </c:pt>
                <c:pt idx="37">
                  <c:v>-0.29883623873011977</c:v>
                </c:pt>
                <c:pt idx="38">
                  <c:v>-0.29883623873011977</c:v>
                </c:pt>
                <c:pt idx="39">
                  <c:v>-0.29883623873011977</c:v>
                </c:pt>
                <c:pt idx="40">
                  <c:v>-0.29883623873011977</c:v>
                </c:pt>
                <c:pt idx="41">
                  <c:v>-0.29883623873011977</c:v>
                </c:pt>
                <c:pt idx="42">
                  <c:v>-0.29883623873011977</c:v>
                </c:pt>
                <c:pt idx="43">
                  <c:v>-0.29883623873011977</c:v>
                </c:pt>
                <c:pt idx="44">
                  <c:v>-0.29883623873011977</c:v>
                </c:pt>
                <c:pt idx="45">
                  <c:v>-0.29883623873011977</c:v>
                </c:pt>
                <c:pt idx="46">
                  <c:v>-0.29883623873011977</c:v>
                </c:pt>
                <c:pt idx="47">
                  <c:v>-0.29883623873011977</c:v>
                </c:pt>
                <c:pt idx="48">
                  <c:v>-0.3273379173405922</c:v>
                </c:pt>
                <c:pt idx="49">
                  <c:v>-0.3273379173405922</c:v>
                </c:pt>
                <c:pt idx="50">
                  <c:v>-0.3273379173405922</c:v>
                </c:pt>
                <c:pt idx="51">
                  <c:v>-0.3273379173405922</c:v>
                </c:pt>
                <c:pt idx="52">
                  <c:v>-0.3273379173405922</c:v>
                </c:pt>
                <c:pt idx="53">
                  <c:v>-0.3273379173405922</c:v>
                </c:pt>
                <c:pt idx="54">
                  <c:v>-0.3273379173405922</c:v>
                </c:pt>
                <c:pt idx="55">
                  <c:v>-0.3273379173405922</c:v>
                </c:pt>
                <c:pt idx="56">
                  <c:v>-0.3273379173405922</c:v>
                </c:pt>
                <c:pt idx="57">
                  <c:v>-0.3273379173405922</c:v>
                </c:pt>
                <c:pt idx="58">
                  <c:v>-0.3273379173405922</c:v>
                </c:pt>
                <c:pt idx="59">
                  <c:v>-0.3273379173405922</c:v>
                </c:pt>
                <c:pt idx="60">
                  <c:v>-0.3273379173405922</c:v>
                </c:pt>
                <c:pt idx="61">
                  <c:v>-0.32733791734059214</c:v>
                </c:pt>
                <c:pt idx="62">
                  <c:v>-0.32733791734059214</c:v>
                </c:pt>
                <c:pt idx="63">
                  <c:v>-0.32733791734059214</c:v>
                </c:pt>
                <c:pt idx="64">
                  <c:v>-0.32733791734059214</c:v>
                </c:pt>
                <c:pt idx="65">
                  <c:v>-0.32733791734059214</c:v>
                </c:pt>
                <c:pt idx="66">
                  <c:v>-0.32733791734059214</c:v>
                </c:pt>
                <c:pt idx="67">
                  <c:v>-0.32733791734059214</c:v>
                </c:pt>
                <c:pt idx="68">
                  <c:v>-0.32733791734059214</c:v>
                </c:pt>
                <c:pt idx="69">
                  <c:v>-0.32733791734059214</c:v>
                </c:pt>
                <c:pt idx="70">
                  <c:v>-0.32733791734059214</c:v>
                </c:pt>
                <c:pt idx="71">
                  <c:v>-0.32733791734059214</c:v>
                </c:pt>
                <c:pt idx="72">
                  <c:v>-0.32733791734059214</c:v>
                </c:pt>
                <c:pt idx="73">
                  <c:v>-0.32733791734059214</c:v>
                </c:pt>
                <c:pt idx="74">
                  <c:v>-0.32733791734059214</c:v>
                </c:pt>
                <c:pt idx="75">
                  <c:v>-0.32733791734059214</c:v>
                </c:pt>
                <c:pt idx="76">
                  <c:v>-0.32733791734059214</c:v>
                </c:pt>
                <c:pt idx="77">
                  <c:v>-0.32733791734059214</c:v>
                </c:pt>
                <c:pt idx="78">
                  <c:v>-0.32733791734059214</c:v>
                </c:pt>
                <c:pt idx="79">
                  <c:v>-0.32733791734059214</c:v>
                </c:pt>
                <c:pt idx="80">
                  <c:v>-0.32733791734059214</c:v>
                </c:pt>
                <c:pt idx="81">
                  <c:v>-0.32733791734059214</c:v>
                </c:pt>
                <c:pt idx="82">
                  <c:v>-0.32733791734059214</c:v>
                </c:pt>
                <c:pt idx="83">
                  <c:v>-0.32733791734059214</c:v>
                </c:pt>
                <c:pt idx="84">
                  <c:v>-0.32733791734059214</c:v>
                </c:pt>
                <c:pt idx="85">
                  <c:v>-0.32733791734059214</c:v>
                </c:pt>
                <c:pt idx="86">
                  <c:v>-0.32733791734059209</c:v>
                </c:pt>
                <c:pt idx="87">
                  <c:v>-0.32733791734059209</c:v>
                </c:pt>
                <c:pt idx="88">
                  <c:v>-0.32733791734059209</c:v>
                </c:pt>
                <c:pt idx="89">
                  <c:v>-0.32733791734059209</c:v>
                </c:pt>
                <c:pt idx="90">
                  <c:v>-0.32733791734059209</c:v>
                </c:pt>
                <c:pt idx="91">
                  <c:v>-0.32733791734059209</c:v>
                </c:pt>
                <c:pt idx="92">
                  <c:v>-0.32733791734059209</c:v>
                </c:pt>
                <c:pt idx="93">
                  <c:v>-0.32733791734059209</c:v>
                </c:pt>
                <c:pt idx="94">
                  <c:v>-0.32733791734059209</c:v>
                </c:pt>
                <c:pt idx="95">
                  <c:v>-0.32733791734059209</c:v>
                </c:pt>
                <c:pt idx="96">
                  <c:v>-0.35583959595106457</c:v>
                </c:pt>
                <c:pt idx="97">
                  <c:v>-0.35583959595106457</c:v>
                </c:pt>
                <c:pt idx="98">
                  <c:v>-0.35583959595106457</c:v>
                </c:pt>
                <c:pt idx="99">
                  <c:v>-0.35583959595106457</c:v>
                </c:pt>
                <c:pt idx="100">
                  <c:v>-0.35583959595106457</c:v>
                </c:pt>
                <c:pt idx="101">
                  <c:v>-0.35583959595106457</c:v>
                </c:pt>
                <c:pt idx="102">
                  <c:v>-0.35583959595106457</c:v>
                </c:pt>
                <c:pt idx="103">
                  <c:v>-0.35583959595106457</c:v>
                </c:pt>
                <c:pt idx="104">
                  <c:v>-0.35583959595106451</c:v>
                </c:pt>
                <c:pt idx="105">
                  <c:v>-0.35583959595106451</c:v>
                </c:pt>
                <c:pt idx="106">
                  <c:v>-0.35583959595106451</c:v>
                </c:pt>
                <c:pt idx="107">
                  <c:v>-0.35583959595106451</c:v>
                </c:pt>
                <c:pt idx="108">
                  <c:v>-0.35583959595106451</c:v>
                </c:pt>
                <c:pt idx="109">
                  <c:v>-0.35583959595106451</c:v>
                </c:pt>
                <c:pt idx="110">
                  <c:v>-0.35583959595106451</c:v>
                </c:pt>
                <c:pt idx="111">
                  <c:v>-0.35583959595106451</c:v>
                </c:pt>
                <c:pt idx="112">
                  <c:v>-0.35583959595106451</c:v>
                </c:pt>
                <c:pt idx="113">
                  <c:v>-0.35583959595106451</c:v>
                </c:pt>
                <c:pt idx="114">
                  <c:v>-0.35583959595106451</c:v>
                </c:pt>
                <c:pt idx="115">
                  <c:v>-0.35583959595106451</c:v>
                </c:pt>
                <c:pt idx="116">
                  <c:v>-0.35583959595106451</c:v>
                </c:pt>
                <c:pt idx="117">
                  <c:v>-0.35583959595106451</c:v>
                </c:pt>
                <c:pt idx="118">
                  <c:v>-0.35583959595106451</c:v>
                </c:pt>
                <c:pt idx="119">
                  <c:v>-0.35583959595106451</c:v>
                </c:pt>
                <c:pt idx="120">
                  <c:v>-0.35583959595106451</c:v>
                </c:pt>
                <c:pt idx="121">
                  <c:v>-0.35583959595106451</c:v>
                </c:pt>
                <c:pt idx="122">
                  <c:v>-0.35583959595106451</c:v>
                </c:pt>
                <c:pt idx="123">
                  <c:v>-0.35583959595106451</c:v>
                </c:pt>
                <c:pt idx="124">
                  <c:v>-0.35583959595106446</c:v>
                </c:pt>
                <c:pt idx="125">
                  <c:v>-0.35583959595106446</c:v>
                </c:pt>
                <c:pt idx="126">
                  <c:v>-0.35583959595106446</c:v>
                </c:pt>
                <c:pt idx="127">
                  <c:v>-0.35583959595106446</c:v>
                </c:pt>
                <c:pt idx="128">
                  <c:v>-0.38434127456153699</c:v>
                </c:pt>
                <c:pt idx="129">
                  <c:v>-0.38434127456153699</c:v>
                </c:pt>
                <c:pt idx="130">
                  <c:v>-0.38434127456153699</c:v>
                </c:pt>
                <c:pt idx="131">
                  <c:v>-0.38434127456153699</c:v>
                </c:pt>
                <c:pt idx="132">
                  <c:v>-0.38434127456153699</c:v>
                </c:pt>
                <c:pt idx="133">
                  <c:v>-0.38434127456153699</c:v>
                </c:pt>
                <c:pt idx="134">
                  <c:v>-0.38434127456153694</c:v>
                </c:pt>
                <c:pt idx="135">
                  <c:v>-0.38434127456153694</c:v>
                </c:pt>
                <c:pt idx="136">
                  <c:v>-0.38434127456153694</c:v>
                </c:pt>
                <c:pt idx="137">
                  <c:v>-0.38434127456153694</c:v>
                </c:pt>
                <c:pt idx="138">
                  <c:v>-0.38434127456153694</c:v>
                </c:pt>
                <c:pt idx="139">
                  <c:v>-0.38434127456153694</c:v>
                </c:pt>
                <c:pt idx="140">
                  <c:v>-0.38434127456153694</c:v>
                </c:pt>
                <c:pt idx="141">
                  <c:v>-0.38434127456153694</c:v>
                </c:pt>
                <c:pt idx="142">
                  <c:v>-0.38434127456153694</c:v>
                </c:pt>
                <c:pt idx="143">
                  <c:v>-0.38434127456153694</c:v>
                </c:pt>
                <c:pt idx="144">
                  <c:v>-0.38434127456153694</c:v>
                </c:pt>
                <c:pt idx="145">
                  <c:v>-0.38434127456153694</c:v>
                </c:pt>
                <c:pt idx="146">
                  <c:v>-0.38434127456153694</c:v>
                </c:pt>
                <c:pt idx="147">
                  <c:v>-0.38434127456153694</c:v>
                </c:pt>
                <c:pt idx="148">
                  <c:v>-0.38434127456153694</c:v>
                </c:pt>
                <c:pt idx="149">
                  <c:v>-0.38434127456153688</c:v>
                </c:pt>
                <c:pt idx="150">
                  <c:v>-0.38434127456153688</c:v>
                </c:pt>
                <c:pt idx="151">
                  <c:v>-0.38434127456153688</c:v>
                </c:pt>
                <c:pt idx="152">
                  <c:v>-0.41284295317200942</c:v>
                </c:pt>
                <c:pt idx="153">
                  <c:v>-0.41284295317200942</c:v>
                </c:pt>
                <c:pt idx="154">
                  <c:v>-0.41284295317200942</c:v>
                </c:pt>
                <c:pt idx="155">
                  <c:v>-0.41284295317200942</c:v>
                </c:pt>
                <c:pt idx="156">
                  <c:v>-0.41284295317200936</c:v>
                </c:pt>
                <c:pt idx="157">
                  <c:v>-0.41284295317200936</c:v>
                </c:pt>
                <c:pt idx="158">
                  <c:v>-0.41284295317200936</c:v>
                </c:pt>
                <c:pt idx="159">
                  <c:v>-0.41284295317200936</c:v>
                </c:pt>
                <c:pt idx="160">
                  <c:v>-0.41284295317200936</c:v>
                </c:pt>
                <c:pt idx="161">
                  <c:v>-0.41284295317200936</c:v>
                </c:pt>
                <c:pt idx="162">
                  <c:v>-0.41284295317200936</c:v>
                </c:pt>
                <c:pt idx="163">
                  <c:v>-0.41284295317200936</c:v>
                </c:pt>
                <c:pt idx="164">
                  <c:v>-0.41284295317200936</c:v>
                </c:pt>
                <c:pt idx="165">
                  <c:v>-0.41284295317200936</c:v>
                </c:pt>
                <c:pt idx="166">
                  <c:v>-0.41284295317200936</c:v>
                </c:pt>
                <c:pt idx="167">
                  <c:v>-0.41284295317200936</c:v>
                </c:pt>
                <c:pt idx="168">
                  <c:v>-0.41284295317200936</c:v>
                </c:pt>
                <c:pt idx="169">
                  <c:v>-0.41284295317200931</c:v>
                </c:pt>
                <c:pt idx="170">
                  <c:v>-0.41284295317200931</c:v>
                </c:pt>
                <c:pt idx="171">
                  <c:v>-0.44134463178248179</c:v>
                </c:pt>
                <c:pt idx="172">
                  <c:v>-0.44134463178248179</c:v>
                </c:pt>
                <c:pt idx="173">
                  <c:v>-0.44134463178248179</c:v>
                </c:pt>
                <c:pt idx="174">
                  <c:v>-0.44134463178248179</c:v>
                </c:pt>
                <c:pt idx="175">
                  <c:v>-0.44134463178248173</c:v>
                </c:pt>
                <c:pt idx="176">
                  <c:v>-0.44134463178248173</c:v>
                </c:pt>
                <c:pt idx="177">
                  <c:v>-0.44134463178248173</c:v>
                </c:pt>
                <c:pt idx="178">
                  <c:v>-0.44134463178248173</c:v>
                </c:pt>
                <c:pt idx="179">
                  <c:v>-0.44134463178248173</c:v>
                </c:pt>
                <c:pt idx="180">
                  <c:v>-0.44134463178248173</c:v>
                </c:pt>
                <c:pt idx="181">
                  <c:v>-0.44134463178248173</c:v>
                </c:pt>
                <c:pt idx="182">
                  <c:v>-0.44134463178248173</c:v>
                </c:pt>
                <c:pt idx="183">
                  <c:v>-0.44134463178248173</c:v>
                </c:pt>
                <c:pt idx="184">
                  <c:v>-0.44134463178248173</c:v>
                </c:pt>
                <c:pt idx="185">
                  <c:v>-0.44134463178248168</c:v>
                </c:pt>
                <c:pt idx="186">
                  <c:v>-0.44134463178248168</c:v>
                </c:pt>
                <c:pt idx="187">
                  <c:v>-0.46984631039295421</c:v>
                </c:pt>
                <c:pt idx="188">
                  <c:v>-0.46984631039295421</c:v>
                </c:pt>
                <c:pt idx="189">
                  <c:v>-0.46984631039295421</c:v>
                </c:pt>
                <c:pt idx="190">
                  <c:v>-0.46984631039295416</c:v>
                </c:pt>
                <c:pt idx="191">
                  <c:v>-0.46984631039295416</c:v>
                </c:pt>
                <c:pt idx="192">
                  <c:v>-0.46984631039295416</c:v>
                </c:pt>
                <c:pt idx="193">
                  <c:v>-0.46984631039295416</c:v>
                </c:pt>
                <c:pt idx="194">
                  <c:v>-0.46984631039295416</c:v>
                </c:pt>
                <c:pt idx="195">
                  <c:v>-0.46984631039295416</c:v>
                </c:pt>
                <c:pt idx="196">
                  <c:v>-0.46984631039295416</c:v>
                </c:pt>
                <c:pt idx="197">
                  <c:v>-0.46984631039295416</c:v>
                </c:pt>
                <c:pt idx="198">
                  <c:v>-0.46984631039295416</c:v>
                </c:pt>
                <c:pt idx="199">
                  <c:v>-0.4698463103929541</c:v>
                </c:pt>
                <c:pt idx="200">
                  <c:v>-0.49834798900342664</c:v>
                </c:pt>
                <c:pt idx="201">
                  <c:v>-0.49834798900342664</c:v>
                </c:pt>
                <c:pt idx="202">
                  <c:v>-0.49834798900342658</c:v>
                </c:pt>
                <c:pt idx="203">
                  <c:v>-0.49834798900342658</c:v>
                </c:pt>
                <c:pt idx="204">
                  <c:v>-0.49834798900342658</c:v>
                </c:pt>
                <c:pt idx="205">
                  <c:v>-0.49834798900342658</c:v>
                </c:pt>
                <c:pt idx="206">
                  <c:v>-0.49834798900342658</c:v>
                </c:pt>
                <c:pt idx="207">
                  <c:v>-0.49834798900342658</c:v>
                </c:pt>
                <c:pt idx="208">
                  <c:v>-0.49834798900342658</c:v>
                </c:pt>
                <c:pt idx="209">
                  <c:v>-0.49834798900342658</c:v>
                </c:pt>
                <c:pt idx="210">
                  <c:v>-0.49834798900342653</c:v>
                </c:pt>
                <c:pt idx="211">
                  <c:v>-0.49834798900342653</c:v>
                </c:pt>
                <c:pt idx="212">
                  <c:v>-0.52684966761389906</c:v>
                </c:pt>
                <c:pt idx="213">
                  <c:v>-0.52684966761389895</c:v>
                </c:pt>
                <c:pt idx="214">
                  <c:v>-0.52684966761389895</c:v>
                </c:pt>
                <c:pt idx="215">
                  <c:v>-0.52684966761389895</c:v>
                </c:pt>
                <c:pt idx="216">
                  <c:v>-0.52684966761389895</c:v>
                </c:pt>
                <c:pt idx="217">
                  <c:v>-0.52684966761389895</c:v>
                </c:pt>
                <c:pt idx="218">
                  <c:v>-0.52684966761389895</c:v>
                </c:pt>
                <c:pt idx="219">
                  <c:v>-0.52684966761389895</c:v>
                </c:pt>
                <c:pt idx="220">
                  <c:v>-0.52684966761389895</c:v>
                </c:pt>
                <c:pt idx="221">
                  <c:v>-0.52684966761389895</c:v>
                </c:pt>
                <c:pt idx="222">
                  <c:v>-0.55535134622437132</c:v>
                </c:pt>
                <c:pt idx="223">
                  <c:v>-0.55535134622437132</c:v>
                </c:pt>
                <c:pt idx="224">
                  <c:v>-0.55535134622437132</c:v>
                </c:pt>
                <c:pt idx="225">
                  <c:v>-0.55535134622437132</c:v>
                </c:pt>
                <c:pt idx="226">
                  <c:v>-0.55535134622437132</c:v>
                </c:pt>
                <c:pt idx="227">
                  <c:v>-0.55535134622437132</c:v>
                </c:pt>
                <c:pt idx="228">
                  <c:v>-0.55535134622437132</c:v>
                </c:pt>
                <c:pt idx="229">
                  <c:v>-0.55535134622437132</c:v>
                </c:pt>
                <c:pt idx="230">
                  <c:v>-0.55535134622437132</c:v>
                </c:pt>
                <c:pt idx="231">
                  <c:v>-0.58385302483484391</c:v>
                </c:pt>
                <c:pt idx="232">
                  <c:v>-0.5838530248348438</c:v>
                </c:pt>
                <c:pt idx="233">
                  <c:v>-0.5838530248348438</c:v>
                </c:pt>
                <c:pt idx="234">
                  <c:v>-0.5838530248348438</c:v>
                </c:pt>
                <c:pt idx="235">
                  <c:v>-0.5838530248348438</c:v>
                </c:pt>
                <c:pt idx="236">
                  <c:v>-0.5838530248348438</c:v>
                </c:pt>
                <c:pt idx="237">
                  <c:v>-0.5838530248348438</c:v>
                </c:pt>
                <c:pt idx="238">
                  <c:v>-0.5838530248348438</c:v>
                </c:pt>
                <c:pt idx="239">
                  <c:v>-0.61235470344531628</c:v>
                </c:pt>
                <c:pt idx="240">
                  <c:v>-0.61235470344531617</c:v>
                </c:pt>
                <c:pt idx="241">
                  <c:v>-0.61235470344531617</c:v>
                </c:pt>
                <c:pt idx="242">
                  <c:v>-0.61235470344531617</c:v>
                </c:pt>
                <c:pt idx="243">
                  <c:v>-0.61235470344531617</c:v>
                </c:pt>
                <c:pt idx="244">
                  <c:v>-0.61235470344531617</c:v>
                </c:pt>
                <c:pt idx="245">
                  <c:v>-0.61235470344531617</c:v>
                </c:pt>
                <c:pt idx="246">
                  <c:v>-0.61235470344531617</c:v>
                </c:pt>
                <c:pt idx="247">
                  <c:v>-0.64085638205578865</c:v>
                </c:pt>
                <c:pt idx="248">
                  <c:v>-0.36398293269691384</c:v>
                </c:pt>
                <c:pt idx="249">
                  <c:v>-0.36398293269691379</c:v>
                </c:pt>
                <c:pt idx="250">
                  <c:v>-0.36398293269691379</c:v>
                </c:pt>
                <c:pt idx="251">
                  <c:v>-0.36398293269691379</c:v>
                </c:pt>
                <c:pt idx="252">
                  <c:v>-0.36398293269691379</c:v>
                </c:pt>
                <c:pt idx="253">
                  <c:v>-0.36398293269691373</c:v>
                </c:pt>
                <c:pt idx="254">
                  <c:v>-0.36941182386081334</c:v>
                </c:pt>
                <c:pt idx="255">
                  <c:v>-0.36941182386081334</c:v>
                </c:pt>
                <c:pt idx="256">
                  <c:v>-0.36941182386081328</c:v>
                </c:pt>
                <c:pt idx="257">
                  <c:v>-0.36941182386081328</c:v>
                </c:pt>
                <c:pt idx="258">
                  <c:v>-0.36941182386081328</c:v>
                </c:pt>
                <c:pt idx="259">
                  <c:v>-0.36941182386081328</c:v>
                </c:pt>
                <c:pt idx="260">
                  <c:v>-0.37484071502471289</c:v>
                </c:pt>
                <c:pt idx="261">
                  <c:v>-0.37484071502471283</c:v>
                </c:pt>
                <c:pt idx="262">
                  <c:v>-0.37484071502471283</c:v>
                </c:pt>
                <c:pt idx="263">
                  <c:v>-0.37484071502471283</c:v>
                </c:pt>
                <c:pt idx="264">
                  <c:v>-0.37484071502471283</c:v>
                </c:pt>
                <c:pt idx="265">
                  <c:v>-0.37484071502471278</c:v>
                </c:pt>
                <c:pt idx="266">
                  <c:v>-0.38026960618861239</c:v>
                </c:pt>
                <c:pt idx="267">
                  <c:v>-0.38026960618861233</c:v>
                </c:pt>
                <c:pt idx="268">
                  <c:v>-0.38026960618861233</c:v>
                </c:pt>
                <c:pt idx="269">
                  <c:v>-0.38026960618861233</c:v>
                </c:pt>
                <c:pt idx="270">
                  <c:v>-0.38026960618861233</c:v>
                </c:pt>
                <c:pt idx="271">
                  <c:v>-0.38026960618861227</c:v>
                </c:pt>
                <c:pt idx="272">
                  <c:v>-0.38569849735251188</c:v>
                </c:pt>
                <c:pt idx="273">
                  <c:v>-0.38569849735251183</c:v>
                </c:pt>
                <c:pt idx="274">
                  <c:v>-0.38569849735251183</c:v>
                </c:pt>
                <c:pt idx="275">
                  <c:v>-0.38569849735251183</c:v>
                </c:pt>
                <c:pt idx="276">
                  <c:v>-0.38569849735251183</c:v>
                </c:pt>
                <c:pt idx="277">
                  <c:v>-0.39112738851641138</c:v>
                </c:pt>
                <c:pt idx="278">
                  <c:v>-0.39112738851641132</c:v>
                </c:pt>
                <c:pt idx="279">
                  <c:v>-0.39112738851641132</c:v>
                </c:pt>
                <c:pt idx="280">
                  <c:v>-0.39112738851641132</c:v>
                </c:pt>
                <c:pt idx="281">
                  <c:v>-0.39112738851641127</c:v>
                </c:pt>
                <c:pt idx="282">
                  <c:v>-0.39655627968031087</c:v>
                </c:pt>
                <c:pt idx="283">
                  <c:v>-0.39655627968031082</c:v>
                </c:pt>
                <c:pt idx="284">
                  <c:v>-0.39655627968031082</c:v>
                </c:pt>
                <c:pt idx="285">
                  <c:v>-0.39655627968031082</c:v>
                </c:pt>
                <c:pt idx="286">
                  <c:v>-0.39655627968031076</c:v>
                </c:pt>
                <c:pt idx="287">
                  <c:v>-0.40198517084421043</c:v>
                </c:pt>
                <c:pt idx="288">
                  <c:v>-0.40198517084421037</c:v>
                </c:pt>
                <c:pt idx="289">
                  <c:v>-0.40198517084421037</c:v>
                </c:pt>
                <c:pt idx="290">
                  <c:v>-0.40198517084421037</c:v>
                </c:pt>
                <c:pt idx="291">
                  <c:v>-0.40741406200810992</c:v>
                </c:pt>
                <c:pt idx="292">
                  <c:v>-0.40741406200810987</c:v>
                </c:pt>
                <c:pt idx="293">
                  <c:v>-0.40741406200810987</c:v>
                </c:pt>
                <c:pt idx="294">
                  <c:v>-0.40741406200810987</c:v>
                </c:pt>
                <c:pt idx="295">
                  <c:v>-0.41284295317200942</c:v>
                </c:pt>
                <c:pt idx="296">
                  <c:v>-0.41284295317200936</c:v>
                </c:pt>
                <c:pt idx="297">
                  <c:v>-0.41284295317200936</c:v>
                </c:pt>
                <c:pt idx="298">
                  <c:v>-0.41284295317200936</c:v>
                </c:pt>
                <c:pt idx="299">
                  <c:v>-0.41827184433590892</c:v>
                </c:pt>
                <c:pt idx="300">
                  <c:v>-0.41827184433590886</c:v>
                </c:pt>
                <c:pt idx="301">
                  <c:v>-0.41827184433590886</c:v>
                </c:pt>
                <c:pt idx="302">
                  <c:v>-0.4182718443359088</c:v>
                </c:pt>
                <c:pt idx="303">
                  <c:v>-0.42370073549980841</c:v>
                </c:pt>
                <c:pt idx="304">
                  <c:v>-0.42370073549980836</c:v>
                </c:pt>
                <c:pt idx="305">
                  <c:v>-0.42370073549980836</c:v>
                </c:pt>
                <c:pt idx="306">
                  <c:v>-0.4237007354998083</c:v>
                </c:pt>
                <c:pt idx="307">
                  <c:v>-0.42912962666370791</c:v>
                </c:pt>
                <c:pt idx="308">
                  <c:v>-0.42912962666370785</c:v>
                </c:pt>
                <c:pt idx="309">
                  <c:v>-0.42912962666370785</c:v>
                </c:pt>
                <c:pt idx="310">
                  <c:v>-0.4345585178276074</c:v>
                </c:pt>
                <c:pt idx="311">
                  <c:v>-0.43455851782760735</c:v>
                </c:pt>
                <c:pt idx="312">
                  <c:v>-0.43455851782760735</c:v>
                </c:pt>
                <c:pt idx="313">
                  <c:v>-0.43998740899150696</c:v>
                </c:pt>
                <c:pt idx="314">
                  <c:v>-0.4399874089915069</c:v>
                </c:pt>
                <c:pt idx="315">
                  <c:v>-0.4399874089915069</c:v>
                </c:pt>
                <c:pt idx="316">
                  <c:v>-0.44541630015540645</c:v>
                </c:pt>
                <c:pt idx="317">
                  <c:v>-0.4454163001554064</c:v>
                </c:pt>
                <c:pt idx="318">
                  <c:v>-0.4454163001554064</c:v>
                </c:pt>
                <c:pt idx="319">
                  <c:v>-0.45084519131930595</c:v>
                </c:pt>
                <c:pt idx="320">
                  <c:v>-0.45084519131930589</c:v>
                </c:pt>
                <c:pt idx="321">
                  <c:v>-0.45084519131930589</c:v>
                </c:pt>
                <c:pt idx="322">
                  <c:v>-0.45627408248320545</c:v>
                </c:pt>
                <c:pt idx="323">
                  <c:v>-0.45627408248320539</c:v>
                </c:pt>
                <c:pt idx="324">
                  <c:v>-0.45627408248320539</c:v>
                </c:pt>
                <c:pt idx="325">
                  <c:v>-0.46170297364710494</c:v>
                </c:pt>
                <c:pt idx="326">
                  <c:v>-0.46170297364710489</c:v>
                </c:pt>
                <c:pt idx="327">
                  <c:v>-0.46170297364710483</c:v>
                </c:pt>
                <c:pt idx="328">
                  <c:v>-0.46713186481100438</c:v>
                </c:pt>
                <c:pt idx="329">
                  <c:v>-0.46713186481100438</c:v>
                </c:pt>
                <c:pt idx="330">
                  <c:v>-0.46713186481100433</c:v>
                </c:pt>
                <c:pt idx="331">
                  <c:v>-0.47256075597490388</c:v>
                </c:pt>
                <c:pt idx="332">
                  <c:v>-0.47256075597490388</c:v>
                </c:pt>
                <c:pt idx="333">
                  <c:v>-0.47798964713880343</c:v>
                </c:pt>
                <c:pt idx="334">
                  <c:v>-0.47798964713880343</c:v>
                </c:pt>
                <c:pt idx="335">
                  <c:v>-0.48341853830270293</c:v>
                </c:pt>
                <c:pt idx="336">
                  <c:v>-0.48341853830270293</c:v>
                </c:pt>
                <c:pt idx="337">
                  <c:v>-0.48884742946660242</c:v>
                </c:pt>
                <c:pt idx="338">
                  <c:v>-0.48884742946660242</c:v>
                </c:pt>
                <c:pt idx="339">
                  <c:v>-0.49427632063050192</c:v>
                </c:pt>
                <c:pt idx="340">
                  <c:v>-0.49427632063050192</c:v>
                </c:pt>
                <c:pt idx="341">
                  <c:v>-0.49970521179440142</c:v>
                </c:pt>
                <c:pt idx="342">
                  <c:v>-0.49970521179440142</c:v>
                </c:pt>
                <c:pt idx="343">
                  <c:v>-0.50513410295830097</c:v>
                </c:pt>
                <c:pt idx="344">
                  <c:v>-0.50513410295830097</c:v>
                </c:pt>
                <c:pt idx="345">
                  <c:v>-0.51056299412220041</c:v>
                </c:pt>
                <c:pt idx="346">
                  <c:v>-0.51056299412220041</c:v>
                </c:pt>
                <c:pt idx="347">
                  <c:v>-0.51599188528609996</c:v>
                </c:pt>
                <c:pt idx="348">
                  <c:v>-0.51599188528609996</c:v>
                </c:pt>
                <c:pt idx="349">
                  <c:v>-0.52142077644999951</c:v>
                </c:pt>
                <c:pt idx="350">
                  <c:v>-0.52142077644999951</c:v>
                </c:pt>
                <c:pt idx="351">
                  <c:v>-0.52684966761389895</c:v>
                </c:pt>
                <c:pt idx="352">
                  <c:v>-0.52684966761389895</c:v>
                </c:pt>
                <c:pt idx="353">
                  <c:v>-0.53227855877779851</c:v>
                </c:pt>
                <c:pt idx="354">
                  <c:v>-0.53227855877779851</c:v>
                </c:pt>
                <c:pt idx="355">
                  <c:v>-0.53770744994169795</c:v>
                </c:pt>
                <c:pt idx="356">
                  <c:v>-0.53770744994169795</c:v>
                </c:pt>
                <c:pt idx="357">
                  <c:v>-0.5431363411055975</c:v>
                </c:pt>
                <c:pt idx="358">
                  <c:v>-0.5431363411055975</c:v>
                </c:pt>
                <c:pt idx="359">
                  <c:v>-0.54856523226949694</c:v>
                </c:pt>
                <c:pt idx="360">
                  <c:v>-0.54856523226949694</c:v>
                </c:pt>
                <c:pt idx="361">
                  <c:v>-0.55399412343339649</c:v>
                </c:pt>
                <c:pt idx="362">
                  <c:v>-0.55399412343339649</c:v>
                </c:pt>
                <c:pt idx="363">
                  <c:v>-0.55942301459729593</c:v>
                </c:pt>
                <c:pt idx="364">
                  <c:v>-0.56485190576119548</c:v>
                </c:pt>
                <c:pt idx="365">
                  <c:v>-0.57028079692509503</c:v>
                </c:pt>
                <c:pt idx="366">
                  <c:v>-0.57570968808899448</c:v>
                </c:pt>
                <c:pt idx="367">
                  <c:v>-0.58113857925289403</c:v>
                </c:pt>
                <c:pt idx="368">
                  <c:v>-0.58656747041679358</c:v>
                </c:pt>
                <c:pt idx="369">
                  <c:v>-0.59199636158069302</c:v>
                </c:pt>
                <c:pt idx="370">
                  <c:v>-0.59742525274459257</c:v>
                </c:pt>
                <c:pt idx="371">
                  <c:v>-0.60285414390849201</c:v>
                </c:pt>
                <c:pt idx="372">
                  <c:v>-0.60828303507239156</c:v>
                </c:pt>
                <c:pt idx="373">
                  <c:v>-0.61371192623629101</c:v>
                </c:pt>
                <c:pt idx="374">
                  <c:v>-0.61914081740019056</c:v>
                </c:pt>
                <c:pt idx="375">
                  <c:v>-0.62456970856408989</c:v>
                </c:pt>
                <c:pt idx="376">
                  <c:v>-0.62999859972798944</c:v>
                </c:pt>
                <c:pt idx="377">
                  <c:v>-0.63542749089188899</c:v>
                </c:pt>
                <c:pt idx="378">
                  <c:v>-0.64085638205578843</c:v>
                </c:pt>
              </c:numCache>
            </c:numRef>
          </c:xVal>
          <c:yVal>
            <c:numRef>
              <c:f>plot!$P$33:$P$411</c:f>
              <c:numCache>
                <c:formatCode>General</c:formatCode>
                <c:ptCount val="379"/>
                <c:pt idx="0">
                  <c:v>-2.0120657867112091E-2</c:v>
                </c:pt>
                <c:pt idx="1">
                  <c:v>-8.4265809447799822E-2</c:v>
                </c:pt>
                <c:pt idx="2">
                  <c:v>-0.10836963437442371</c:v>
                </c:pt>
                <c:pt idx="3">
                  <c:v>-0.11087221729030267</c:v>
                </c:pt>
                <c:pt idx="4">
                  <c:v>-0.10942335349689913</c:v>
                </c:pt>
                <c:pt idx="5">
                  <c:v>-0.10678905569071068</c:v>
                </c:pt>
                <c:pt idx="6">
                  <c:v>-9.58567197950288E-2</c:v>
                </c:pt>
                <c:pt idx="7">
                  <c:v>-9.0851553963270826E-2</c:v>
                </c:pt>
                <c:pt idx="8">
                  <c:v>-7.8602069164494748E-2</c:v>
                </c:pt>
                <c:pt idx="9">
                  <c:v>-7.1357750197476588E-2</c:v>
                </c:pt>
                <c:pt idx="10">
                  <c:v>-5.2522520883229507E-2</c:v>
                </c:pt>
                <c:pt idx="11">
                  <c:v>-3.5794729813933168E-2</c:v>
                </c:pt>
                <c:pt idx="12">
                  <c:v>-2.828698106629618E-2</c:v>
                </c:pt>
                <c:pt idx="13">
                  <c:v>-1.1954334667928057E-2</c:v>
                </c:pt>
                <c:pt idx="14">
                  <c:v>1.6343524053857861E-4</c:v>
                </c:pt>
                <c:pt idx="15">
                  <c:v>1.7286370980763244E-2</c:v>
                </c:pt>
                <c:pt idx="16">
                  <c:v>4.3497634152337983E-2</c:v>
                </c:pt>
                <c:pt idx="17">
                  <c:v>5.6010548731732834E-2</c:v>
                </c:pt>
                <c:pt idx="18">
                  <c:v>7.2474910020410371E-2</c:v>
                </c:pt>
                <c:pt idx="19">
                  <c:v>9.3417577579608224E-2</c:v>
                </c:pt>
                <c:pt idx="20">
                  <c:v>9.8027598740437955E-2</c:v>
                </c:pt>
                <c:pt idx="21">
                  <c:v>0.10342790924312414</c:v>
                </c:pt>
                <c:pt idx="22">
                  <c:v>0.10988193886828579</c:v>
                </c:pt>
                <c:pt idx="23">
                  <c:v>0.11396510046787775</c:v>
                </c:pt>
                <c:pt idx="24">
                  <c:v>0.1250291512538691</c:v>
                </c:pt>
                <c:pt idx="25">
                  <c:v>0.13280032978212489</c:v>
                </c:pt>
                <c:pt idx="26">
                  <c:v>0.14465466990997269</c:v>
                </c:pt>
                <c:pt idx="27">
                  <c:v>0.15387471223163213</c:v>
                </c:pt>
                <c:pt idx="28">
                  <c:v>0.180481120074135</c:v>
                </c:pt>
                <c:pt idx="29">
                  <c:v>0.1902280219570322</c:v>
                </c:pt>
                <c:pt idx="30">
                  <c:v>0.19707719625312203</c:v>
                </c:pt>
                <c:pt idx="31">
                  <c:v>0.20629723857478149</c:v>
                </c:pt>
                <c:pt idx="32">
                  <c:v>0.23883081648120824</c:v>
                </c:pt>
                <c:pt idx="33">
                  <c:v>0.2452848461063698</c:v>
                </c:pt>
                <c:pt idx="34">
                  <c:v>0.24699713968039236</c:v>
                </c:pt>
                <c:pt idx="35">
                  <c:v>0.25213402040245969</c:v>
                </c:pt>
                <c:pt idx="36">
                  <c:v>0.26267121162721341</c:v>
                </c:pt>
                <c:pt idx="37">
                  <c:v>0.26688608811711478</c:v>
                </c:pt>
                <c:pt idx="38">
                  <c:v>0.27360354752289523</c:v>
                </c:pt>
                <c:pt idx="39">
                  <c:v>0.27860871335465331</c:v>
                </c:pt>
                <c:pt idx="40">
                  <c:v>0.28927761946971625</c:v>
                </c:pt>
                <c:pt idx="41">
                  <c:v>0.29243877683714237</c:v>
                </c:pt>
                <c:pt idx="42">
                  <c:v>0.29757565755920973</c:v>
                </c:pt>
                <c:pt idx="43">
                  <c:v>0.3025808233909677</c:v>
                </c:pt>
                <c:pt idx="44">
                  <c:v>0.31654260176376625</c:v>
                </c:pt>
                <c:pt idx="45">
                  <c:v>0.32510406963387856</c:v>
                </c:pt>
                <c:pt idx="46">
                  <c:v>0.33089952480749302</c:v>
                </c:pt>
                <c:pt idx="47">
                  <c:v>0.33629983531017937</c:v>
                </c:pt>
                <c:pt idx="48">
                  <c:v>-0.13040055783361187</c:v>
                </c:pt>
                <c:pt idx="49">
                  <c:v>-0.15002607648971544</c:v>
                </c:pt>
                <c:pt idx="50">
                  <c:v>-0.1460746297804329</c:v>
                </c:pt>
                <c:pt idx="51">
                  <c:v>-0.12947855360144594</c:v>
                </c:pt>
                <c:pt idx="52">
                  <c:v>-0.10748216691977269</c:v>
                </c:pt>
                <c:pt idx="53">
                  <c:v>-7.7714601709843734E-2</c:v>
                </c:pt>
                <c:pt idx="54">
                  <c:v>-4.702503226774879E-2</c:v>
                </c:pt>
                <c:pt idx="55">
                  <c:v>-2.1867488218649533E-2</c:v>
                </c:pt>
                <c:pt idx="56">
                  <c:v>1.3432102384275169E-2</c:v>
                </c:pt>
                <c:pt idx="57">
                  <c:v>4.7546258974415001E-2</c:v>
                </c:pt>
                <c:pt idx="58">
                  <c:v>6.9806075436707027E-2</c:v>
                </c:pt>
                <c:pt idx="59">
                  <c:v>7.981640710022303E-2</c:v>
                </c:pt>
                <c:pt idx="60">
                  <c:v>8.4031283590124434E-2</c:v>
                </c:pt>
                <c:pt idx="61">
                  <c:v>8.8904734531573021E-2</c:v>
                </c:pt>
                <c:pt idx="62">
                  <c:v>0.10655452983303534</c:v>
                </c:pt>
                <c:pt idx="63">
                  <c:v>0.12328232090233171</c:v>
                </c:pt>
                <c:pt idx="64">
                  <c:v>0.14422498846152951</c:v>
                </c:pt>
                <c:pt idx="65">
                  <c:v>0.15423532012504548</c:v>
                </c:pt>
                <c:pt idx="66">
                  <c:v>0.16740680915598749</c:v>
                </c:pt>
                <c:pt idx="67">
                  <c:v>0.18189544709002378</c:v>
                </c:pt>
                <c:pt idx="68">
                  <c:v>0.1846614597865216</c:v>
                </c:pt>
                <c:pt idx="69">
                  <c:v>0.19664751480467887</c:v>
                </c:pt>
                <c:pt idx="70">
                  <c:v>0.25407520697958613</c:v>
                </c:pt>
                <c:pt idx="71">
                  <c:v>0.2751495894290934</c:v>
                </c:pt>
                <c:pt idx="72">
                  <c:v>0.20573584223602887</c:v>
                </c:pt>
                <c:pt idx="73">
                  <c:v>0.21772189725418606</c:v>
                </c:pt>
                <c:pt idx="74">
                  <c:v>0.23379111387193541</c:v>
                </c:pt>
                <c:pt idx="75">
                  <c:v>0.24748946246411516</c:v>
                </c:pt>
                <c:pt idx="76">
                  <c:v>0.28463306153137169</c:v>
                </c:pt>
                <c:pt idx="77">
                  <c:v>0.30399515040685643</c:v>
                </c:pt>
                <c:pt idx="78">
                  <c:v>0.32045951169553388</c:v>
                </c:pt>
                <c:pt idx="79">
                  <c:v>0.33995331546132818</c:v>
                </c:pt>
                <c:pt idx="80">
                  <c:v>0.3861852419599347</c:v>
                </c:pt>
                <c:pt idx="81">
                  <c:v>0.40159588412613689</c:v>
                </c:pt>
                <c:pt idx="82">
                  <c:v>0.41687481140202959</c:v>
                </c:pt>
                <c:pt idx="83">
                  <c:v>0.43123173444575646</c:v>
                </c:pt>
                <c:pt idx="84">
                  <c:v>0.45164754244371663</c:v>
                </c:pt>
                <c:pt idx="85">
                  <c:v>0.4686387632936318</c:v>
                </c:pt>
                <c:pt idx="86">
                  <c:v>0.48510312458230931</c:v>
                </c:pt>
                <c:pt idx="87">
                  <c:v>0.49959176251634563</c:v>
                </c:pt>
                <c:pt idx="88">
                  <c:v>0.52277358321080358</c:v>
                </c:pt>
                <c:pt idx="89">
                  <c:v>0.53910622960917176</c:v>
                </c:pt>
                <c:pt idx="90">
                  <c:v>0.55557059089784921</c:v>
                </c:pt>
                <c:pt idx="91">
                  <c:v>0.57269352663807382</c:v>
                </c:pt>
                <c:pt idx="92">
                  <c:v>0.59877307491933918</c:v>
                </c:pt>
                <c:pt idx="93">
                  <c:v>0.61536915109832613</c:v>
                </c:pt>
                <c:pt idx="94">
                  <c:v>0.63802411223154643</c:v>
                </c:pt>
                <c:pt idx="95">
                  <c:v>0.65606905220393696</c:v>
                </c:pt>
                <c:pt idx="96">
                  <c:v>-0.18667735277324934</c:v>
                </c:pt>
                <c:pt idx="97">
                  <c:v>-0.18338448051551384</c:v>
                </c:pt>
                <c:pt idx="98">
                  <c:v>-0.1573049322342486</c:v>
                </c:pt>
                <c:pt idx="99">
                  <c:v>-0.11686846090925659</c:v>
                </c:pt>
                <c:pt idx="100">
                  <c:v>-7.1031679081578286E-2</c:v>
                </c:pt>
                <c:pt idx="101">
                  <c:v>-2.7038905718231948E-2</c:v>
                </c:pt>
                <c:pt idx="102">
                  <c:v>2.9993641785747094E-2</c:v>
                </c:pt>
                <c:pt idx="103">
                  <c:v>3.7633105423693469E-2</c:v>
                </c:pt>
                <c:pt idx="104">
                  <c:v>5.5546330505774621E-2</c:v>
                </c:pt>
                <c:pt idx="105">
                  <c:v>7.7674432077757205E-2</c:v>
                </c:pt>
                <c:pt idx="106">
                  <c:v>9.242649979241227E-2</c:v>
                </c:pt>
                <c:pt idx="107">
                  <c:v>0.10625656327490149</c:v>
                </c:pt>
                <c:pt idx="108">
                  <c:v>0.15038105152855724</c:v>
                </c:pt>
                <c:pt idx="109">
                  <c:v>0.16934799573311382</c:v>
                </c:pt>
                <c:pt idx="110">
                  <c:v>0.23243942819132615</c:v>
                </c:pt>
                <c:pt idx="111">
                  <c:v>0.25878240625321025</c:v>
                </c:pt>
                <c:pt idx="112">
                  <c:v>0.18528549746055362</c:v>
                </c:pt>
                <c:pt idx="113">
                  <c:v>0.20306700765232547</c:v>
                </c:pt>
                <c:pt idx="114">
                  <c:v>0.22348281565028555</c:v>
                </c:pt>
                <c:pt idx="115">
                  <c:v>0.24521577255133992</c:v>
                </c:pt>
                <c:pt idx="116">
                  <c:v>0.25983612537568562</c:v>
                </c:pt>
                <c:pt idx="117">
                  <c:v>0.28222765672828704</c:v>
                </c:pt>
                <c:pt idx="118">
                  <c:v>0.30540947742274505</c:v>
                </c:pt>
                <c:pt idx="119">
                  <c:v>0.32819615344627479</c:v>
                </c:pt>
                <c:pt idx="120">
                  <c:v>0.31963468557616237</c:v>
                </c:pt>
                <c:pt idx="121">
                  <c:v>0.34821681677330657</c:v>
                </c:pt>
                <c:pt idx="122">
                  <c:v>0.37495493950611897</c:v>
                </c:pt>
                <c:pt idx="123">
                  <c:v>0.40182477712924064</c:v>
                </c:pt>
                <c:pt idx="124">
                  <c:v>0.45740846083981612</c:v>
                </c:pt>
                <c:pt idx="125">
                  <c:v>0.49060061319779003</c:v>
                </c:pt>
                <c:pt idx="126">
                  <c:v>0.51865588483369662</c:v>
                </c:pt>
                <c:pt idx="127">
                  <c:v>0.55593119879126252</c:v>
                </c:pt>
                <c:pt idx="128">
                  <c:v>-0.23004608846256366</c:v>
                </c:pt>
                <c:pt idx="129">
                  <c:v>-0.20791798689058102</c:v>
                </c:pt>
                <c:pt idx="130">
                  <c:v>-0.1531245925218622</c:v>
                </c:pt>
                <c:pt idx="131">
                  <c:v>-9.8726342824071583E-2</c:v>
                </c:pt>
                <c:pt idx="132">
                  <c:v>-2.4570859579867932E-2</c:v>
                </c:pt>
                <c:pt idx="133">
                  <c:v>-1.784183556338248E-3</c:v>
                </c:pt>
                <c:pt idx="134">
                  <c:v>3.1144539021016826E-2</c:v>
                </c:pt>
                <c:pt idx="135">
                  <c:v>4.4052598271340088E-2</c:v>
                </c:pt>
                <c:pt idx="136">
                  <c:v>7.6981320848695217E-2</c:v>
                </c:pt>
                <c:pt idx="137">
                  <c:v>0.11043690298728791</c:v>
                </c:pt>
                <c:pt idx="138">
                  <c:v>0.21699424924760893</c:v>
                </c:pt>
                <c:pt idx="139">
                  <c:v>0.24188836351608939</c:v>
                </c:pt>
                <c:pt idx="140">
                  <c:v>0.14191676177123932</c:v>
                </c:pt>
                <c:pt idx="141">
                  <c:v>0.16878659939436114</c:v>
                </c:pt>
                <c:pt idx="142">
                  <c:v>0.20751077714533073</c:v>
                </c:pt>
                <c:pt idx="143">
                  <c:v>0.24425923154165893</c:v>
                </c:pt>
                <c:pt idx="144">
                  <c:v>0.24676181445753795</c:v>
                </c:pt>
                <c:pt idx="145">
                  <c:v>0.27718795411901398</c:v>
                </c:pt>
                <c:pt idx="146">
                  <c:v>0.31103868092853515</c:v>
                </c:pt>
                <c:pt idx="147">
                  <c:v>0.34278196949310541</c:v>
                </c:pt>
                <c:pt idx="148">
                  <c:v>0.36741265398096701</c:v>
                </c:pt>
                <c:pt idx="149">
                  <c:v>0.4008682361195598</c:v>
                </c:pt>
                <c:pt idx="150">
                  <c:v>0.43419210336784309</c:v>
                </c:pt>
                <c:pt idx="151">
                  <c:v>0.47436514491221626</c:v>
                </c:pt>
                <c:pt idx="152">
                  <c:v>-0.26340449248836195</c:v>
                </c:pt>
                <c:pt idx="153">
                  <c:v>-0.22402174028584526</c:v>
                </c:pt>
                <c:pt idx="154">
                  <c:v>-0.14789053368700034</c:v>
                </c:pt>
                <c:pt idx="155">
                  <c:v>-7.0705607965680012E-2</c:v>
                </c:pt>
                <c:pt idx="156">
                  <c:v>-2.6976264382952447E-2</c:v>
                </c:pt>
                <c:pt idx="157">
                  <c:v>-5.2433074818980796E-3</c:v>
                </c:pt>
                <c:pt idx="158">
                  <c:v>3.5588308514022171E-2</c:v>
                </c:pt>
                <c:pt idx="159">
                  <c:v>5.6662690963529438E-2</c:v>
                </c:pt>
                <c:pt idx="160">
                  <c:v>7.8132218083965019E-2</c:v>
                </c:pt>
                <c:pt idx="161">
                  <c:v>0.11092922577101064</c:v>
                </c:pt>
                <c:pt idx="162">
                  <c:v>0.18086983252531294</c:v>
                </c:pt>
                <c:pt idx="163">
                  <c:v>0.20589566168410273</c:v>
                </c:pt>
                <c:pt idx="164">
                  <c:v>0.17902582406098097</c:v>
                </c:pt>
                <c:pt idx="165">
                  <c:v>0.21827686137318827</c:v>
                </c:pt>
                <c:pt idx="166">
                  <c:v>0.26766994523922083</c:v>
                </c:pt>
                <c:pt idx="167">
                  <c:v>0.31574588020215932</c:v>
                </c:pt>
                <c:pt idx="168">
                  <c:v>0.32852222456217306</c:v>
                </c:pt>
                <c:pt idx="169">
                  <c:v>0.37291014259644767</c:v>
                </c:pt>
                <c:pt idx="170">
                  <c:v>0.42045921799814845</c:v>
                </c:pt>
                <c:pt idx="171">
                  <c:v>-0.29992405388158638</c:v>
                </c:pt>
                <c:pt idx="172">
                  <c:v>-0.23446175339780448</c:v>
                </c:pt>
                <c:pt idx="173">
                  <c:v>-0.1391001728137842</c:v>
                </c:pt>
                <c:pt idx="174">
                  <c:v>-7.9169897722997928E-2</c:v>
                </c:pt>
                <c:pt idx="175">
                  <c:v>-3.2279396772844304E-2</c:v>
                </c:pt>
                <c:pt idx="176">
                  <c:v>-1.278559300705015E-2</c:v>
                </c:pt>
                <c:pt idx="177">
                  <c:v>0.1199830164248457</c:v>
                </c:pt>
                <c:pt idx="178">
                  <c:v>0.14118911376466231</c:v>
                </c:pt>
                <c:pt idx="179">
                  <c:v>8.6395719395943385E-2</c:v>
                </c:pt>
                <c:pt idx="180">
                  <c:v>0.12577847159846017</c:v>
                </c:pt>
                <c:pt idx="181">
                  <c:v>0.1709566789745913</c:v>
                </c:pt>
                <c:pt idx="182">
                  <c:v>0.2145543076670095</c:v>
                </c:pt>
                <c:pt idx="183">
                  <c:v>0.22825265625918922</c:v>
                </c:pt>
                <c:pt idx="184">
                  <c:v>0.27817259968645947</c:v>
                </c:pt>
                <c:pt idx="185">
                  <c:v>0.3428446108283848</c:v>
                </c:pt>
                <c:pt idx="186">
                  <c:v>0.40712147729938197</c:v>
                </c:pt>
                <c:pt idx="187">
                  <c:v>-0.33117501966243401</c:v>
                </c:pt>
                <c:pt idx="188">
                  <c:v>-0.24779949409657093</c:v>
                </c:pt>
                <c:pt idx="189">
                  <c:v>-0.12556807588942881</c:v>
                </c:pt>
                <c:pt idx="190">
                  <c:v>-9.9225097827544823E-2</c:v>
                </c:pt>
                <c:pt idx="191">
                  <c:v>-2.8230771950767203E-2</c:v>
                </c:pt>
                <c:pt idx="192">
                  <c:v>3.3938656275279158E-2</c:v>
                </c:pt>
                <c:pt idx="193">
                  <c:v>8.4122029483168284E-2</c:v>
                </c:pt>
                <c:pt idx="194">
                  <c:v>0.10572327149391333</c:v>
                </c:pt>
                <c:pt idx="195">
                  <c:v>0.10084982055246466</c:v>
                </c:pt>
                <c:pt idx="196">
                  <c:v>0.15261377244406699</c:v>
                </c:pt>
                <c:pt idx="197">
                  <c:v>0.20635344769031033</c:v>
                </c:pt>
                <c:pt idx="198">
                  <c:v>0.26206884629119515</c:v>
                </c:pt>
                <c:pt idx="199">
                  <c:v>0.28432866275348728</c:v>
                </c:pt>
                <c:pt idx="200">
                  <c:v>-0.36203084077235337</c:v>
                </c:pt>
                <c:pt idx="201">
                  <c:v>-0.25534177962172289</c:v>
                </c:pt>
                <c:pt idx="202">
                  <c:v>-0.14456955687150042</c:v>
                </c:pt>
                <c:pt idx="203">
                  <c:v>-0.11467027677126193</c:v>
                </c:pt>
                <c:pt idx="204">
                  <c:v>1.1249158364543856E-2</c:v>
                </c:pt>
                <c:pt idx="205">
                  <c:v>7.5394309945231552E-2</c:v>
                </c:pt>
                <c:pt idx="206">
                  <c:v>4.7997612760872194E-2</c:v>
                </c:pt>
                <c:pt idx="207">
                  <c:v>8.8434084085864229E-2</c:v>
                </c:pt>
                <c:pt idx="208">
                  <c:v>0.12188966622445699</c:v>
                </c:pt>
                <c:pt idx="209">
                  <c:v>0.18419080934081278</c:v>
                </c:pt>
                <c:pt idx="210">
                  <c:v>0.25057511405676058</c:v>
                </c:pt>
                <c:pt idx="211">
                  <c:v>0.32156943993353826</c:v>
                </c:pt>
                <c:pt idx="212">
                  <c:v>-0.39077922363732198</c:v>
                </c:pt>
                <c:pt idx="213">
                  <c:v>-0.26512321828213492</c:v>
                </c:pt>
                <c:pt idx="214">
                  <c:v>-0.1716056461624465</c:v>
                </c:pt>
                <c:pt idx="215">
                  <c:v>-0.13828177891416316</c:v>
                </c:pt>
                <c:pt idx="216">
                  <c:v>-2.6850981712393571E-2</c:v>
                </c:pt>
                <c:pt idx="217">
                  <c:v>3.8347888990769484E-2</c:v>
                </c:pt>
                <c:pt idx="218">
                  <c:v>4.4538488835312348E-2</c:v>
                </c:pt>
                <c:pt idx="219">
                  <c:v>0.10354675969393259</c:v>
                </c:pt>
                <c:pt idx="220">
                  <c:v>0.14753953305727902</c:v>
                </c:pt>
                <c:pt idx="221">
                  <c:v>0.22143158652086381</c:v>
                </c:pt>
                <c:pt idx="222">
                  <c:v>-0.42097647029569418</c:v>
                </c:pt>
                <c:pt idx="223">
                  <c:v>-0.26963606133017026</c:v>
                </c:pt>
                <c:pt idx="224">
                  <c:v>-0.19877345034370214</c:v>
                </c:pt>
                <c:pt idx="225">
                  <c:v>-0.15767840456716295</c:v>
                </c:pt>
                <c:pt idx="226">
                  <c:v>-6.4424262228093332E-2</c:v>
                </c:pt>
                <c:pt idx="227">
                  <c:v>9.0632336537914415E-4</c:v>
                </c:pt>
                <c:pt idx="228">
                  <c:v>5.3065419927909668E-2</c:v>
                </c:pt>
                <c:pt idx="229">
                  <c:v>0.12155716288880822</c:v>
                </c:pt>
                <c:pt idx="230">
                  <c:v>0.177272561489693</c:v>
                </c:pt>
                <c:pt idx="231">
                  <c:v>-0.49727392856236352</c:v>
                </c:pt>
                <c:pt idx="232">
                  <c:v>-0.29285241880214324</c:v>
                </c:pt>
                <c:pt idx="233">
                  <c:v>-0.22541439496372007</c:v>
                </c:pt>
                <c:pt idx="234">
                  <c:v>-0.18155333649068306</c:v>
                </c:pt>
                <c:pt idx="235">
                  <c:v>-8.5533181455115639E-2</c:v>
                </c:pt>
                <c:pt idx="236">
                  <c:v>-2.2310034106593782E-2</c:v>
                </c:pt>
                <c:pt idx="237">
                  <c:v>6.1855780801125831E-2</c:v>
                </c:pt>
                <c:pt idx="238">
                  <c:v>0.14404587235420402</c:v>
                </c:pt>
                <c:pt idx="239">
                  <c:v>-0.52562716675640386</c:v>
                </c:pt>
                <c:pt idx="240">
                  <c:v>-0.322917950570206</c:v>
                </c:pt>
                <c:pt idx="241">
                  <c:v>-0.25310905870621325</c:v>
                </c:pt>
                <c:pt idx="242">
                  <c:v>-0.19778880477625668</c:v>
                </c:pt>
                <c:pt idx="243">
                  <c:v>-9.2153462748101489E-2</c:v>
                </c:pt>
                <c:pt idx="244">
                  <c:v>-2.1027421981014649E-2</c:v>
                </c:pt>
                <c:pt idx="245">
                  <c:v>7.5651307506099968E-2</c:v>
                </c:pt>
                <c:pt idx="246">
                  <c:v>0.17351547100599923</c:v>
                </c:pt>
                <c:pt idx="247">
                  <c:v>-0.55174125181518408</c:v>
                </c:pt>
                <c:pt idx="248">
                  <c:v>2.4602280045243591E-2</c:v>
                </c:pt>
                <c:pt idx="249">
                  <c:v>0.10336778445027694</c:v>
                </c:pt>
                <c:pt idx="250">
                  <c:v>0.16263948508951612</c:v>
                </c:pt>
                <c:pt idx="251">
                  <c:v>0.28210489060016042</c:v>
                </c:pt>
                <c:pt idx="252">
                  <c:v>0.36455841193385752</c:v>
                </c:pt>
                <c:pt idx="253">
                  <c:v>0.46953517951046553</c:v>
                </c:pt>
                <c:pt idx="254">
                  <c:v>-0.16330499762140757</c:v>
                </c:pt>
                <c:pt idx="255">
                  <c:v>2.3335001947041051E-2</c:v>
                </c:pt>
                <c:pt idx="256">
                  <c:v>0.10631538284197584</c:v>
                </c:pt>
                <c:pt idx="257">
                  <c:v>0.17572913003504037</c:v>
                </c:pt>
                <c:pt idx="258">
                  <c:v>0.30836602457662671</c:v>
                </c:pt>
                <c:pt idx="259">
                  <c:v>0.39951272867074561</c:v>
                </c:pt>
                <c:pt idx="260">
                  <c:v>-0.15443022916578475</c:v>
                </c:pt>
                <c:pt idx="261">
                  <c:v>2.3516587642242182E-2</c:v>
                </c:pt>
                <c:pt idx="262">
                  <c:v>0.11308271305264798</c:v>
                </c:pt>
                <c:pt idx="263">
                  <c:v>0.1922433621286096</c:v>
                </c:pt>
                <c:pt idx="264">
                  <c:v>0.33423201388216478</c:v>
                </c:pt>
                <c:pt idx="265">
                  <c:v>0.43855020700722563</c:v>
                </c:pt>
                <c:pt idx="266">
                  <c:v>-0.14884833296789735</c:v>
                </c:pt>
                <c:pt idx="267">
                  <c:v>2.3829888227752644E-2</c:v>
                </c:pt>
                <c:pt idx="268">
                  <c:v>0.12380148997260271</c:v>
                </c:pt>
                <c:pt idx="269">
                  <c:v>0.21086503246712965</c:v>
                </c:pt>
                <c:pt idx="270">
                  <c:v>0.36378602011636652</c:v>
                </c:pt>
                <c:pt idx="271">
                  <c:v>0.48338314051732029</c:v>
                </c:pt>
                <c:pt idx="272">
                  <c:v>-0.14247614742815362</c:v>
                </c:pt>
                <c:pt idx="273">
                  <c:v>2.5987197277594992E-2</c:v>
                </c:pt>
                <c:pt idx="274">
                  <c:v>0.13214939886698782</c:v>
                </c:pt>
                <c:pt idx="275">
                  <c:v>0.22869641346379288</c:v>
                </c:pt>
                <c:pt idx="276">
                  <c:v>0.39360345613118719</c:v>
                </c:pt>
                <c:pt idx="277">
                  <c:v>-0.13386480875314954</c:v>
                </c:pt>
                <c:pt idx="278">
                  <c:v>2.4061344727845407E-2</c:v>
                </c:pt>
                <c:pt idx="279">
                  <c:v>0.1389167290776599</c:v>
                </c:pt>
                <c:pt idx="280">
                  <c:v>0.24824008803447875</c:v>
                </c:pt>
                <c:pt idx="281">
                  <c:v>0.42566004528126811</c:v>
                </c:pt>
                <c:pt idx="282">
                  <c:v>-0.12433146584597965</c:v>
                </c:pt>
                <c:pt idx="283">
                  <c:v>2.582350910675954E-2</c:v>
                </c:pt>
                <c:pt idx="284">
                  <c:v>0.1477914975332828</c:v>
                </c:pt>
                <c:pt idx="285">
                  <c:v>0.2701546306307343</c:v>
                </c:pt>
                <c:pt idx="286">
                  <c:v>0.46140465136001263</c:v>
                </c:pt>
                <c:pt idx="287">
                  <c:v>-0.11637870162252278</c:v>
                </c:pt>
                <c:pt idx="288">
                  <c:v>2.9297967059696173E-2</c:v>
                </c:pt>
                <c:pt idx="289">
                  <c:v>0.15837855956292804</c:v>
                </c:pt>
                <c:pt idx="290">
                  <c:v>0.2903568796529673</c:v>
                </c:pt>
                <c:pt idx="291">
                  <c:v>-0.11264081388896741</c:v>
                </c:pt>
                <c:pt idx="292">
                  <c:v>2.7898974071184107E-2</c:v>
                </c:pt>
                <c:pt idx="293">
                  <c:v>0.16936076626350163</c:v>
                </c:pt>
                <c:pt idx="294">
                  <c:v>0.31292999670076976</c:v>
                </c:pt>
                <c:pt idx="295">
                  <c:v>-0.10152689229808437</c:v>
                </c:pt>
                <c:pt idx="296">
                  <c:v>2.9792853340407766E-2</c:v>
                </c:pt>
                <c:pt idx="297">
                  <c:v>0.18179183675747881</c:v>
                </c:pt>
                <c:pt idx="298">
                  <c:v>0.33589825841950055</c:v>
                </c:pt>
                <c:pt idx="299">
                  <c:v>-8.448580064327757E-2</c:v>
                </c:pt>
                <c:pt idx="300">
                  <c:v>3.5111319757676132E-2</c:v>
                </c:pt>
                <c:pt idx="301">
                  <c:v>0.19474976681269368</c:v>
                </c:pt>
                <c:pt idx="302">
                  <c:v>0.35873480524792201</c:v>
                </c:pt>
                <c:pt idx="303">
                  <c:v>-8.5884793631789469E-2</c:v>
                </c:pt>
                <c:pt idx="304">
                  <c:v>3.7532058588137421E-2</c:v>
                </c:pt>
                <c:pt idx="305">
                  <c:v>0.20718083730667081</c:v>
                </c:pt>
                <c:pt idx="306">
                  <c:v>0.38881567104336145</c:v>
                </c:pt>
                <c:pt idx="307">
                  <c:v>-8.7810646181539137E-2</c:v>
                </c:pt>
                <c:pt idx="308">
                  <c:v>4.0479656979836257E-2</c:v>
                </c:pt>
                <c:pt idx="309">
                  <c:v>0.22066562692312336</c:v>
                </c:pt>
                <c:pt idx="310">
                  <c:v>-9.0526788073145292E-2</c:v>
                </c:pt>
                <c:pt idx="311">
                  <c:v>4.197839157813163E-2</c:v>
                </c:pt>
                <c:pt idx="312">
                  <c:v>0.23731157390700197</c:v>
                </c:pt>
                <c:pt idx="313">
                  <c:v>-9.4296649087226792E-2</c:v>
                </c:pt>
                <c:pt idx="314">
                  <c:v>4.4794275079521051E-2</c:v>
                </c:pt>
                <c:pt idx="315">
                  <c:v>0.24947921462036021</c:v>
                </c:pt>
                <c:pt idx="316">
                  <c:v>-9.7803080320689517E-2</c:v>
                </c:pt>
                <c:pt idx="317">
                  <c:v>4.7478443690601113E-2</c:v>
                </c:pt>
                <c:pt idx="318">
                  <c:v>0.26493972759145412</c:v>
                </c:pt>
                <c:pt idx="319">
                  <c:v>-0.10065093710260511</c:v>
                </c:pt>
                <c:pt idx="320">
                  <c:v>4.9767467630753001E-2</c:v>
                </c:pt>
                <c:pt idx="321">
                  <c:v>0.28105881501409513</c:v>
                </c:pt>
                <c:pt idx="322">
                  <c:v>-0.10481594278761483</c:v>
                </c:pt>
                <c:pt idx="323">
                  <c:v>5.6403082951115589E-2</c:v>
                </c:pt>
                <c:pt idx="324">
                  <c:v>0.29665104287549832</c:v>
                </c:pt>
                <c:pt idx="325">
                  <c:v>-0.10871751869200585</c:v>
                </c:pt>
                <c:pt idx="326">
                  <c:v>5.9087251562195735E-2</c:v>
                </c:pt>
                <c:pt idx="327">
                  <c:v>0.31290184518844877</c:v>
                </c:pt>
                <c:pt idx="328">
                  <c:v>0.22075129277674613</c:v>
                </c:pt>
                <c:pt idx="329">
                  <c:v>6.7698590237199721E-2</c:v>
                </c:pt>
                <c:pt idx="330">
                  <c:v>0.3345529580040853</c:v>
                </c:pt>
                <c:pt idx="331">
                  <c:v>0.22053773380101896</c:v>
                </c:pt>
                <c:pt idx="332">
                  <c:v>7.2226767312611601E-2</c:v>
                </c:pt>
                <c:pt idx="333">
                  <c:v>0.22150960883807647</c:v>
                </c:pt>
                <c:pt idx="334">
                  <c:v>7.8203808181427151E-2</c:v>
                </c:pt>
                <c:pt idx="335">
                  <c:v>0.21826660738523262</c:v>
                </c:pt>
                <c:pt idx="336">
                  <c:v>8.4575993721171083E-2</c:v>
                </c:pt>
                <c:pt idx="337">
                  <c:v>0.21884333775136194</c:v>
                </c:pt>
                <c:pt idx="338">
                  <c:v>9.0026175028748961E-2</c:v>
                </c:pt>
                <c:pt idx="339">
                  <c:v>0.22047378723996666</c:v>
                </c:pt>
                <c:pt idx="340">
                  <c:v>9.6925220129730469E-2</c:v>
                </c:pt>
                <c:pt idx="341">
                  <c:v>0.21894307936114527</c:v>
                </c:pt>
                <c:pt idx="342">
                  <c:v>0.10461455457256855</c:v>
                </c:pt>
                <c:pt idx="343">
                  <c:v>0.22294439687531964</c:v>
                </c:pt>
                <c:pt idx="344">
                  <c:v>0.11230388901540647</c:v>
                </c:pt>
                <c:pt idx="345">
                  <c:v>0.2228625527899018</c:v>
                </c:pt>
                <c:pt idx="346">
                  <c:v>0.11722721076174678</c:v>
                </c:pt>
                <c:pt idx="347">
                  <c:v>0.22462471716881599</c:v>
                </c:pt>
                <c:pt idx="348">
                  <c:v>0.1243896856433471</c:v>
                </c:pt>
                <c:pt idx="349">
                  <c:v>0.22348915396092284</c:v>
                </c:pt>
                <c:pt idx="350">
                  <c:v>0.13221073497649455</c:v>
                </c:pt>
                <c:pt idx="351">
                  <c:v>0.22235359075302968</c:v>
                </c:pt>
                <c:pt idx="352">
                  <c:v>0.13963663963871376</c:v>
                </c:pt>
                <c:pt idx="353">
                  <c:v>0.22385232535132499</c:v>
                </c:pt>
                <c:pt idx="354">
                  <c:v>0.14798454853309884</c:v>
                </c:pt>
                <c:pt idx="355">
                  <c:v>0.22627306418178622</c:v>
                </c:pt>
                <c:pt idx="356">
                  <c:v>0.15620074253717453</c:v>
                </c:pt>
                <c:pt idx="357">
                  <c:v>0.23185496037967346</c:v>
                </c:pt>
                <c:pt idx="358">
                  <c:v>0.16336321741877502</c:v>
                </c:pt>
                <c:pt idx="359">
                  <c:v>0.2348025587713724</c:v>
                </c:pt>
                <c:pt idx="360">
                  <c:v>0.17684800703522752</c:v>
                </c:pt>
                <c:pt idx="361">
                  <c:v>0.23656472315028654</c:v>
                </c:pt>
                <c:pt idx="362">
                  <c:v>0.18572277549085031</c:v>
                </c:pt>
                <c:pt idx="363">
                  <c:v>0.23766831307765368</c:v>
                </c:pt>
                <c:pt idx="364">
                  <c:v>0.23864018811471122</c:v>
                </c:pt>
                <c:pt idx="365">
                  <c:v>0.24145607161610066</c:v>
                </c:pt>
                <c:pt idx="366">
                  <c:v>0.2392667892857322</c:v>
                </c:pt>
                <c:pt idx="367">
                  <c:v>0.24603411949640436</c:v>
                </c:pt>
                <c:pt idx="368">
                  <c:v>0.24964029233965024</c:v>
                </c:pt>
                <c:pt idx="369">
                  <c:v>0.2490315886929948</c:v>
                </c:pt>
                <c:pt idx="370">
                  <c:v>0.25514034445211992</c:v>
                </c:pt>
                <c:pt idx="371">
                  <c:v>0.25861480240505641</c:v>
                </c:pt>
                <c:pt idx="372">
                  <c:v>0.26037696678397054</c:v>
                </c:pt>
                <c:pt idx="373">
                  <c:v>0.26622229276247672</c:v>
                </c:pt>
                <c:pt idx="374">
                  <c:v>0.26916989115417556</c:v>
                </c:pt>
                <c:pt idx="375">
                  <c:v>0.27053691086216147</c:v>
                </c:pt>
                <c:pt idx="376">
                  <c:v>0.27493337304726401</c:v>
                </c:pt>
                <c:pt idx="377">
                  <c:v>0.27814440121958173</c:v>
                </c:pt>
                <c:pt idx="378">
                  <c:v>0.28359458252715963</c:v>
                </c:pt>
              </c:numCache>
            </c:numRef>
          </c:yVal>
          <c:smooth val="0"/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plot!$Q$33:$Q$411</c:f>
              <c:numCache>
                <c:formatCode>General</c:formatCode>
                <c:ptCount val="379"/>
                <c:pt idx="0">
                  <c:v>-0.29883623873011983</c:v>
                </c:pt>
                <c:pt idx="1">
                  <c:v>-0.27884277871339841</c:v>
                </c:pt>
                <c:pt idx="2">
                  <c:v>-0.25884931869667688</c:v>
                </c:pt>
                <c:pt idx="3">
                  <c:v>-0.23885585867995549</c:v>
                </c:pt>
                <c:pt idx="4">
                  <c:v>-0.21886239866323395</c:v>
                </c:pt>
                <c:pt idx="5">
                  <c:v>-0.19886893864651253</c:v>
                </c:pt>
                <c:pt idx="6">
                  <c:v>-0.17887547862979111</c:v>
                </c:pt>
                <c:pt idx="7">
                  <c:v>-0.15888201861306964</c:v>
                </c:pt>
                <c:pt idx="8">
                  <c:v>-0.13888855859634816</c:v>
                </c:pt>
                <c:pt idx="9">
                  <c:v>-0.11889509857962674</c:v>
                </c:pt>
                <c:pt idx="10">
                  <c:v>-9.8901638562905264E-2</c:v>
                </c:pt>
                <c:pt idx="11">
                  <c:v>-7.8908178546183816E-2</c:v>
                </c:pt>
                <c:pt idx="12">
                  <c:v>-5.8914718529462375E-2</c:v>
                </c:pt>
                <c:pt idx="13">
                  <c:v>-3.8921258512740899E-2</c:v>
                </c:pt>
                <c:pt idx="14">
                  <c:v>-1.8927798496019478E-2</c:v>
                </c:pt>
                <c:pt idx="15">
                  <c:v>1.0656615207019992E-3</c:v>
                </c:pt>
                <c:pt idx="16">
                  <c:v>2.1059121537423446E-2</c:v>
                </c:pt>
                <c:pt idx="17">
                  <c:v>4.1052581554144922E-2</c:v>
                </c:pt>
                <c:pt idx="18">
                  <c:v>6.1046041570866356E-2</c:v>
                </c:pt>
                <c:pt idx="19">
                  <c:v>8.1039501587587784E-2</c:v>
                </c:pt>
                <c:pt idx="20">
                  <c:v>0.10103296160430927</c:v>
                </c:pt>
                <c:pt idx="21">
                  <c:v>0.12102642162103069</c:v>
                </c:pt>
                <c:pt idx="22">
                  <c:v>0.1410198816377522</c:v>
                </c:pt>
                <c:pt idx="23">
                  <c:v>0.16101334165447362</c:v>
                </c:pt>
                <c:pt idx="24">
                  <c:v>0.18100680167119504</c:v>
                </c:pt>
                <c:pt idx="25">
                  <c:v>0.20100026168791651</c:v>
                </c:pt>
                <c:pt idx="26">
                  <c:v>0.22099372170463802</c:v>
                </c:pt>
                <c:pt idx="27">
                  <c:v>0.24098718172135949</c:v>
                </c:pt>
                <c:pt idx="28">
                  <c:v>0.26098064173808089</c:v>
                </c:pt>
                <c:pt idx="29">
                  <c:v>0.28097410175480236</c:v>
                </c:pt>
                <c:pt idx="30">
                  <c:v>0.30096756177152384</c:v>
                </c:pt>
                <c:pt idx="31">
                  <c:v>0.3209610217882452</c:v>
                </c:pt>
                <c:pt idx="32">
                  <c:v>0.34095448180496674</c:v>
                </c:pt>
                <c:pt idx="33">
                  <c:v>0.36094794182168816</c:v>
                </c:pt>
                <c:pt idx="34">
                  <c:v>0.38094140183840969</c:v>
                </c:pt>
                <c:pt idx="35">
                  <c:v>0.40093486185513105</c:v>
                </c:pt>
                <c:pt idx="36">
                  <c:v>0.42092832187185253</c:v>
                </c:pt>
                <c:pt idx="37">
                  <c:v>0.44092178188857395</c:v>
                </c:pt>
                <c:pt idx="38">
                  <c:v>0.46091524190529537</c:v>
                </c:pt>
                <c:pt idx="39">
                  <c:v>0.4809087019220169</c:v>
                </c:pt>
                <c:pt idx="40">
                  <c:v>0.50090216193873827</c:v>
                </c:pt>
                <c:pt idx="41">
                  <c:v>0.5208956219554598</c:v>
                </c:pt>
                <c:pt idx="42">
                  <c:v>0.54088908197218111</c:v>
                </c:pt>
                <c:pt idx="43">
                  <c:v>0.56088254198890264</c:v>
                </c:pt>
                <c:pt idx="44">
                  <c:v>0.58087600200562417</c:v>
                </c:pt>
                <c:pt idx="45">
                  <c:v>0.60086946202234559</c:v>
                </c:pt>
                <c:pt idx="46">
                  <c:v>0.62086292203906701</c:v>
                </c:pt>
                <c:pt idx="47">
                  <c:v>0.64085638205578843</c:v>
                </c:pt>
                <c:pt idx="48">
                  <c:v>-0.3273379173405922</c:v>
                </c:pt>
                <c:pt idx="49">
                  <c:v>-0.30734445732387078</c:v>
                </c:pt>
                <c:pt idx="50">
                  <c:v>-0.2873509973071493</c:v>
                </c:pt>
                <c:pt idx="51">
                  <c:v>-0.26735753729042788</c:v>
                </c:pt>
                <c:pt idx="52">
                  <c:v>-0.24736407727370635</c:v>
                </c:pt>
                <c:pt idx="53">
                  <c:v>-0.22737061725698493</c:v>
                </c:pt>
                <c:pt idx="54">
                  <c:v>-0.20737715724026351</c:v>
                </c:pt>
                <c:pt idx="55">
                  <c:v>-0.18738369722354203</c:v>
                </c:pt>
                <c:pt idx="56">
                  <c:v>-0.16739023720682056</c:v>
                </c:pt>
                <c:pt idx="57">
                  <c:v>-0.14739677719009914</c:v>
                </c:pt>
                <c:pt idx="58">
                  <c:v>-0.12740331717337766</c:v>
                </c:pt>
                <c:pt idx="59">
                  <c:v>-0.10740985715665621</c:v>
                </c:pt>
                <c:pt idx="60">
                  <c:v>-8.7416397139934765E-2</c:v>
                </c:pt>
                <c:pt idx="61">
                  <c:v>-6.7422937123213289E-2</c:v>
                </c:pt>
                <c:pt idx="62">
                  <c:v>-4.7429477106491875E-2</c:v>
                </c:pt>
                <c:pt idx="63">
                  <c:v>-2.7436017089770399E-2</c:v>
                </c:pt>
                <c:pt idx="64">
                  <c:v>-7.4425570730489504E-3</c:v>
                </c:pt>
                <c:pt idx="65">
                  <c:v>1.2550902943672526E-2</c:v>
                </c:pt>
                <c:pt idx="66">
                  <c:v>3.2544362960393959E-2</c:v>
                </c:pt>
                <c:pt idx="67">
                  <c:v>5.253782297711538E-2</c:v>
                </c:pt>
                <c:pt idx="68">
                  <c:v>7.2531282993836876E-2</c:v>
                </c:pt>
                <c:pt idx="69">
                  <c:v>9.2524743010558297E-2</c:v>
                </c:pt>
                <c:pt idx="70">
                  <c:v>0.11251820302727979</c:v>
                </c:pt>
                <c:pt idx="71">
                  <c:v>0.13251166304400122</c:v>
                </c:pt>
                <c:pt idx="72">
                  <c:v>0.15250512306072264</c:v>
                </c:pt>
                <c:pt idx="73">
                  <c:v>0.17249858307744415</c:v>
                </c:pt>
                <c:pt idx="74">
                  <c:v>0.19249204309416562</c:v>
                </c:pt>
                <c:pt idx="75">
                  <c:v>0.2124855031108871</c:v>
                </c:pt>
                <c:pt idx="76">
                  <c:v>0.23247896312760846</c:v>
                </c:pt>
                <c:pt idx="77">
                  <c:v>0.25247242314432994</c:v>
                </c:pt>
                <c:pt idx="78">
                  <c:v>0.27246588316105141</c:v>
                </c:pt>
                <c:pt idx="79">
                  <c:v>0.29245934317777283</c:v>
                </c:pt>
                <c:pt idx="80">
                  <c:v>0.31245280319449431</c:v>
                </c:pt>
                <c:pt idx="81">
                  <c:v>0.33244626321121579</c:v>
                </c:pt>
                <c:pt idx="82">
                  <c:v>0.35243972322793726</c:v>
                </c:pt>
                <c:pt idx="83">
                  <c:v>0.37243318324465863</c:v>
                </c:pt>
                <c:pt idx="84">
                  <c:v>0.39242664326138016</c:v>
                </c:pt>
                <c:pt idx="85">
                  <c:v>0.41242010327810158</c:v>
                </c:pt>
                <c:pt idx="86">
                  <c:v>0.432413563294823</c:v>
                </c:pt>
                <c:pt idx="87">
                  <c:v>0.45240702331154448</c:v>
                </c:pt>
                <c:pt idx="88">
                  <c:v>0.47240048332826595</c:v>
                </c:pt>
                <c:pt idx="89">
                  <c:v>0.49239394334498743</c:v>
                </c:pt>
                <c:pt idx="90">
                  <c:v>0.51238740336170874</c:v>
                </c:pt>
                <c:pt idx="91">
                  <c:v>0.53238086337843027</c:v>
                </c:pt>
                <c:pt idx="92">
                  <c:v>0.5523743233951518</c:v>
                </c:pt>
                <c:pt idx="93">
                  <c:v>0.57236778341187322</c:v>
                </c:pt>
                <c:pt idx="94">
                  <c:v>0.59236124342859464</c:v>
                </c:pt>
                <c:pt idx="95">
                  <c:v>0.61235470344531606</c:v>
                </c:pt>
                <c:pt idx="96">
                  <c:v>-0.35583959595106457</c:v>
                </c:pt>
                <c:pt idx="97">
                  <c:v>-0.33584613593434315</c:v>
                </c:pt>
                <c:pt idx="98">
                  <c:v>-0.31585267591762173</c:v>
                </c:pt>
                <c:pt idx="99">
                  <c:v>-0.29585921590090031</c:v>
                </c:pt>
                <c:pt idx="100">
                  <c:v>-0.27586575588417878</c:v>
                </c:pt>
                <c:pt idx="101">
                  <c:v>-0.25587229586745736</c:v>
                </c:pt>
                <c:pt idx="102">
                  <c:v>-0.23587883585073591</c:v>
                </c:pt>
                <c:pt idx="103">
                  <c:v>-0.21588537583401443</c:v>
                </c:pt>
                <c:pt idx="104">
                  <c:v>-0.19589191581729296</c:v>
                </c:pt>
                <c:pt idx="105">
                  <c:v>-0.17589845580057153</c:v>
                </c:pt>
                <c:pt idx="106">
                  <c:v>-0.15590499578385006</c:v>
                </c:pt>
                <c:pt idx="107">
                  <c:v>-0.13591153576712861</c:v>
                </c:pt>
                <c:pt idx="108">
                  <c:v>-0.11591807575040716</c:v>
                </c:pt>
                <c:pt idx="109">
                  <c:v>-9.5924615733685686E-2</c:v>
                </c:pt>
                <c:pt idx="110">
                  <c:v>-7.5931155716964266E-2</c:v>
                </c:pt>
                <c:pt idx="111">
                  <c:v>-5.5937695700242797E-2</c:v>
                </c:pt>
                <c:pt idx="112">
                  <c:v>-3.5944235683521349E-2</c:v>
                </c:pt>
                <c:pt idx="113">
                  <c:v>-1.5950775666799873E-2</c:v>
                </c:pt>
                <c:pt idx="114">
                  <c:v>4.0426843499215626E-3</c:v>
                </c:pt>
                <c:pt idx="115">
                  <c:v>2.4036144366642982E-2</c:v>
                </c:pt>
                <c:pt idx="116">
                  <c:v>4.4029604383364472E-2</c:v>
                </c:pt>
                <c:pt idx="117">
                  <c:v>6.4023064400085899E-2</c:v>
                </c:pt>
                <c:pt idx="118">
                  <c:v>8.4016524416807389E-2</c:v>
                </c:pt>
                <c:pt idx="119">
                  <c:v>0.10400998443352882</c:v>
                </c:pt>
                <c:pt idx="120">
                  <c:v>0.12400344445025024</c:v>
                </c:pt>
                <c:pt idx="121">
                  <c:v>0.14399690446697172</c:v>
                </c:pt>
                <c:pt idx="122">
                  <c:v>0.16399036448369322</c:v>
                </c:pt>
                <c:pt idx="123">
                  <c:v>0.1839838245004147</c:v>
                </c:pt>
                <c:pt idx="124">
                  <c:v>0.20397728451713609</c:v>
                </c:pt>
                <c:pt idx="125">
                  <c:v>0.22397074453385757</c:v>
                </c:pt>
                <c:pt idx="126">
                  <c:v>0.24396420455057904</c:v>
                </c:pt>
                <c:pt idx="127">
                  <c:v>0.26395766456730041</c:v>
                </c:pt>
                <c:pt idx="128">
                  <c:v>-0.38434127456153699</c:v>
                </c:pt>
                <c:pt idx="129">
                  <c:v>-0.36434781454481557</c:v>
                </c:pt>
                <c:pt idx="130">
                  <c:v>-0.3443543545280941</c:v>
                </c:pt>
                <c:pt idx="131">
                  <c:v>-0.32436089451137268</c:v>
                </c:pt>
                <c:pt idx="132">
                  <c:v>-0.30436743449465115</c:v>
                </c:pt>
                <c:pt idx="133">
                  <c:v>-0.28437397447792973</c:v>
                </c:pt>
                <c:pt idx="134">
                  <c:v>-0.2643805144612083</c:v>
                </c:pt>
                <c:pt idx="135">
                  <c:v>-0.24438705444448683</c:v>
                </c:pt>
                <c:pt idx="136">
                  <c:v>-0.22439359442776535</c:v>
                </c:pt>
                <c:pt idx="137">
                  <c:v>-0.20440013441104393</c:v>
                </c:pt>
                <c:pt idx="138">
                  <c:v>-0.18440667439432246</c:v>
                </c:pt>
                <c:pt idx="139">
                  <c:v>-0.16441321437760104</c:v>
                </c:pt>
                <c:pt idx="140">
                  <c:v>-0.14441975436087956</c:v>
                </c:pt>
                <c:pt idx="141">
                  <c:v>-0.1244262943441581</c:v>
                </c:pt>
                <c:pt idx="142">
                  <c:v>-0.10443283432743668</c:v>
                </c:pt>
                <c:pt idx="143">
                  <c:v>-8.4439374310715201E-2</c:v>
                </c:pt>
                <c:pt idx="144">
                  <c:v>-6.4445914293993753E-2</c:v>
                </c:pt>
                <c:pt idx="145">
                  <c:v>-4.4452454277272284E-2</c:v>
                </c:pt>
                <c:pt idx="146">
                  <c:v>-2.445899426055085E-2</c:v>
                </c:pt>
                <c:pt idx="147">
                  <c:v>-4.4655342438294282E-3</c:v>
                </c:pt>
                <c:pt idx="148">
                  <c:v>1.5527925772892063E-2</c:v>
                </c:pt>
                <c:pt idx="149">
                  <c:v>3.5521385789613488E-2</c:v>
                </c:pt>
                <c:pt idx="150">
                  <c:v>5.5514845806334971E-2</c:v>
                </c:pt>
                <c:pt idx="151">
                  <c:v>7.5508305823056412E-2</c:v>
                </c:pt>
                <c:pt idx="152">
                  <c:v>-0.41284295317200942</c:v>
                </c:pt>
                <c:pt idx="153">
                  <c:v>-0.392849493155288</c:v>
                </c:pt>
                <c:pt idx="154">
                  <c:v>-0.37285603313856652</c:v>
                </c:pt>
                <c:pt idx="155">
                  <c:v>-0.3528625731218451</c:v>
                </c:pt>
                <c:pt idx="156">
                  <c:v>-0.33286911310512357</c:v>
                </c:pt>
                <c:pt idx="157">
                  <c:v>-0.31287565308840215</c:v>
                </c:pt>
                <c:pt idx="158">
                  <c:v>-0.29288219307168073</c:v>
                </c:pt>
                <c:pt idx="159">
                  <c:v>-0.27288873305495925</c:v>
                </c:pt>
                <c:pt idx="160">
                  <c:v>-0.25289527303823778</c:v>
                </c:pt>
                <c:pt idx="161">
                  <c:v>-0.23290181302151636</c:v>
                </c:pt>
                <c:pt idx="162">
                  <c:v>-0.21290835300479488</c:v>
                </c:pt>
                <c:pt idx="163">
                  <c:v>-0.19291489298807341</c:v>
                </c:pt>
                <c:pt idx="164">
                  <c:v>-0.17292143297135198</c:v>
                </c:pt>
                <c:pt idx="165">
                  <c:v>-0.15292797295463051</c:v>
                </c:pt>
                <c:pt idx="166">
                  <c:v>-0.13293451293790909</c:v>
                </c:pt>
                <c:pt idx="167">
                  <c:v>-0.1129410529211876</c:v>
                </c:pt>
                <c:pt idx="168">
                  <c:v>-9.294759290446615E-2</c:v>
                </c:pt>
                <c:pt idx="169">
                  <c:v>-7.2954132887744674E-2</c:v>
                </c:pt>
                <c:pt idx="170">
                  <c:v>-5.2960672871023247E-2</c:v>
                </c:pt>
                <c:pt idx="171">
                  <c:v>-0.44134463178248179</c:v>
                </c:pt>
                <c:pt idx="172">
                  <c:v>-0.42135117176576037</c:v>
                </c:pt>
                <c:pt idx="173">
                  <c:v>-0.40135771174903895</c:v>
                </c:pt>
                <c:pt idx="174">
                  <c:v>-0.38136425173231753</c:v>
                </c:pt>
                <c:pt idx="175">
                  <c:v>-0.361370791715596</c:v>
                </c:pt>
                <c:pt idx="176">
                  <c:v>-0.34137733169887458</c:v>
                </c:pt>
                <c:pt idx="177">
                  <c:v>-0.32138387168215315</c:v>
                </c:pt>
                <c:pt idx="178">
                  <c:v>-0.30139041166543162</c:v>
                </c:pt>
                <c:pt idx="179">
                  <c:v>-0.2813969516487102</c:v>
                </c:pt>
                <c:pt idx="180">
                  <c:v>-0.26140349163198878</c:v>
                </c:pt>
                <c:pt idx="181">
                  <c:v>-0.24141003161526728</c:v>
                </c:pt>
                <c:pt idx="182">
                  <c:v>-0.22141657159854583</c:v>
                </c:pt>
                <c:pt idx="183">
                  <c:v>-0.20142311158182438</c:v>
                </c:pt>
                <c:pt idx="184">
                  <c:v>-0.18142965156510291</c:v>
                </c:pt>
                <c:pt idx="185">
                  <c:v>-0.16143619154838149</c:v>
                </c:pt>
                <c:pt idx="186">
                  <c:v>-0.14144273153166001</c:v>
                </c:pt>
                <c:pt idx="187">
                  <c:v>-0.46984631039295421</c:v>
                </c:pt>
                <c:pt idx="188">
                  <c:v>-0.44985285037623279</c:v>
                </c:pt>
                <c:pt idx="189">
                  <c:v>-0.42985939035951132</c:v>
                </c:pt>
                <c:pt idx="190">
                  <c:v>-0.4098659303427899</c:v>
                </c:pt>
                <c:pt idx="191">
                  <c:v>-0.38987247032606837</c:v>
                </c:pt>
                <c:pt idx="192">
                  <c:v>-0.36987901030934695</c:v>
                </c:pt>
                <c:pt idx="193">
                  <c:v>-0.34988555029262552</c:v>
                </c:pt>
                <c:pt idx="194">
                  <c:v>-0.32989209027590405</c:v>
                </c:pt>
                <c:pt idx="195">
                  <c:v>-0.30989863025918257</c:v>
                </c:pt>
                <c:pt idx="196">
                  <c:v>-0.28990517024246115</c:v>
                </c:pt>
                <c:pt idx="197">
                  <c:v>-0.26991171022573968</c:v>
                </c:pt>
                <c:pt idx="198">
                  <c:v>-0.24991825020901823</c:v>
                </c:pt>
                <c:pt idx="199">
                  <c:v>-0.22992479019229678</c:v>
                </c:pt>
                <c:pt idx="200">
                  <c:v>-0.49834798900342664</c:v>
                </c:pt>
                <c:pt idx="201">
                  <c:v>-0.47835452898670522</c:v>
                </c:pt>
                <c:pt idx="202">
                  <c:v>-0.45836106896998374</c:v>
                </c:pt>
                <c:pt idx="203">
                  <c:v>-0.43836760895326232</c:v>
                </c:pt>
                <c:pt idx="204">
                  <c:v>-0.41837414893654079</c:v>
                </c:pt>
                <c:pt idx="205">
                  <c:v>-0.39838068891981937</c:v>
                </c:pt>
                <c:pt idx="206">
                  <c:v>-0.37838722890309795</c:v>
                </c:pt>
                <c:pt idx="207">
                  <c:v>-0.35839376888637647</c:v>
                </c:pt>
                <c:pt idx="208">
                  <c:v>-0.338400308869655</c:v>
                </c:pt>
                <c:pt idx="209">
                  <c:v>-0.31840684885293358</c:v>
                </c:pt>
                <c:pt idx="210">
                  <c:v>-0.2984133888362121</c:v>
                </c:pt>
                <c:pt idx="211">
                  <c:v>-0.27841992881949063</c:v>
                </c:pt>
                <c:pt idx="212">
                  <c:v>-0.52684966761389906</c:v>
                </c:pt>
                <c:pt idx="213">
                  <c:v>-0.50685620759717764</c:v>
                </c:pt>
                <c:pt idx="214">
                  <c:v>-0.48686274758045611</c:v>
                </c:pt>
                <c:pt idx="215">
                  <c:v>-0.46686928756373469</c:v>
                </c:pt>
                <c:pt idx="216">
                  <c:v>-0.44687582754701316</c:v>
                </c:pt>
                <c:pt idx="217">
                  <c:v>-0.42688236753029174</c:v>
                </c:pt>
                <c:pt idx="218">
                  <c:v>-0.40688890751357032</c:v>
                </c:pt>
                <c:pt idx="219">
                  <c:v>-0.38689544749684884</c:v>
                </c:pt>
                <c:pt idx="220">
                  <c:v>-0.36690198748012737</c:v>
                </c:pt>
                <c:pt idx="221">
                  <c:v>-0.34690852746340595</c:v>
                </c:pt>
                <c:pt idx="222">
                  <c:v>-0.55535134622437143</c:v>
                </c:pt>
                <c:pt idx="223">
                  <c:v>-0.53535788620765001</c:v>
                </c:pt>
                <c:pt idx="224">
                  <c:v>-0.51536442619092859</c:v>
                </c:pt>
                <c:pt idx="225">
                  <c:v>-0.49537096617420712</c:v>
                </c:pt>
                <c:pt idx="226">
                  <c:v>-0.47537750615748559</c:v>
                </c:pt>
                <c:pt idx="227">
                  <c:v>-0.45538404614076416</c:v>
                </c:pt>
                <c:pt idx="228">
                  <c:v>-0.43539058612404274</c:v>
                </c:pt>
                <c:pt idx="229">
                  <c:v>-0.41539712610732127</c:v>
                </c:pt>
                <c:pt idx="230">
                  <c:v>-0.39540366609059979</c:v>
                </c:pt>
                <c:pt idx="231">
                  <c:v>-0.58385302483484391</c:v>
                </c:pt>
                <c:pt idx="232">
                  <c:v>-0.56385956481812249</c:v>
                </c:pt>
                <c:pt idx="233">
                  <c:v>-0.54386610480140096</c:v>
                </c:pt>
                <c:pt idx="234">
                  <c:v>-0.52387264478467954</c:v>
                </c:pt>
                <c:pt idx="235">
                  <c:v>-0.50387918476795801</c:v>
                </c:pt>
                <c:pt idx="236">
                  <c:v>-0.48388572475123653</c:v>
                </c:pt>
                <c:pt idx="237">
                  <c:v>-0.46389226473451511</c:v>
                </c:pt>
                <c:pt idx="238">
                  <c:v>-0.44389880471779369</c:v>
                </c:pt>
                <c:pt idx="239">
                  <c:v>-0.61235470344531628</c:v>
                </c:pt>
                <c:pt idx="240">
                  <c:v>-0.59236124342859486</c:v>
                </c:pt>
                <c:pt idx="241">
                  <c:v>-0.57236778341187333</c:v>
                </c:pt>
                <c:pt idx="242">
                  <c:v>-0.55237432339515191</c:v>
                </c:pt>
                <c:pt idx="243">
                  <c:v>-0.53238086337843038</c:v>
                </c:pt>
                <c:pt idx="244">
                  <c:v>-0.51238740336170896</c:v>
                </c:pt>
                <c:pt idx="245">
                  <c:v>-0.49239394334498748</c:v>
                </c:pt>
                <c:pt idx="246">
                  <c:v>-0.47240048332826606</c:v>
                </c:pt>
                <c:pt idx="247">
                  <c:v>-0.64085638205578865</c:v>
                </c:pt>
                <c:pt idx="248">
                  <c:v>-0.34398947268019242</c:v>
                </c:pt>
                <c:pt idx="249">
                  <c:v>-0.32399601266347094</c:v>
                </c:pt>
                <c:pt idx="250">
                  <c:v>-0.30400255264674952</c:v>
                </c:pt>
                <c:pt idx="251">
                  <c:v>-0.28400909263002799</c:v>
                </c:pt>
                <c:pt idx="252">
                  <c:v>-0.26401563261330657</c:v>
                </c:pt>
                <c:pt idx="253">
                  <c:v>-0.24402217259658515</c:v>
                </c:pt>
                <c:pt idx="254">
                  <c:v>-0.36941182386081334</c:v>
                </c:pt>
                <c:pt idx="255">
                  <c:v>-0.34941836384409192</c:v>
                </c:pt>
                <c:pt idx="256">
                  <c:v>-0.3294249038273705</c:v>
                </c:pt>
                <c:pt idx="257">
                  <c:v>-0.30943144381064908</c:v>
                </c:pt>
                <c:pt idx="258">
                  <c:v>-0.28943798379392754</c:v>
                </c:pt>
                <c:pt idx="259">
                  <c:v>-0.26944452377720612</c:v>
                </c:pt>
                <c:pt idx="260">
                  <c:v>-0.37484071502471289</c:v>
                </c:pt>
                <c:pt idx="261">
                  <c:v>-0.35484725500799147</c:v>
                </c:pt>
                <c:pt idx="262">
                  <c:v>-0.33485379499126999</c:v>
                </c:pt>
                <c:pt idx="263">
                  <c:v>-0.31486033497454857</c:v>
                </c:pt>
                <c:pt idx="264">
                  <c:v>-0.29486687495782704</c:v>
                </c:pt>
                <c:pt idx="265">
                  <c:v>-0.27487341494110562</c:v>
                </c:pt>
                <c:pt idx="266">
                  <c:v>-0.38026960618861239</c:v>
                </c:pt>
                <c:pt idx="267">
                  <c:v>-0.36027614617189097</c:v>
                </c:pt>
                <c:pt idx="268">
                  <c:v>-0.34028268615516949</c:v>
                </c:pt>
                <c:pt idx="269">
                  <c:v>-0.32028922613844807</c:v>
                </c:pt>
                <c:pt idx="270">
                  <c:v>-0.30029576612172654</c:v>
                </c:pt>
                <c:pt idx="271">
                  <c:v>-0.28030230610500512</c:v>
                </c:pt>
                <c:pt idx="272">
                  <c:v>-0.38569849735251188</c:v>
                </c:pt>
                <c:pt idx="273">
                  <c:v>-0.36570503733579046</c:v>
                </c:pt>
                <c:pt idx="274">
                  <c:v>-0.34571157731906899</c:v>
                </c:pt>
                <c:pt idx="275">
                  <c:v>-0.32571811730234757</c:v>
                </c:pt>
                <c:pt idx="276">
                  <c:v>-0.30572465728562603</c:v>
                </c:pt>
                <c:pt idx="277">
                  <c:v>-0.39112738851641138</c:v>
                </c:pt>
                <c:pt idx="278">
                  <c:v>-0.37113392849968996</c:v>
                </c:pt>
                <c:pt idx="279">
                  <c:v>-0.35114046848296848</c:v>
                </c:pt>
                <c:pt idx="280">
                  <c:v>-0.33114700846624706</c:v>
                </c:pt>
                <c:pt idx="281">
                  <c:v>-0.31115354844952553</c:v>
                </c:pt>
                <c:pt idx="282">
                  <c:v>-0.39655627968031087</c:v>
                </c:pt>
                <c:pt idx="283">
                  <c:v>-0.37656281966358945</c:v>
                </c:pt>
                <c:pt idx="284">
                  <c:v>-0.35656935964686798</c:v>
                </c:pt>
                <c:pt idx="285">
                  <c:v>-0.33657589963014656</c:v>
                </c:pt>
                <c:pt idx="286">
                  <c:v>-0.31658243961342503</c:v>
                </c:pt>
                <c:pt idx="287">
                  <c:v>-0.40198517084421043</c:v>
                </c:pt>
                <c:pt idx="288">
                  <c:v>-0.38199171082748901</c:v>
                </c:pt>
                <c:pt idx="289">
                  <c:v>-0.36199825081076747</c:v>
                </c:pt>
                <c:pt idx="290">
                  <c:v>-0.34200479079404605</c:v>
                </c:pt>
                <c:pt idx="291">
                  <c:v>-0.40741406200810992</c:v>
                </c:pt>
                <c:pt idx="292">
                  <c:v>-0.3874206019913885</c:v>
                </c:pt>
                <c:pt idx="293">
                  <c:v>-0.36742714197466703</c:v>
                </c:pt>
                <c:pt idx="294">
                  <c:v>-0.34743368195794561</c:v>
                </c:pt>
                <c:pt idx="295">
                  <c:v>-0.41284295317200942</c:v>
                </c:pt>
                <c:pt idx="296">
                  <c:v>-0.392849493155288</c:v>
                </c:pt>
                <c:pt idx="297">
                  <c:v>-0.37285603313856652</c:v>
                </c:pt>
                <c:pt idx="298">
                  <c:v>-0.3528625731218451</c:v>
                </c:pt>
                <c:pt idx="299">
                  <c:v>-0.41827184433590892</c:v>
                </c:pt>
                <c:pt idx="300">
                  <c:v>-0.3982783843191875</c:v>
                </c:pt>
                <c:pt idx="301">
                  <c:v>-0.37828492430246602</c:v>
                </c:pt>
                <c:pt idx="302">
                  <c:v>-0.3582914642857446</c:v>
                </c:pt>
                <c:pt idx="303">
                  <c:v>-0.42370073549980841</c:v>
                </c:pt>
                <c:pt idx="304">
                  <c:v>-0.40370727548308699</c:v>
                </c:pt>
                <c:pt idx="305">
                  <c:v>-0.38371381546636552</c:v>
                </c:pt>
                <c:pt idx="306">
                  <c:v>-0.36372035544964409</c:v>
                </c:pt>
                <c:pt idx="307">
                  <c:v>-0.42912962666370791</c:v>
                </c:pt>
                <c:pt idx="308">
                  <c:v>-0.40913616664698649</c:v>
                </c:pt>
                <c:pt idx="309">
                  <c:v>-0.38914270663026501</c:v>
                </c:pt>
                <c:pt idx="310">
                  <c:v>-0.4345585178276074</c:v>
                </c:pt>
                <c:pt idx="311">
                  <c:v>-0.41456505781088598</c:v>
                </c:pt>
                <c:pt idx="312">
                  <c:v>-0.39457159779416451</c:v>
                </c:pt>
                <c:pt idx="313">
                  <c:v>-0.43998740899150696</c:v>
                </c:pt>
                <c:pt idx="314">
                  <c:v>-0.41999394897478554</c:v>
                </c:pt>
                <c:pt idx="315">
                  <c:v>-0.400000488958064</c:v>
                </c:pt>
                <c:pt idx="316">
                  <c:v>-0.44541630015540645</c:v>
                </c:pt>
                <c:pt idx="317">
                  <c:v>-0.42542284013868503</c:v>
                </c:pt>
                <c:pt idx="318">
                  <c:v>-0.40542938012196356</c:v>
                </c:pt>
                <c:pt idx="319">
                  <c:v>-0.45084519131930595</c:v>
                </c:pt>
                <c:pt idx="320">
                  <c:v>-0.43085173130258453</c:v>
                </c:pt>
                <c:pt idx="321">
                  <c:v>-0.41085827128586305</c:v>
                </c:pt>
                <c:pt idx="322">
                  <c:v>-0.45627408248320545</c:v>
                </c:pt>
                <c:pt idx="323">
                  <c:v>-0.43628062246648402</c:v>
                </c:pt>
                <c:pt idx="324">
                  <c:v>-0.41628716244976255</c:v>
                </c:pt>
                <c:pt idx="325">
                  <c:v>-0.46170297364710494</c:v>
                </c:pt>
                <c:pt idx="326">
                  <c:v>-0.44170951363038352</c:v>
                </c:pt>
                <c:pt idx="327">
                  <c:v>-0.42171605361366205</c:v>
                </c:pt>
                <c:pt idx="328">
                  <c:v>-0.46713186481100444</c:v>
                </c:pt>
                <c:pt idx="329">
                  <c:v>-0.44713840479428302</c:v>
                </c:pt>
                <c:pt idx="330">
                  <c:v>-0.42714494477756154</c:v>
                </c:pt>
                <c:pt idx="331">
                  <c:v>-0.47256075597490393</c:v>
                </c:pt>
                <c:pt idx="332">
                  <c:v>-0.45256729595818251</c:v>
                </c:pt>
                <c:pt idx="333">
                  <c:v>-0.47798964713880349</c:v>
                </c:pt>
                <c:pt idx="334">
                  <c:v>-0.45799618712208207</c:v>
                </c:pt>
                <c:pt idx="335">
                  <c:v>-0.48341853830270298</c:v>
                </c:pt>
                <c:pt idx="336">
                  <c:v>-0.46342507828598156</c:v>
                </c:pt>
                <c:pt idx="337">
                  <c:v>-0.48884742946660248</c:v>
                </c:pt>
                <c:pt idx="338">
                  <c:v>-0.46885396944988106</c:v>
                </c:pt>
                <c:pt idx="339">
                  <c:v>-0.49427632063050198</c:v>
                </c:pt>
                <c:pt idx="340">
                  <c:v>-0.47428286061378055</c:v>
                </c:pt>
                <c:pt idx="341">
                  <c:v>-0.49970521179440147</c:v>
                </c:pt>
                <c:pt idx="342">
                  <c:v>-0.47971175177768005</c:v>
                </c:pt>
                <c:pt idx="343">
                  <c:v>-0.50513410295830108</c:v>
                </c:pt>
                <c:pt idx="344">
                  <c:v>-0.48514064294157955</c:v>
                </c:pt>
                <c:pt idx="345">
                  <c:v>-0.51056299412220052</c:v>
                </c:pt>
                <c:pt idx="346">
                  <c:v>-0.4905695341054791</c:v>
                </c:pt>
                <c:pt idx="347">
                  <c:v>-0.51599188528610007</c:v>
                </c:pt>
                <c:pt idx="348">
                  <c:v>-0.4959984252693786</c:v>
                </c:pt>
                <c:pt idx="349">
                  <c:v>-0.52142077644999962</c:v>
                </c:pt>
                <c:pt idx="350">
                  <c:v>-0.5014273164332782</c:v>
                </c:pt>
                <c:pt idx="351">
                  <c:v>-0.52684966761389906</c:v>
                </c:pt>
                <c:pt idx="352">
                  <c:v>-0.50685620759717764</c:v>
                </c:pt>
                <c:pt idx="353">
                  <c:v>-0.53227855877779862</c:v>
                </c:pt>
                <c:pt idx="354">
                  <c:v>-0.5122850987610772</c:v>
                </c:pt>
                <c:pt idx="355">
                  <c:v>-0.53770744994169806</c:v>
                </c:pt>
                <c:pt idx="356">
                  <c:v>-0.51771398992497664</c:v>
                </c:pt>
                <c:pt idx="357">
                  <c:v>-0.54313634110559761</c:v>
                </c:pt>
                <c:pt idx="358">
                  <c:v>-0.52314288108887619</c:v>
                </c:pt>
                <c:pt idx="359">
                  <c:v>-0.54856523226949705</c:v>
                </c:pt>
                <c:pt idx="360">
                  <c:v>-0.52857177225277563</c:v>
                </c:pt>
                <c:pt idx="361">
                  <c:v>-0.5539941234333966</c:v>
                </c:pt>
                <c:pt idx="362">
                  <c:v>-0.53400066341667518</c:v>
                </c:pt>
                <c:pt idx="363">
                  <c:v>-0.55942301459729604</c:v>
                </c:pt>
                <c:pt idx="364">
                  <c:v>-0.56485190576119559</c:v>
                </c:pt>
                <c:pt idx="365">
                  <c:v>-0.57028079692509515</c:v>
                </c:pt>
                <c:pt idx="366">
                  <c:v>-0.57570968808899459</c:v>
                </c:pt>
                <c:pt idx="367">
                  <c:v>-0.58113857925289414</c:v>
                </c:pt>
                <c:pt idx="368">
                  <c:v>-0.58656747041679369</c:v>
                </c:pt>
                <c:pt idx="369">
                  <c:v>-0.59199636158069313</c:v>
                </c:pt>
                <c:pt idx="370">
                  <c:v>-0.59742525274459268</c:v>
                </c:pt>
                <c:pt idx="371">
                  <c:v>-0.60285414390849212</c:v>
                </c:pt>
                <c:pt idx="372">
                  <c:v>-0.60828303507239168</c:v>
                </c:pt>
                <c:pt idx="373">
                  <c:v>-0.61371192623629112</c:v>
                </c:pt>
                <c:pt idx="374">
                  <c:v>-0.61914081740019067</c:v>
                </c:pt>
                <c:pt idx="375">
                  <c:v>-0.62456970856409011</c:v>
                </c:pt>
                <c:pt idx="376">
                  <c:v>-0.62999859972798966</c:v>
                </c:pt>
                <c:pt idx="377">
                  <c:v>-0.63542749089188921</c:v>
                </c:pt>
                <c:pt idx="378">
                  <c:v>-0.64085638205578865</c:v>
                </c:pt>
              </c:numCache>
            </c:numRef>
          </c:xVal>
          <c:yVal>
            <c:numRef>
              <c:f>plot!$R$33:$R$411</c:f>
              <c:numCache>
                <c:formatCode>General</c:formatCode>
                <c:ptCount val="379"/>
                <c:pt idx="0">
                  <c:v>-0.11258451086432519</c:v>
                </c:pt>
                <c:pt idx="1">
                  <c:v>-0.1162230230273642</c:v>
                </c:pt>
                <c:pt idx="2">
                  <c:v>-0.11986153519040327</c:v>
                </c:pt>
                <c:pt idx="3">
                  <c:v>-0.12350004735344228</c:v>
                </c:pt>
                <c:pt idx="4">
                  <c:v>-0.12713855951648129</c:v>
                </c:pt>
                <c:pt idx="5">
                  <c:v>-0.13077707167952035</c:v>
                </c:pt>
                <c:pt idx="6">
                  <c:v>-0.13441558384255936</c:v>
                </c:pt>
                <c:pt idx="7">
                  <c:v>-0.13805409600559843</c:v>
                </c:pt>
                <c:pt idx="8">
                  <c:v>-0.14169260816863744</c:v>
                </c:pt>
                <c:pt idx="9">
                  <c:v>-0.14533112033167644</c:v>
                </c:pt>
                <c:pt idx="10">
                  <c:v>-0.14896963249471551</c:v>
                </c:pt>
                <c:pt idx="11">
                  <c:v>-0.15260814465775452</c:v>
                </c:pt>
                <c:pt idx="12">
                  <c:v>-0.15624665682079358</c:v>
                </c:pt>
                <c:pt idx="13">
                  <c:v>-0.15988516898383259</c:v>
                </c:pt>
                <c:pt idx="14">
                  <c:v>-0.1635236811468716</c:v>
                </c:pt>
                <c:pt idx="15">
                  <c:v>-0.16716219330991067</c:v>
                </c:pt>
                <c:pt idx="16">
                  <c:v>-0.17080070547294968</c:v>
                </c:pt>
                <c:pt idx="17">
                  <c:v>-0.17443921763598874</c:v>
                </c:pt>
                <c:pt idx="18">
                  <c:v>-0.17807772979902775</c:v>
                </c:pt>
                <c:pt idx="19">
                  <c:v>-0.18171624196206676</c:v>
                </c:pt>
                <c:pt idx="20">
                  <c:v>-0.1853547541251058</c:v>
                </c:pt>
                <c:pt idx="21">
                  <c:v>-0.18899326628814483</c:v>
                </c:pt>
                <c:pt idx="22">
                  <c:v>-0.19263177845118387</c:v>
                </c:pt>
                <c:pt idx="23">
                  <c:v>-0.19627029061422291</c:v>
                </c:pt>
                <c:pt idx="24">
                  <c:v>-0.19990880277726192</c:v>
                </c:pt>
                <c:pt idx="25">
                  <c:v>-0.20354731494030096</c:v>
                </c:pt>
                <c:pt idx="26">
                  <c:v>-0.20718582710333999</c:v>
                </c:pt>
                <c:pt idx="27">
                  <c:v>-0.21082433926637903</c:v>
                </c:pt>
                <c:pt idx="28">
                  <c:v>-0.21446285142941804</c:v>
                </c:pt>
                <c:pt idx="29">
                  <c:v>-0.21810136359245708</c:v>
                </c:pt>
                <c:pt idx="30">
                  <c:v>-0.22173987575549611</c:v>
                </c:pt>
                <c:pt idx="31">
                  <c:v>-0.22537838791853515</c:v>
                </c:pt>
                <c:pt idx="32">
                  <c:v>-0.22901690008157416</c:v>
                </c:pt>
                <c:pt idx="33">
                  <c:v>-0.2326554122446132</c:v>
                </c:pt>
                <c:pt idx="34">
                  <c:v>-0.23629392440765223</c:v>
                </c:pt>
                <c:pt idx="35">
                  <c:v>-0.23993243657069124</c:v>
                </c:pt>
                <c:pt idx="36">
                  <c:v>-0.24357094873373031</c:v>
                </c:pt>
                <c:pt idx="37">
                  <c:v>-0.24720946089676932</c:v>
                </c:pt>
                <c:pt idx="38">
                  <c:v>-0.25084797305980833</c:v>
                </c:pt>
                <c:pt idx="39">
                  <c:v>-0.25448648522284739</c:v>
                </c:pt>
                <c:pt idx="40">
                  <c:v>-0.25812499738588646</c:v>
                </c:pt>
                <c:pt idx="41">
                  <c:v>-0.26176350954892547</c:v>
                </c:pt>
                <c:pt idx="42">
                  <c:v>-0.26540202171196448</c:v>
                </c:pt>
                <c:pt idx="43">
                  <c:v>-0.26904053387500348</c:v>
                </c:pt>
                <c:pt idx="44">
                  <c:v>-0.27267904603804255</c:v>
                </c:pt>
                <c:pt idx="45">
                  <c:v>-0.27631755820108161</c:v>
                </c:pt>
                <c:pt idx="46">
                  <c:v>-0.27995607036412062</c:v>
                </c:pt>
                <c:pt idx="47">
                  <c:v>-0.28359458252715963</c:v>
                </c:pt>
                <c:pt idx="48">
                  <c:v>-0.15173837006373797</c:v>
                </c:pt>
                <c:pt idx="49">
                  <c:v>-0.15537688222677704</c:v>
                </c:pt>
                <c:pt idx="50">
                  <c:v>-0.15901539438981604</c:v>
                </c:pt>
                <c:pt idx="51">
                  <c:v>-0.16265390655285511</c:v>
                </c:pt>
                <c:pt idx="52">
                  <c:v>-0.16629241871589412</c:v>
                </c:pt>
                <c:pt idx="53">
                  <c:v>-0.16993093087893313</c:v>
                </c:pt>
                <c:pt idx="54">
                  <c:v>-0.17356944304197219</c:v>
                </c:pt>
                <c:pt idx="55">
                  <c:v>-0.1772079552050112</c:v>
                </c:pt>
                <c:pt idx="56">
                  <c:v>-0.18084646736805027</c:v>
                </c:pt>
                <c:pt idx="57">
                  <c:v>-0.18448497953108928</c:v>
                </c:pt>
                <c:pt idx="58">
                  <c:v>-0.18812349169412829</c:v>
                </c:pt>
                <c:pt idx="59">
                  <c:v>-0.19176200385716735</c:v>
                </c:pt>
                <c:pt idx="60">
                  <c:v>-0.19540051602020636</c:v>
                </c:pt>
                <c:pt idx="61">
                  <c:v>-0.1990390281832454</c:v>
                </c:pt>
                <c:pt idx="62">
                  <c:v>-0.20267754034628443</c:v>
                </c:pt>
                <c:pt idx="63">
                  <c:v>-0.20631605250932347</c:v>
                </c:pt>
                <c:pt idx="64">
                  <c:v>-0.20995456467236248</c:v>
                </c:pt>
                <c:pt idx="65">
                  <c:v>-0.21359307683540152</c:v>
                </c:pt>
                <c:pt idx="66">
                  <c:v>-0.21723158899844056</c:v>
                </c:pt>
                <c:pt idx="67">
                  <c:v>-0.22087010116147957</c:v>
                </c:pt>
                <c:pt idx="68">
                  <c:v>-0.2245086133245186</c:v>
                </c:pt>
                <c:pt idx="69">
                  <c:v>-0.22814712548755764</c:v>
                </c:pt>
                <c:pt idx="70">
                  <c:v>-0.23178563765059668</c:v>
                </c:pt>
                <c:pt idx="71">
                  <c:v>-0.23542414981363571</c:v>
                </c:pt>
                <c:pt idx="72">
                  <c:v>-0.23906266197667472</c:v>
                </c:pt>
                <c:pt idx="73">
                  <c:v>-0.24270117413971376</c:v>
                </c:pt>
                <c:pt idx="74">
                  <c:v>-0.2463396863027528</c:v>
                </c:pt>
                <c:pt idx="75">
                  <c:v>-0.24997819846579183</c:v>
                </c:pt>
                <c:pt idx="76">
                  <c:v>-0.25361671062883084</c:v>
                </c:pt>
                <c:pt idx="77">
                  <c:v>-0.25725522279186985</c:v>
                </c:pt>
                <c:pt idx="78">
                  <c:v>-0.26089373495490892</c:v>
                </c:pt>
                <c:pt idx="79">
                  <c:v>-0.26453224711794793</c:v>
                </c:pt>
                <c:pt idx="80">
                  <c:v>-0.26817075928098699</c:v>
                </c:pt>
                <c:pt idx="81">
                  <c:v>-0.271809271444026</c:v>
                </c:pt>
                <c:pt idx="82">
                  <c:v>-0.27544778360706501</c:v>
                </c:pt>
                <c:pt idx="83">
                  <c:v>-0.27908629577010408</c:v>
                </c:pt>
                <c:pt idx="84">
                  <c:v>-0.28272480793314309</c:v>
                </c:pt>
                <c:pt idx="85">
                  <c:v>-0.28636332009618215</c:v>
                </c:pt>
                <c:pt idx="86">
                  <c:v>-0.29000183225922116</c:v>
                </c:pt>
                <c:pt idx="87">
                  <c:v>-0.29364034442226017</c:v>
                </c:pt>
                <c:pt idx="88">
                  <c:v>-0.29727885658529923</c:v>
                </c:pt>
                <c:pt idx="89">
                  <c:v>-0.30091736874833824</c:v>
                </c:pt>
                <c:pt idx="90">
                  <c:v>-0.30455588091137731</c:v>
                </c:pt>
                <c:pt idx="91">
                  <c:v>-0.30819439307441632</c:v>
                </c:pt>
                <c:pt idx="92">
                  <c:v>-0.31183290523745533</c:v>
                </c:pt>
                <c:pt idx="93">
                  <c:v>-0.31547141740049439</c:v>
                </c:pt>
                <c:pt idx="94">
                  <c:v>-0.3191099295635334</c:v>
                </c:pt>
                <c:pt idx="95">
                  <c:v>-0.32274844172657247</c:v>
                </c:pt>
                <c:pt idx="96">
                  <c:v>-0.19089222926315083</c:v>
                </c:pt>
                <c:pt idx="97">
                  <c:v>-0.19453074142618987</c:v>
                </c:pt>
                <c:pt idx="98">
                  <c:v>-0.19816925358922888</c:v>
                </c:pt>
                <c:pt idx="99">
                  <c:v>-0.20180776575226791</c:v>
                </c:pt>
                <c:pt idx="100">
                  <c:v>-0.20544627791530695</c:v>
                </c:pt>
                <c:pt idx="101">
                  <c:v>-0.20908479007834596</c:v>
                </c:pt>
                <c:pt idx="102">
                  <c:v>-0.21272330224138503</c:v>
                </c:pt>
                <c:pt idx="103">
                  <c:v>-0.21636181440442404</c:v>
                </c:pt>
                <c:pt idx="104">
                  <c:v>-0.22000032656746307</c:v>
                </c:pt>
                <c:pt idx="105">
                  <c:v>-0.22363883873050211</c:v>
                </c:pt>
                <c:pt idx="106">
                  <c:v>-0.22727735089354112</c:v>
                </c:pt>
                <c:pt idx="107">
                  <c:v>-0.23091586305658018</c:v>
                </c:pt>
                <c:pt idx="108">
                  <c:v>-0.23455437521961919</c:v>
                </c:pt>
                <c:pt idx="109">
                  <c:v>-0.23819288738265823</c:v>
                </c:pt>
                <c:pt idx="110">
                  <c:v>-0.24183139954569727</c:v>
                </c:pt>
                <c:pt idx="111">
                  <c:v>-0.2454699117087363</c:v>
                </c:pt>
                <c:pt idx="112">
                  <c:v>-0.24910842387177531</c:v>
                </c:pt>
                <c:pt idx="113">
                  <c:v>-0.25274693603481435</c:v>
                </c:pt>
                <c:pt idx="114">
                  <c:v>-0.25638544819785336</c:v>
                </c:pt>
                <c:pt idx="115">
                  <c:v>-0.26002396036089237</c:v>
                </c:pt>
                <c:pt idx="116">
                  <c:v>-0.26366247252393143</c:v>
                </c:pt>
                <c:pt idx="117">
                  <c:v>-0.2673009846869705</c:v>
                </c:pt>
                <c:pt idx="118">
                  <c:v>-0.27093949685000951</c:v>
                </c:pt>
                <c:pt idx="119">
                  <c:v>-0.27457800901304852</c:v>
                </c:pt>
                <c:pt idx="120">
                  <c:v>-0.27821652117608753</c:v>
                </c:pt>
                <c:pt idx="121">
                  <c:v>-0.28185503333912659</c:v>
                </c:pt>
                <c:pt idx="122">
                  <c:v>-0.28549354550216566</c:v>
                </c:pt>
                <c:pt idx="123">
                  <c:v>-0.28913205766520467</c:v>
                </c:pt>
                <c:pt idx="124">
                  <c:v>-0.29277056982824368</c:v>
                </c:pt>
                <c:pt idx="125">
                  <c:v>-0.29640908199128269</c:v>
                </c:pt>
                <c:pt idx="126">
                  <c:v>-0.30004759415432175</c:v>
                </c:pt>
                <c:pt idx="127">
                  <c:v>-0.30368610631736076</c:v>
                </c:pt>
                <c:pt idx="128">
                  <c:v>-0.23004608846256366</c:v>
                </c:pt>
                <c:pt idx="129">
                  <c:v>-0.2336846006256027</c:v>
                </c:pt>
                <c:pt idx="130">
                  <c:v>-0.23732311278864171</c:v>
                </c:pt>
                <c:pt idx="131">
                  <c:v>-0.24096162495168075</c:v>
                </c:pt>
                <c:pt idx="132">
                  <c:v>-0.24460013711471978</c:v>
                </c:pt>
                <c:pt idx="133">
                  <c:v>-0.24823864927775879</c:v>
                </c:pt>
                <c:pt idx="134">
                  <c:v>-0.25187716144079786</c:v>
                </c:pt>
                <c:pt idx="135">
                  <c:v>-0.25551567360383687</c:v>
                </c:pt>
                <c:pt idx="136">
                  <c:v>-0.25915418576687588</c:v>
                </c:pt>
                <c:pt idx="137">
                  <c:v>-0.26279269792991494</c:v>
                </c:pt>
                <c:pt idx="138">
                  <c:v>-0.26643121009295395</c:v>
                </c:pt>
                <c:pt idx="139">
                  <c:v>-0.27006972225599302</c:v>
                </c:pt>
                <c:pt idx="140">
                  <c:v>-0.27370823441903203</c:v>
                </c:pt>
                <c:pt idx="141">
                  <c:v>-0.27734674658207104</c:v>
                </c:pt>
                <c:pt idx="142">
                  <c:v>-0.2809852587451101</c:v>
                </c:pt>
                <c:pt idx="143">
                  <c:v>-0.28462377090814917</c:v>
                </c:pt>
                <c:pt idx="144">
                  <c:v>-0.28826228307118817</c:v>
                </c:pt>
                <c:pt idx="145">
                  <c:v>-0.29190079523422718</c:v>
                </c:pt>
                <c:pt idx="146">
                  <c:v>-0.29553930739726619</c:v>
                </c:pt>
                <c:pt idx="147">
                  <c:v>-0.2991778195603052</c:v>
                </c:pt>
                <c:pt idx="148">
                  <c:v>-0.30281633172334427</c:v>
                </c:pt>
                <c:pt idx="149">
                  <c:v>-0.30645484388638333</c:v>
                </c:pt>
                <c:pt idx="150">
                  <c:v>-0.31009335604942234</c:v>
                </c:pt>
                <c:pt idx="151">
                  <c:v>-0.31373186821246135</c:v>
                </c:pt>
                <c:pt idx="152">
                  <c:v>-0.26919994766197647</c:v>
                </c:pt>
                <c:pt idx="153">
                  <c:v>-0.27283845982501553</c:v>
                </c:pt>
                <c:pt idx="154">
                  <c:v>-0.27647697198805454</c:v>
                </c:pt>
                <c:pt idx="155">
                  <c:v>-0.28011548415109355</c:v>
                </c:pt>
                <c:pt idx="156">
                  <c:v>-0.28375399631413262</c:v>
                </c:pt>
                <c:pt idx="157">
                  <c:v>-0.28739250847717163</c:v>
                </c:pt>
                <c:pt idx="158">
                  <c:v>-0.29103102064021069</c:v>
                </c:pt>
                <c:pt idx="159">
                  <c:v>-0.2946695328032497</c:v>
                </c:pt>
                <c:pt idx="160">
                  <c:v>-0.29830804496628871</c:v>
                </c:pt>
                <c:pt idx="161">
                  <c:v>-0.30194655712932778</c:v>
                </c:pt>
                <c:pt idx="162">
                  <c:v>-0.30558506929236678</c:v>
                </c:pt>
                <c:pt idx="163">
                  <c:v>-0.30922358145540585</c:v>
                </c:pt>
                <c:pt idx="164">
                  <c:v>-0.31286209361844486</c:v>
                </c:pt>
                <c:pt idx="165">
                  <c:v>-0.31650060578148387</c:v>
                </c:pt>
                <c:pt idx="166">
                  <c:v>-0.32013911794452288</c:v>
                </c:pt>
                <c:pt idx="167">
                  <c:v>-0.32377763010756194</c:v>
                </c:pt>
                <c:pt idx="168">
                  <c:v>-0.32741614227060101</c:v>
                </c:pt>
                <c:pt idx="169">
                  <c:v>-0.33105465443364002</c:v>
                </c:pt>
                <c:pt idx="170">
                  <c:v>-0.33469316659667903</c:v>
                </c:pt>
                <c:pt idx="171">
                  <c:v>-0.30835380686138936</c:v>
                </c:pt>
                <c:pt idx="172">
                  <c:v>-0.31199231902442837</c:v>
                </c:pt>
                <c:pt idx="173">
                  <c:v>-0.31563083118746738</c:v>
                </c:pt>
                <c:pt idx="174">
                  <c:v>-0.31926934335050638</c:v>
                </c:pt>
                <c:pt idx="175">
                  <c:v>-0.32290785551354545</c:v>
                </c:pt>
                <c:pt idx="176">
                  <c:v>-0.32654636767658446</c:v>
                </c:pt>
                <c:pt idx="177">
                  <c:v>-0.33018487983962352</c:v>
                </c:pt>
                <c:pt idx="178">
                  <c:v>-0.33382339200266253</c:v>
                </c:pt>
                <c:pt idx="179">
                  <c:v>-0.33746190416570154</c:v>
                </c:pt>
                <c:pt idx="180">
                  <c:v>-0.34110041632874061</c:v>
                </c:pt>
                <c:pt idx="181">
                  <c:v>-0.34473892849177962</c:v>
                </c:pt>
                <c:pt idx="182">
                  <c:v>-0.34837744065481868</c:v>
                </c:pt>
                <c:pt idx="183">
                  <c:v>-0.35201595281785769</c:v>
                </c:pt>
                <c:pt idx="184">
                  <c:v>-0.3556544649808967</c:v>
                </c:pt>
                <c:pt idx="185">
                  <c:v>-0.35929297714393577</c:v>
                </c:pt>
                <c:pt idx="186">
                  <c:v>-0.36293148930697477</c:v>
                </c:pt>
                <c:pt idx="187">
                  <c:v>-0.34750766606080213</c:v>
                </c:pt>
                <c:pt idx="188">
                  <c:v>-0.35114617822384114</c:v>
                </c:pt>
                <c:pt idx="189">
                  <c:v>-0.35478469038688021</c:v>
                </c:pt>
                <c:pt idx="190">
                  <c:v>-0.35842320254991922</c:v>
                </c:pt>
                <c:pt idx="191">
                  <c:v>-0.36206171471295823</c:v>
                </c:pt>
                <c:pt idx="192">
                  <c:v>-0.36570022687599729</c:v>
                </c:pt>
                <c:pt idx="193">
                  <c:v>-0.3693387390390363</c:v>
                </c:pt>
                <c:pt idx="194">
                  <c:v>-0.37297725120207537</c:v>
                </c:pt>
                <c:pt idx="195">
                  <c:v>-0.37661576336511438</c:v>
                </c:pt>
                <c:pt idx="196">
                  <c:v>-0.38025427552815338</c:v>
                </c:pt>
                <c:pt idx="197">
                  <c:v>-0.38389278769119245</c:v>
                </c:pt>
                <c:pt idx="198">
                  <c:v>-0.38753129985423146</c:v>
                </c:pt>
                <c:pt idx="199">
                  <c:v>-0.39116981201727052</c:v>
                </c:pt>
                <c:pt idx="200">
                  <c:v>-0.38666152526021497</c:v>
                </c:pt>
                <c:pt idx="201">
                  <c:v>-0.39030003742325398</c:v>
                </c:pt>
                <c:pt idx="202">
                  <c:v>-0.39393854958629304</c:v>
                </c:pt>
                <c:pt idx="203">
                  <c:v>-0.39757706174933205</c:v>
                </c:pt>
                <c:pt idx="204">
                  <c:v>-0.40121557391237112</c:v>
                </c:pt>
                <c:pt idx="205">
                  <c:v>-0.40485408607541012</c:v>
                </c:pt>
                <c:pt idx="206">
                  <c:v>-0.40849259823844913</c:v>
                </c:pt>
                <c:pt idx="207">
                  <c:v>-0.4121311104014882</c:v>
                </c:pt>
                <c:pt idx="208">
                  <c:v>-0.41576962256452721</c:v>
                </c:pt>
                <c:pt idx="209">
                  <c:v>-0.41940813472756627</c:v>
                </c:pt>
                <c:pt idx="210">
                  <c:v>-0.42304664689060528</c:v>
                </c:pt>
                <c:pt idx="211">
                  <c:v>-0.42668515905364429</c:v>
                </c:pt>
                <c:pt idx="212">
                  <c:v>-0.42581538445962774</c:v>
                </c:pt>
                <c:pt idx="213">
                  <c:v>-0.42945389662266675</c:v>
                </c:pt>
                <c:pt idx="214">
                  <c:v>-0.43309240878570582</c:v>
                </c:pt>
                <c:pt idx="215">
                  <c:v>-0.43673092094874483</c:v>
                </c:pt>
                <c:pt idx="216">
                  <c:v>-0.44036943311178389</c:v>
                </c:pt>
                <c:pt idx="217">
                  <c:v>-0.4440079452748229</c:v>
                </c:pt>
                <c:pt idx="218">
                  <c:v>-0.44764645743786191</c:v>
                </c:pt>
                <c:pt idx="219">
                  <c:v>-0.45128496960090098</c:v>
                </c:pt>
                <c:pt idx="220">
                  <c:v>-0.45492348176393999</c:v>
                </c:pt>
                <c:pt idx="221">
                  <c:v>-0.45856199392697905</c:v>
                </c:pt>
                <c:pt idx="222">
                  <c:v>-0.46496924365904058</c:v>
                </c:pt>
                <c:pt idx="223">
                  <c:v>-0.46860775582207964</c:v>
                </c:pt>
                <c:pt idx="224">
                  <c:v>-0.47224626798511865</c:v>
                </c:pt>
                <c:pt idx="225">
                  <c:v>-0.47588478014815772</c:v>
                </c:pt>
                <c:pt idx="226">
                  <c:v>-0.47952329231119672</c:v>
                </c:pt>
                <c:pt idx="227">
                  <c:v>-0.48316180447423573</c:v>
                </c:pt>
                <c:pt idx="228">
                  <c:v>-0.4868003166372748</c:v>
                </c:pt>
                <c:pt idx="229">
                  <c:v>-0.49043882880031381</c:v>
                </c:pt>
                <c:pt idx="230">
                  <c:v>-0.49407734096335287</c:v>
                </c:pt>
                <c:pt idx="231">
                  <c:v>-0.50412310285845341</c:v>
                </c:pt>
                <c:pt idx="232">
                  <c:v>-0.50776161502149242</c:v>
                </c:pt>
                <c:pt idx="233">
                  <c:v>-0.51140012718453154</c:v>
                </c:pt>
                <c:pt idx="234">
                  <c:v>-0.51503863934757055</c:v>
                </c:pt>
                <c:pt idx="235">
                  <c:v>-0.51867715151060956</c:v>
                </c:pt>
                <c:pt idx="236">
                  <c:v>-0.52231566367364857</c:v>
                </c:pt>
                <c:pt idx="237">
                  <c:v>-0.52595417583668758</c:v>
                </c:pt>
                <c:pt idx="238">
                  <c:v>-0.52959268799972659</c:v>
                </c:pt>
                <c:pt idx="239">
                  <c:v>-0.54327696205786624</c:v>
                </c:pt>
                <c:pt idx="240">
                  <c:v>-0.54691547422090525</c:v>
                </c:pt>
                <c:pt idx="241">
                  <c:v>-0.55055398638394426</c:v>
                </c:pt>
                <c:pt idx="242">
                  <c:v>-0.55419249854698327</c:v>
                </c:pt>
                <c:pt idx="243">
                  <c:v>-0.55783101071002239</c:v>
                </c:pt>
                <c:pt idx="244">
                  <c:v>-0.5614695228730614</c:v>
                </c:pt>
                <c:pt idx="245">
                  <c:v>-0.56510803503610041</c:v>
                </c:pt>
                <c:pt idx="246">
                  <c:v>-0.56874654719913942</c:v>
                </c:pt>
                <c:pt idx="247">
                  <c:v>-0.58243082125727907</c:v>
                </c:pt>
                <c:pt idx="248">
                  <c:v>-0.2057175583403078</c:v>
                </c:pt>
                <c:pt idx="249">
                  <c:v>-0.20935607050334687</c:v>
                </c:pt>
                <c:pt idx="250">
                  <c:v>-0.21299458266638588</c:v>
                </c:pt>
                <c:pt idx="251">
                  <c:v>-0.21663309482942492</c:v>
                </c:pt>
                <c:pt idx="252">
                  <c:v>-0.22027160699246395</c:v>
                </c:pt>
                <c:pt idx="253">
                  <c:v>-0.22391011915550296</c:v>
                </c:pt>
                <c:pt idx="254">
                  <c:v>-0.2095369241200141</c:v>
                </c:pt>
                <c:pt idx="255">
                  <c:v>-0.21317543628305313</c:v>
                </c:pt>
                <c:pt idx="256">
                  <c:v>-0.21681394844609214</c:v>
                </c:pt>
                <c:pt idx="257">
                  <c:v>-0.22045246060913118</c:v>
                </c:pt>
                <c:pt idx="258">
                  <c:v>-0.22409097277217022</c:v>
                </c:pt>
                <c:pt idx="259">
                  <c:v>-0.22772948493520923</c:v>
                </c:pt>
                <c:pt idx="260">
                  <c:v>-0.2169948020627594</c:v>
                </c:pt>
                <c:pt idx="261">
                  <c:v>-0.2206333142257984</c:v>
                </c:pt>
                <c:pt idx="262">
                  <c:v>-0.22427182638883747</c:v>
                </c:pt>
                <c:pt idx="263">
                  <c:v>-0.22791033855187648</c:v>
                </c:pt>
                <c:pt idx="264">
                  <c:v>-0.23154885071491552</c:v>
                </c:pt>
                <c:pt idx="265">
                  <c:v>-0.23518736287795455</c:v>
                </c:pt>
                <c:pt idx="266">
                  <c:v>-0.22445268000550467</c:v>
                </c:pt>
                <c:pt idx="267">
                  <c:v>-0.2280911921685437</c:v>
                </c:pt>
                <c:pt idx="268">
                  <c:v>-0.23172970433158274</c:v>
                </c:pt>
                <c:pt idx="269">
                  <c:v>-0.23536821649462175</c:v>
                </c:pt>
                <c:pt idx="270">
                  <c:v>-0.23900672865766082</c:v>
                </c:pt>
                <c:pt idx="271">
                  <c:v>-0.24264524082069983</c:v>
                </c:pt>
                <c:pt idx="272">
                  <c:v>-0.23191055794825</c:v>
                </c:pt>
                <c:pt idx="273">
                  <c:v>-0.23554907011128901</c:v>
                </c:pt>
                <c:pt idx="274">
                  <c:v>-0.23918758227432804</c:v>
                </c:pt>
                <c:pt idx="275">
                  <c:v>-0.24282609443736708</c:v>
                </c:pt>
                <c:pt idx="276">
                  <c:v>-0.24646460660040609</c:v>
                </c:pt>
                <c:pt idx="277">
                  <c:v>-0.23936843589099527</c:v>
                </c:pt>
                <c:pt idx="278">
                  <c:v>-0.24300694805403431</c:v>
                </c:pt>
                <c:pt idx="279">
                  <c:v>-0.24664546021707334</c:v>
                </c:pt>
                <c:pt idx="280">
                  <c:v>-0.25028397238011235</c:v>
                </c:pt>
                <c:pt idx="281">
                  <c:v>-0.25392248454315142</c:v>
                </c:pt>
                <c:pt idx="282">
                  <c:v>-0.2468263138337406</c:v>
                </c:pt>
                <c:pt idx="283">
                  <c:v>-0.25046482599677961</c:v>
                </c:pt>
                <c:pt idx="284">
                  <c:v>-0.25410333815981867</c:v>
                </c:pt>
                <c:pt idx="285">
                  <c:v>-0.25774185032285768</c:v>
                </c:pt>
                <c:pt idx="286">
                  <c:v>-0.26138036248589669</c:v>
                </c:pt>
                <c:pt idx="287">
                  <c:v>-0.25428419177648587</c:v>
                </c:pt>
                <c:pt idx="288">
                  <c:v>-0.25792270393952488</c:v>
                </c:pt>
                <c:pt idx="289">
                  <c:v>-0.26156121610256394</c:v>
                </c:pt>
                <c:pt idx="290">
                  <c:v>-0.26519972826560295</c:v>
                </c:pt>
                <c:pt idx="291">
                  <c:v>-0.2617420697192312</c:v>
                </c:pt>
                <c:pt idx="292">
                  <c:v>-0.26538058188227021</c:v>
                </c:pt>
                <c:pt idx="293">
                  <c:v>-0.26901909404530921</c:v>
                </c:pt>
                <c:pt idx="294">
                  <c:v>-0.27265760620834828</c:v>
                </c:pt>
                <c:pt idx="295">
                  <c:v>-0.26919994766197647</c:v>
                </c:pt>
                <c:pt idx="296">
                  <c:v>-0.27283845982501553</c:v>
                </c:pt>
                <c:pt idx="297">
                  <c:v>-0.27647697198805454</c:v>
                </c:pt>
                <c:pt idx="298">
                  <c:v>-0.28011548415109355</c:v>
                </c:pt>
                <c:pt idx="299">
                  <c:v>-0.2766578256047218</c:v>
                </c:pt>
                <c:pt idx="300">
                  <c:v>-0.28029633776776081</c:v>
                </c:pt>
                <c:pt idx="301">
                  <c:v>-0.28393484993079987</c:v>
                </c:pt>
                <c:pt idx="302">
                  <c:v>-0.28757336209383888</c:v>
                </c:pt>
                <c:pt idx="303">
                  <c:v>-0.28411570354746707</c:v>
                </c:pt>
                <c:pt idx="304">
                  <c:v>-0.28775421571050608</c:v>
                </c:pt>
                <c:pt idx="305">
                  <c:v>-0.29139272787354514</c:v>
                </c:pt>
                <c:pt idx="306">
                  <c:v>-0.29503124003658415</c:v>
                </c:pt>
                <c:pt idx="307">
                  <c:v>-0.2915735814902124</c:v>
                </c:pt>
                <c:pt idx="308">
                  <c:v>-0.29521209365325141</c:v>
                </c:pt>
                <c:pt idx="309">
                  <c:v>-0.29885060581629042</c:v>
                </c:pt>
                <c:pt idx="310">
                  <c:v>-0.29903145943295767</c:v>
                </c:pt>
                <c:pt idx="311">
                  <c:v>-0.30266997159599673</c:v>
                </c:pt>
                <c:pt idx="312">
                  <c:v>-0.30630848375903574</c:v>
                </c:pt>
                <c:pt idx="313">
                  <c:v>-0.30648933737570294</c:v>
                </c:pt>
                <c:pt idx="314">
                  <c:v>-0.31012784953874201</c:v>
                </c:pt>
                <c:pt idx="315">
                  <c:v>-0.31376636170178107</c:v>
                </c:pt>
                <c:pt idx="316">
                  <c:v>-0.31394721531844827</c:v>
                </c:pt>
                <c:pt idx="317">
                  <c:v>-0.31758572748148728</c:v>
                </c:pt>
                <c:pt idx="318">
                  <c:v>-0.32122423964452634</c:v>
                </c:pt>
                <c:pt idx="319">
                  <c:v>-0.3214050932611936</c:v>
                </c:pt>
                <c:pt idx="320">
                  <c:v>-0.32504360542423261</c:v>
                </c:pt>
                <c:pt idx="321">
                  <c:v>-0.32868211758727162</c:v>
                </c:pt>
                <c:pt idx="322">
                  <c:v>-0.32886297120393887</c:v>
                </c:pt>
                <c:pt idx="323">
                  <c:v>-0.33250148336697788</c:v>
                </c:pt>
                <c:pt idx="324">
                  <c:v>-0.33613999553001694</c:v>
                </c:pt>
                <c:pt idx="325">
                  <c:v>-0.33632084914668414</c:v>
                </c:pt>
                <c:pt idx="326">
                  <c:v>-0.33995936130972321</c:v>
                </c:pt>
                <c:pt idx="327">
                  <c:v>-0.34359787347276222</c:v>
                </c:pt>
                <c:pt idx="328">
                  <c:v>-0.34377872708942947</c:v>
                </c:pt>
                <c:pt idx="329">
                  <c:v>-0.34741723925246848</c:v>
                </c:pt>
                <c:pt idx="330">
                  <c:v>-0.35105575141550754</c:v>
                </c:pt>
                <c:pt idx="331">
                  <c:v>-0.3512366050321748</c:v>
                </c:pt>
                <c:pt idx="332">
                  <c:v>-0.35487511719521381</c:v>
                </c:pt>
                <c:pt idx="333">
                  <c:v>-0.35869448297492013</c:v>
                </c:pt>
                <c:pt idx="334">
                  <c:v>-0.36233299513795914</c:v>
                </c:pt>
                <c:pt idx="335">
                  <c:v>-0.36615236091766534</c:v>
                </c:pt>
                <c:pt idx="336">
                  <c:v>-0.36979087308070441</c:v>
                </c:pt>
                <c:pt idx="337">
                  <c:v>-0.37361023886041067</c:v>
                </c:pt>
                <c:pt idx="338">
                  <c:v>-0.37724875102344974</c:v>
                </c:pt>
                <c:pt idx="339">
                  <c:v>-0.381068116803156</c:v>
                </c:pt>
                <c:pt idx="340">
                  <c:v>-0.38470662896619501</c:v>
                </c:pt>
                <c:pt idx="341">
                  <c:v>-0.38852599474590127</c:v>
                </c:pt>
                <c:pt idx="342">
                  <c:v>-0.39216450690894034</c:v>
                </c:pt>
                <c:pt idx="343">
                  <c:v>-0.39598387268864654</c:v>
                </c:pt>
                <c:pt idx="344">
                  <c:v>-0.39962238485168561</c:v>
                </c:pt>
                <c:pt idx="345">
                  <c:v>-0.40344175063139187</c:v>
                </c:pt>
                <c:pt idx="346">
                  <c:v>-0.40708026279443094</c:v>
                </c:pt>
                <c:pt idx="347">
                  <c:v>-0.4108996285741372</c:v>
                </c:pt>
                <c:pt idx="348">
                  <c:v>-0.41453814073717621</c:v>
                </c:pt>
                <c:pt idx="349">
                  <c:v>-0.41835750651688247</c:v>
                </c:pt>
                <c:pt idx="350">
                  <c:v>-0.42199601867992154</c:v>
                </c:pt>
                <c:pt idx="351">
                  <c:v>-0.42581538445962774</c:v>
                </c:pt>
                <c:pt idx="352">
                  <c:v>-0.42945389662266675</c:v>
                </c:pt>
                <c:pt idx="353">
                  <c:v>-0.43327326240237307</c:v>
                </c:pt>
                <c:pt idx="354">
                  <c:v>-0.43691177456541208</c:v>
                </c:pt>
                <c:pt idx="355">
                  <c:v>-0.44073114034511834</c:v>
                </c:pt>
                <c:pt idx="356">
                  <c:v>-0.44436965250815741</c:v>
                </c:pt>
                <c:pt idx="357">
                  <c:v>-0.44818901828786367</c:v>
                </c:pt>
                <c:pt idx="358">
                  <c:v>-0.45182753045090274</c:v>
                </c:pt>
                <c:pt idx="359">
                  <c:v>-0.45564689623060894</c:v>
                </c:pt>
                <c:pt idx="360">
                  <c:v>-0.45928540839364795</c:v>
                </c:pt>
                <c:pt idx="361">
                  <c:v>-0.46310477417335427</c:v>
                </c:pt>
                <c:pt idx="362">
                  <c:v>-0.46674328633639328</c:v>
                </c:pt>
                <c:pt idx="363">
                  <c:v>-0.47056265211609954</c:v>
                </c:pt>
                <c:pt idx="364">
                  <c:v>-0.47802053005884487</c:v>
                </c:pt>
                <c:pt idx="365">
                  <c:v>-0.48547840800159014</c:v>
                </c:pt>
                <c:pt idx="366">
                  <c:v>-0.49293628594433547</c:v>
                </c:pt>
                <c:pt idx="367">
                  <c:v>-0.5003941638870808</c:v>
                </c:pt>
                <c:pt idx="368">
                  <c:v>-0.50785204182982602</c:v>
                </c:pt>
                <c:pt idx="369">
                  <c:v>-0.51530991977257135</c:v>
                </c:pt>
                <c:pt idx="370">
                  <c:v>-0.52276779771531667</c:v>
                </c:pt>
                <c:pt idx="371">
                  <c:v>-0.53022567565806189</c:v>
                </c:pt>
                <c:pt idx="372">
                  <c:v>-0.53768355360080733</c:v>
                </c:pt>
                <c:pt idx="373">
                  <c:v>-0.54514143154355255</c:v>
                </c:pt>
                <c:pt idx="374">
                  <c:v>-0.55259930948629787</c:v>
                </c:pt>
                <c:pt idx="375">
                  <c:v>-0.5600571874290432</c:v>
                </c:pt>
                <c:pt idx="376">
                  <c:v>-0.56751506537178842</c:v>
                </c:pt>
                <c:pt idx="377">
                  <c:v>-0.57497294331453375</c:v>
                </c:pt>
                <c:pt idx="378">
                  <c:v>-0.58243082125727907</c:v>
                </c:pt>
              </c:numCache>
            </c:numRef>
          </c:yVal>
          <c:smooth val="0"/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{24B4A6E0-C1A0-4D8C-9255-2578A134AEDC}</c15:txfldGUID>
                      <c15:f>plot!$AC$9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plot!$AC$10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{DA53E5EE-4654-436E-AEE6-F55FFE5EA824}</c15:txfldGUID>
                      <c15:f>plot!$AC$10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{D2980512-289B-4D4D-A134-0A9B607A01E3}</c15:txfldGUID>
                      <c15:f>plot!$AC$11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{9E24DB3C-9FC0-495C-ABD4-0D89FF64B881}</c15:txfldGUID>
                      <c15:f>plot!$AC$12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plot!$AC$13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{447517EA-C81E-4378-A5CC-D3F09FFF43F9}</c15:txfldGUID>
                      <c15:f>plot!$AC$13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{3EAF9AAB-BE54-4D7E-ACBE-AA47E8862569}</c15:txfldGUID>
                      <c15:f>plot!$AC$14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{2A27654B-33D2-4951-A779-9A9C1C37BFE7}</c15:txfldGUID>
                      <c15:f>plot!$AC$15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plot!$AC$16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{A735CB40-431B-4070-AA46-84AABF60DAC3}</c15:txfldGUID>
                      <c15:f>plot!$AC$16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{F64881A1-D54A-4494-BEA9-3FB18F0F6645}</c15:txfldGUID>
                      <c15:f>plot!$AC$17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{17DE65E2-07FE-4B6D-B26D-A50E65C9AA9E}</c15:txfldGUID>
                      <c15:f>plot!$AC$18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plot!$AC$19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{2F46BE04-048F-460F-8DA2-5AC226CCF64E}</c15:txfldGUID>
                      <c15:f>plot!$AC$19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{22092644-586B-439E-8211-82DC8C1C36B6}</c15:txfldGUID>
                      <c15:f>plot!$AC$20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{0AB6229B-7D8F-45E4-A924-4F7C194E600B}</c15:txfldGUID>
                      <c15:f>plot!$AC$21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plot!$AC$22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{0D1BA864-B006-4663-A464-7676B218EC05}</c15:txfldGUID>
                      <c15:f>plot!$AC$22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{0B1313D7-4870-496B-B9D0-6ED16B5A5DC8}</c15:txfldGUID>
                      <c15:f>plot!$AC$23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{E1B9C4B7-955E-46BC-A5CF-C56BA9C9EDB6}</c15:txfldGUID>
                      <c15:f>plot!$AC$24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plot!$AC$25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{96EB592C-E873-41C6-A315-AE232684AD86}</c15:txfldGUID>
                      <c15:f>plot!$AC$25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{967094CD-EBAF-4079-B48C-DE90F8988235}</c15:txfldGUID>
                      <c15:f>plot!$AC$26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{003A7DAF-CD5B-4B37-93CD-D55DFCD69CC5}</c15:txfldGUID>
                      <c15:f>plot!$AC$27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plot!$AC$28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{18FC4B1B-DD17-455D-9014-0C3CB6D73794}</c15:txfldGUID>
                      <c15:f>plot!$AC$28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{8B9A398C-02F2-452F-AB70-05F5740DC936}</c15:txfldGUID>
                      <c15:f>plot!$AC$29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plot!$AD$9:$AD$29</c:f>
              <c:numCache>
                <c:formatCode>General</c:formatCode>
                <c:ptCount val="21"/>
                <c:pt idx="0">
                  <c:v>-0.41093159186349193</c:v>
                </c:pt>
                <c:pt idx="1">
                  <c:v>-0.4451336061960588</c:v>
                </c:pt>
                <c:pt idx="2">
                  <c:v>-0.41093159186349193</c:v>
                </c:pt>
                <c:pt idx="3">
                  <c:v>-0.16101334165447378</c:v>
                </c:pt>
                <c:pt idx="4">
                  <c:v>-0.19521535598704065</c:v>
                </c:pt>
                <c:pt idx="5">
                  <c:v>-0.16101334165447378</c:v>
                </c:pt>
                <c:pt idx="6">
                  <c:v>8.8904908554544387E-2</c:v>
                </c:pt>
                <c:pt idx="7">
                  <c:v>5.4702894221977515E-2</c:v>
                </c:pt>
                <c:pt idx="8">
                  <c:v>8.8904908554544387E-2</c:v>
                </c:pt>
                <c:pt idx="9">
                  <c:v>8.8904908554544387E-2</c:v>
                </c:pt>
                <c:pt idx="10">
                  <c:v>5.4702894221977515E-2</c:v>
                </c:pt>
                <c:pt idx="11">
                  <c:v>8.8904908554544387E-2</c:v>
                </c:pt>
                <c:pt idx="12">
                  <c:v>8.8904908554544387E-2</c:v>
                </c:pt>
                <c:pt idx="13">
                  <c:v>5.4702894221977515E-2</c:v>
                </c:pt>
                <c:pt idx="14">
                  <c:v>8.8904908554544387E-2</c:v>
                </c:pt>
                <c:pt idx="15">
                  <c:v>8.8904908554544387E-2</c:v>
                </c:pt>
                <c:pt idx="16">
                  <c:v>5.4702894221977515E-2</c:v>
                </c:pt>
                <c:pt idx="17">
                  <c:v>8.8904908554544387E-2</c:v>
                </c:pt>
                <c:pt idx="18">
                  <c:v>8.8904908554544387E-2</c:v>
                </c:pt>
                <c:pt idx="19">
                  <c:v>5.4702894221977515E-2</c:v>
                </c:pt>
                <c:pt idx="20">
                  <c:v>8.8904908554544387E-2</c:v>
                </c:pt>
              </c:numCache>
            </c:numRef>
          </c:xVal>
          <c:yVal>
            <c:numRef>
              <c:f>plot!$AE$9:$AE$29</c:f>
              <c:numCache>
                <c:formatCode>General</c:formatCode>
                <c:ptCount val="21"/>
                <c:pt idx="0">
                  <c:v>-0.62427371113222785</c:v>
                </c:pt>
                <c:pt idx="1">
                  <c:v>-0.67125834217152325</c:v>
                </c:pt>
                <c:pt idx="2">
                  <c:v>-0.62427371113222785</c:v>
                </c:pt>
                <c:pt idx="3">
                  <c:v>-0.66975511317021574</c:v>
                </c:pt>
                <c:pt idx="4">
                  <c:v>-0.71673974420951114</c:v>
                </c:pt>
                <c:pt idx="5">
                  <c:v>-0.66975511317021574</c:v>
                </c:pt>
                <c:pt idx="6">
                  <c:v>-0.71523651520820364</c:v>
                </c:pt>
                <c:pt idx="7">
                  <c:v>-0.76222114624749904</c:v>
                </c:pt>
                <c:pt idx="8">
                  <c:v>-0.71523651520820364</c:v>
                </c:pt>
                <c:pt idx="9">
                  <c:v>-0.71523651520820364</c:v>
                </c:pt>
                <c:pt idx="10">
                  <c:v>-0.76222114624749904</c:v>
                </c:pt>
                <c:pt idx="11">
                  <c:v>-0.71523651520820364</c:v>
                </c:pt>
                <c:pt idx="12">
                  <c:v>-0.71523651520820364</c:v>
                </c:pt>
                <c:pt idx="13">
                  <c:v>-0.76222114624749904</c:v>
                </c:pt>
                <c:pt idx="14">
                  <c:v>-0.71523651520820364</c:v>
                </c:pt>
                <c:pt idx="15">
                  <c:v>-0.71523651520820364</c:v>
                </c:pt>
                <c:pt idx="16">
                  <c:v>-0.76222114624749904</c:v>
                </c:pt>
                <c:pt idx="17">
                  <c:v>-0.71523651520820364</c:v>
                </c:pt>
                <c:pt idx="18">
                  <c:v>-0.71523651520820364</c:v>
                </c:pt>
                <c:pt idx="19">
                  <c:v>-0.76222114624749904</c:v>
                </c:pt>
                <c:pt idx="20">
                  <c:v>-0.71523651520820364</c:v>
                </c:pt>
              </c:numCache>
            </c:numRef>
          </c:yVal>
          <c:smooth val="0"/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{9E7B308C-FF38-41E1-89A4-6D7EC0A579E6}</c15:txfldGUID>
                      <c15:f>plot!$AH$9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plot!$AH$10</c:f>
                  <c:strCache>
                    <c:ptCount val="1"/>
                    <c:pt idx="0">
                      <c:v>0,3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{94C2E76C-A8FA-408F-B22C-71B86986E22D}</c15:txfldGUID>
                      <c15:f>plot!$AH$10</c15:f>
                      <c15:dlblFieldTableCache>
                        <c:ptCount val="1"/>
                        <c:pt idx="0">
                          <c:v>0,3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{C6E7808E-3AC0-45B2-8C9C-759DDC4AF649}</c15:txfldGUID>
                      <c15:f>plot!$AH$11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{53CCA8F9-55B3-45CD-9A6D-8C31F3DB3966}</c15:txfldGUID>
                      <c15:f>plot!$AH$12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plot!$AH$13</c:f>
                  <c:strCache>
                    <c:ptCount val="1"/>
                    <c:pt idx="0">
                      <c:v>0,6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{5C1C6634-0F8B-4A60-8924-57038109350B}</c15:txfldGUID>
                      <c15:f>plot!$AH$13</c15:f>
                      <c15:dlblFieldTableCache>
                        <c:ptCount val="1"/>
                        <c:pt idx="0">
                          <c:v>0,6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{CCD46B13-A916-44BF-9398-CF34F2838327}</c15:txfldGUID>
                      <c15:f>plot!$AH$14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{FC8D7340-66FB-4906-AC43-2101BDA4C213}</c15:txfldGUID>
                      <c15:f>plot!$AH$15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plot!$AH$16</c:f>
                  <c:strCache>
                    <c:ptCount val="1"/>
                    <c:pt idx="0">
                      <c:v>0,9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{C5255623-FBD6-46D0-A222-5974FBB66DC6}</c15:txfldGUID>
                      <c15:f>plot!$AH$16</c15:f>
                      <c15:dlblFieldTableCache>
                        <c:ptCount val="1"/>
                        <c:pt idx="0">
                          <c:v>0,9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{15F188AA-AFF0-4F85-A9FA-7B6EC527031A}</c15:txfldGUID>
                      <c15:f>plot!$AH$17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{97DC4086-09A3-48EF-9A57-7D9EDB03D58B}</c15:txfldGUID>
                      <c15:f>plot!$AH$18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plot!$AH$19</c:f>
                  <c:strCache>
                    <c:ptCount val="1"/>
                    <c:pt idx="0">
                      <c:v>1,2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{10E91326-07E9-4830-9F29-85A2C7975BB8}</c15:txfldGUID>
                      <c15:f>plot!$AH$19</c15:f>
                      <c15:dlblFieldTableCache>
                        <c:ptCount val="1"/>
                        <c:pt idx="0">
                          <c:v>1,2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{95193A1B-F999-49DA-81FA-DE1F8567C62A}</c15:txfldGUID>
                      <c15:f>plot!$AH$20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{6B86EBD2-21CA-4E11-BD4F-4385A4A50C3C}</c15:txfldGUID>
                      <c15:f>plot!$AH$21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plot!$AH$22</c:f>
                  <c:strCache>
                    <c:ptCount val="1"/>
                    <c:pt idx="0">
                      <c:v>1,5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{A6E258C2-5BA5-4425-826B-ADC721C325AB}</c15:txfldGUID>
                      <c15:f>plot!$AH$22</c15:f>
                      <c15:dlblFieldTableCache>
                        <c:ptCount val="1"/>
                        <c:pt idx="0">
                          <c:v>1,5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{7CE92075-3E22-4095-8DD3-F3C574352303}</c15:txfldGUID>
                      <c15:f>plot!$AH$23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{E253A619-E8FC-4EF5-8DF4-4346288CDFC9}</c15:txfldGUID>
                      <c15:f>plot!$AH$24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plot!$AH$25</c:f>
                  <c:strCache>
                    <c:ptCount val="1"/>
                    <c:pt idx="0">
                      <c:v>1,8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{C8D5F4BC-336F-476C-A0AC-DDEB78F56DCD}</c15:txfldGUID>
                      <c15:f>plot!$AH$25</c15:f>
                      <c15:dlblFieldTableCache>
                        <c:ptCount val="1"/>
                        <c:pt idx="0">
                          <c:v>1,8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{B8814724-28D0-40E6-A38F-C1A6168BD873}</c15:txfldGUID>
                      <c15:f>plot!$AH$26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{50E2DB89-43D1-434A-AB74-2F45D2C5B09C}</c15:txfldGUID>
                      <c15:f>plot!$AH$27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plot!$AH$28</c:f>
                  <c:strCache>
                    <c:ptCount val="1"/>
                    <c:pt idx="0">
                      <c:v>1,8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{37710F6A-8179-4E05-ADFA-68E6AFB38453}</c15:txfldGUID>
                      <c15:f>plot!$AH$28</c15:f>
                      <c15:dlblFieldTableCache>
                        <c:ptCount val="1"/>
                        <c:pt idx="0">
                          <c:v>1,8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{03C0D6C2-5C0C-4C0D-B5C7-CEE7A2A0CD4F}</c15:txfldGUID>
                      <c15:f>plot!$AH$29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plot!$AI$9:$AI$29</c:f>
              <c:numCache>
                <c:formatCode>General</c:formatCode>
                <c:ptCount val="21"/>
                <c:pt idx="0">
                  <c:v>0.64085638205578843</c:v>
                </c:pt>
                <c:pt idx="1">
                  <c:v>0.73482564413437934</c:v>
                </c:pt>
                <c:pt idx="2">
                  <c:v>0.64085638205578843</c:v>
                </c:pt>
                <c:pt idx="3">
                  <c:v>0.64085638205578854</c:v>
                </c:pt>
                <c:pt idx="4">
                  <c:v>0.73482564413437945</c:v>
                </c:pt>
                <c:pt idx="5">
                  <c:v>0.64085638205578854</c:v>
                </c:pt>
                <c:pt idx="6">
                  <c:v>0.64085638205578854</c:v>
                </c:pt>
                <c:pt idx="7">
                  <c:v>0.73482564413437945</c:v>
                </c:pt>
                <c:pt idx="8">
                  <c:v>0.64085638205578854</c:v>
                </c:pt>
                <c:pt idx="9">
                  <c:v>0.64085638205578854</c:v>
                </c:pt>
                <c:pt idx="10">
                  <c:v>0.73482564413437945</c:v>
                </c:pt>
                <c:pt idx="11">
                  <c:v>0.64085638205578854</c:v>
                </c:pt>
                <c:pt idx="12">
                  <c:v>0.64085638205578854</c:v>
                </c:pt>
                <c:pt idx="13">
                  <c:v>0.73482564413437945</c:v>
                </c:pt>
                <c:pt idx="14">
                  <c:v>0.64085638205578854</c:v>
                </c:pt>
                <c:pt idx="15">
                  <c:v>0.64085638205578854</c:v>
                </c:pt>
                <c:pt idx="16">
                  <c:v>0.73482564413437945</c:v>
                </c:pt>
                <c:pt idx="17">
                  <c:v>0.64085638205578854</c:v>
                </c:pt>
                <c:pt idx="18">
                  <c:v>0.64085638205578854</c:v>
                </c:pt>
                <c:pt idx="19">
                  <c:v>0.73482564413437945</c:v>
                </c:pt>
                <c:pt idx="20">
                  <c:v>0.64085638205578854</c:v>
                </c:pt>
              </c:numCache>
            </c:numRef>
          </c:xVal>
          <c:yVal>
            <c:numRef>
              <c:f>plot!$AJ$9:$AJ$29</c:f>
              <c:numCache>
                <c:formatCode>General</c:formatCode>
                <c:ptCount val="21"/>
                <c:pt idx="0">
                  <c:v>-0.2634422043098183</c:v>
                </c:pt>
                <c:pt idx="1">
                  <c:v>-0.28054321147610173</c:v>
                </c:pt>
                <c:pt idx="2">
                  <c:v>-0.2634422043098183</c:v>
                </c:pt>
                <c:pt idx="3">
                  <c:v>-0.10538433593851387</c:v>
                </c:pt>
                <c:pt idx="4">
                  <c:v>-0.12248534310479731</c:v>
                </c:pt>
                <c:pt idx="5">
                  <c:v>-0.10538433593851387</c:v>
                </c:pt>
                <c:pt idx="6">
                  <c:v>5.2673532432790465E-2</c:v>
                </c:pt>
                <c:pt idx="7">
                  <c:v>3.5572525266507032E-2</c:v>
                </c:pt>
                <c:pt idx="8">
                  <c:v>5.2673532432790465E-2</c:v>
                </c:pt>
                <c:pt idx="9">
                  <c:v>0.21073140080409483</c:v>
                </c:pt>
                <c:pt idx="10">
                  <c:v>0.1936303936378114</c:v>
                </c:pt>
                <c:pt idx="11">
                  <c:v>0.21073140080409483</c:v>
                </c:pt>
                <c:pt idx="12">
                  <c:v>0.36878926917539923</c:v>
                </c:pt>
                <c:pt idx="13">
                  <c:v>0.35168826200911579</c:v>
                </c:pt>
                <c:pt idx="14">
                  <c:v>0.36878926917539923</c:v>
                </c:pt>
                <c:pt idx="15">
                  <c:v>0.52684713754670365</c:v>
                </c:pt>
                <c:pt idx="16">
                  <c:v>0.50974613038042027</c:v>
                </c:pt>
                <c:pt idx="17">
                  <c:v>0.52684713754670365</c:v>
                </c:pt>
                <c:pt idx="18">
                  <c:v>0.52684713754670365</c:v>
                </c:pt>
                <c:pt idx="19">
                  <c:v>0.50974613038042027</c:v>
                </c:pt>
                <c:pt idx="20">
                  <c:v>0.52684713754670365</c:v>
                </c:pt>
              </c:numCache>
            </c:numRef>
          </c:yVal>
          <c:smooth val="0"/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00D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plot!$B$33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{283194CD-A84D-40E5-A24C-E4DC85505761}</c15:txfldGUID>
                      <c15:f>plot!$B$33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plot!$B$34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{406711F7-C8F8-4CA4-8CFC-C13CE9792124}</c15:txfldGUID>
                      <c15:f>plot!$B$34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plot!$B$35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{55D68154-80B2-4824-8B2F-846DE5A8342E}</c15:txfldGUID>
                      <c15:f>plot!$B$35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plot!$B$36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{C68D67B6-64EF-46F2-9D4E-328E542F8F3F}</c15:txfldGUID>
                      <c15:f>plot!$B$36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plot!$B$37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{C13806E1-8629-4A5E-AF1C-C531FD167393}</c15:txfldGUID>
                      <c15:f>plot!$B$37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plot!$B$38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{E4EA7A0A-2B50-4680-90A9-7F5EB7B0B70C}</c15:txfldGUID>
                      <c15:f>plot!$B$38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plot!$B$39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{95602C85-528D-44F1-842C-6E269C682467}</c15:txfldGUID>
                      <c15:f>plot!$B$39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plot!$G$33:$G$411</c:f>
                <c:numCache>
                  <c:formatCode>General</c:formatCode>
                  <c:ptCount val="379"/>
                  <c:pt idx="0">
                    <c:v>9.2463852997213103E-2</c:v>
                  </c:pt>
                  <c:pt idx="1">
                    <c:v>2.8318701416525371E-2</c:v>
                  </c:pt>
                  <c:pt idx="2">
                    <c:v>4.2148764899014868E-3</c:v>
                  </c:pt>
                  <c:pt idx="3">
                    <c:v>1.7122935740225276E-3</c:v>
                  </c:pt>
                  <c:pt idx="4">
                    <c:v>3.1611573674260596E-3</c:v>
                  </c:pt>
                  <c:pt idx="5">
                    <c:v>5.7954551736145166E-3</c:v>
                  </c:pt>
                  <c:pt idx="6">
                    <c:v>1.6727791069296394E-2</c:v>
                  </c:pt>
                  <c:pt idx="7">
                    <c:v>2.1732956901054368E-2</c:v>
                  </c:pt>
                  <c:pt idx="8">
                    <c:v>3.3982441699830446E-2</c:v>
                  </c:pt>
                  <c:pt idx="9">
                    <c:v>4.1226760666848605E-2</c:v>
                  </c:pt>
                  <c:pt idx="10">
                    <c:v>6.0061989981095687E-2</c:v>
                  </c:pt>
                  <c:pt idx="11">
                    <c:v>7.6789781050392025E-2</c:v>
                  </c:pt>
                  <c:pt idx="12">
                    <c:v>8.4297529798029014E-2</c:v>
                  </c:pt>
                  <c:pt idx="13">
                    <c:v>0.10063017619639714</c:v>
                  </c:pt>
                  <c:pt idx="14">
                    <c:v>0.11274794610486377</c:v>
                  </c:pt>
                  <c:pt idx="15">
                    <c:v>0.12987088184508844</c:v>
                  </c:pt>
                  <c:pt idx="16">
                    <c:v>0.15608214501666318</c:v>
                  </c:pt>
                  <c:pt idx="17">
                    <c:v>0.16859505959605803</c:v>
                  </c:pt>
                  <c:pt idx="18">
                    <c:v>0.18505942088473556</c:v>
                  </c:pt>
                  <c:pt idx="19">
                    <c:v>0.20600208844393342</c:v>
                  </c:pt>
                  <c:pt idx="20">
                    <c:v>0.21061210960476315</c:v>
                  </c:pt>
                  <c:pt idx="21">
                    <c:v>0.21601242010744934</c:v>
                  </c:pt>
                  <c:pt idx="22">
                    <c:v>0.22246644973261098</c:v>
                  </c:pt>
                  <c:pt idx="23">
                    <c:v>0.22654961133220294</c:v>
                  </c:pt>
                  <c:pt idx="24">
                    <c:v>0.23761366211819429</c:v>
                  </c:pt>
                  <c:pt idx="25">
                    <c:v>0.24538484064645008</c:v>
                  </c:pt>
                  <c:pt idx="26">
                    <c:v>0.25723918077429786</c:v>
                  </c:pt>
                  <c:pt idx="27">
                    <c:v>0.26645922309595732</c:v>
                  </c:pt>
                  <c:pt idx="28">
                    <c:v>0.29306563093846016</c:v>
                  </c:pt>
                  <c:pt idx="29">
                    <c:v>0.30281253282135739</c:v>
                  </c:pt>
                  <c:pt idx="30">
                    <c:v>0.30966170711744723</c:v>
                  </c:pt>
                  <c:pt idx="31">
                    <c:v>0.31888174943910669</c:v>
                  </c:pt>
                  <c:pt idx="32">
                    <c:v>0.35141532734553343</c:v>
                  </c:pt>
                  <c:pt idx="33">
                    <c:v>0.357869356970695</c:v>
                  </c:pt>
                  <c:pt idx="34">
                    <c:v>0.35958165054471758</c:v>
                  </c:pt>
                  <c:pt idx="35">
                    <c:v>0.36471853126678488</c:v>
                  </c:pt>
                  <c:pt idx="36">
                    <c:v>0.3752557224915386</c:v>
                  </c:pt>
                  <c:pt idx="37">
                    <c:v>0.37947059898143998</c:v>
                  </c:pt>
                  <c:pt idx="38">
                    <c:v>0.38618805838722042</c:v>
                  </c:pt>
                  <c:pt idx="39">
                    <c:v>0.39119322421897851</c:v>
                  </c:pt>
                  <c:pt idx="40">
                    <c:v>0.4018621303340415</c:v>
                  </c:pt>
                  <c:pt idx="41">
                    <c:v>0.40502328770146756</c:v>
                  </c:pt>
                  <c:pt idx="42">
                    <c:v>0.41016016842353487</c:v>
                  </c:pt>
                  <c:pt idx="43">
                    <c:v>0.41516533425529289</c:v>
                  </c:pt>
                  <c:pt idx="44">
                    <c:v>0.42912711262809144</c:v>
                  </c:pt>
                  <c:pt idx="45">
                    <c:v>0.43768858049820381</c:v>
                  </c:pt>
                  <c:pt idx="46">
                    <c:v>0.44348403567181827</c:v>
                  </c:pt>
                  <c:pt idx="47">
                    <c:v>0.44888434617450457</c:v>
                  </c:pt>
                  <c:pt idx="48">
                    <c:v>2.1337812230126096E-2</c:v>
                  </c:pt>
                  <c:pt idx="49">
                    <c:v>1.7122935740225276E-3</c:v>
                  </c:pt>
                  <c:pt idx="50">
                    <c:v>5.6637402833050743E-3</c:v>
                  </c:pt>
                  <c:pt idx="51">
                    <c:v>2.2259816462292026E-2</c:v>
                  </c:pt>
                  <c:pt idx="52">
                    <c:v>4.4256203143965278E-2</c:v>
                  </c:pt>
                  <c:pt idx="53">
                    <c:v>7.4023768353894237E-2</c:v>
                  </c:pt>
                  <c:pt idx="54">
                    <c:v>0.10471333779598918</c:v>
                  </c:pt>
                  <c:pt idx="55">
                    <c:v>0.12987088184508844</c:v>
                  </c:pt>
                  <c:pt idx="56">
                    <c:v>0.16517047244801314</c:v>
                  </c:pt>
                  <c:pt idx="57">
                    <c:v>0.19928462903815297</c:v>
                  </c:pt>
                  <c:pt idx="58">
                    <c:v>0.221544445500445</c:v>
                  </c:pt>
                  <c:pt idx="59">
                    <c:v>0.231554777163961</c:v>
                  </c:pt>
                  <c:pt idx="60">
                    <c:v>0.2357696536538624</c:v>
                  </c:pt>
                  <c:pt idx="61">
                    <c:v>0.24064310459531099</c:v>
                  </c:pt>
                  <c:pt idx="62">
                    <c:v>0.25829289989677329</c:v>
                  </c:pt>
                  <c:pt idx="63">
                    <c:v>0.27502069096606968</c:v>
                  </c:pt>
                  <c:pt idx="64">
                    <c:v>0.29596335852526745</c:v>
                  </c:pt>
                  <c:pt idx="65">
                    <c:v>0.30597369018878345</c:v>
                  </c:pt>
                  <c:pt idx="66">
                    <c:v>0.31914517921972546</c:v>
                  </c:pt>
                  <c:pt idx="67">
                    <c:v>0.33363381715376172</c:v>
                  </c:pt>
                  <c:pt idx="68">
                    <c:v>0.33639982985025957</c:v>
                  </c:pt>
                  <c:pt idx="69">
                    <c:v>0.34838588486841682</c:v>
                  </c:pt>
                  <c:pt idx="70">
                    <c:v>0.4058135770433241</c:v>
                  </c:pt>
                  <c:pt idx="71">
                    <c:v>0.42688795949283137</c:v>
                  </c:pt>
                  <c:pt idx="72">
                    <c:v>0.35747421229976684</c:v>
                  </c:pt>
                  <c:pt idx="73">
                    <c:v>0.36946026731792403</c:v>
                  </c:pt>
                  <c:pt idx="74">
                    <c:v>0.38552948393567343</c:v>
                  </c:pt>
                  <c:pt idx="75">
                    <c:v>0.3992278325278531</c:v>
                  </c:pt>
                  <c:pt idx="76">
                    <c:v>0.43637143159510966</c:v>
                  </c:pt>
                  <c:pt idx="77">
                    <c:v>0.45573352047059434</c:v>
                  </c:pt>
                  <c:pt idx="78">
                    <c:v>0.47219788175927191</c:v>
                  </c:pt>
                  <c:pt idx="79">
                    <c:v>0.49169168552506615</c:v>
                  </c:pt>
                  <c:pt idx="80">
                    <c:v>0.53792361202367267</c:v>
                  </c:pt>
                  <c:pt idx="81">
                    <c:v>0.55333425418987492</c:v>
                  </c:pt>
                  <c:pt idx="82">
                    <c:v>0.56861318146576756</c:v>
                  </c:pt>
                  <c:pt idx="83">
                    <c:v>0.58297010450949438</c:v>
                  </c:pt>
                  <c:pt idx="84">
                    <c:v>0.60338591250745455</c:v>
                  </c:pt>
                  <c:pt idx="85">
                    <c:v>0.62037713335736977</c:v>
                  </c:pt>
                  <c:pt idx="86">
                    <c:v>0.63684149464604722</c:v>
                  </c:pt>
                  <c:pt idx="87">
                    <c:v>0.65133013258008354</c:v>
                  </c:pt>
                  <c:pt idx="88">
                    <c:v>0.67451195327454161</c:v>
                  </c:pt>
                  <c:pt idx="89">
                    <c:v>0.69084459967290968</c:v>
                  </c:pt>
                  <c:pt idx="90">
                    <c:v>0.70730896096158713</c:v>
                  </c:pt>
                  <c:pt idx="91">
                    <c:v>0.72443189670181174</c:v>
                  </c:pt>
                  <c:pt idx="92">
                    <c:v>0.75051144498307709</c:v>
                  </c:pt>
                  <c:pt idx="93">
                    <c:v>0.76710752116206415</c:v>
                  </c:pt>
                  <c:pt idx="94">
                    <c:v>0.78976248229528434</c:v>
                  </c:pt>
                  <c:pt idx="95">
                    <c:v>0.80780742226767488</c:v>
                  </c:pt>
                  <c:pt idx="96">
                    <c:v>4.2148764899014868E-3</c:v>
                  </c:pt>
                  <c:pt idx="97">
                    <c:v>7.5077487476369886E-3</c:v>
                  </c:pt>
                  <c:pt idx="98">
                    <c:v>3.358729702890223E-2</c:v>
                  </c:pt>
                  <c:pt idx="99">
                    <c:v>7.4023768353894237E-2</c:v>
                  </c:pt>
                  <c:pt idx="100">
                    <c:v>0.11986055018157254</c:v>
                  </c:pt>
                  <c:pt idx="101">
                    <c:v>0.16385332354491888</c:v>
                  </c:pt>
                  <c:pt idx="102">
                    <c:v>0.22088587104889792</c:v>
                  </c:pt>
                  <c:pt idx="103">
                    <c:v>0.2285253346868443</c:v>
                  </c:pt>
                  <c:pt idx="104">
                    <c:v>0.24643855976892545</c:v>
                  </c:pt>
                  <c:pt idx="105">
                    <c:v>0.26856666134090801</c:v>
                  </c:pt>
                  <c:pt idx="106">
                    <c:v>0.2833187290555631</c:v>
                  </c:pt>
                  <c:pt idx="107">
                    <c:v>0.29714879253805232</c:v>
                  </c:pt>
                  <c:pt idx="108">
                    <c:v>0.3412732807917081</c:v>
                  </c:pt>
                  <c:pt idx="109">
                    <c:v>0.36024022499626462</c:v>
                  </c:pt>
                  <c:pt idx="110">
                    <c:v>0.42333165745447698</c:v>
                  </c:pt>
                  <c:pt idx="111">
                    <c:v>0.44967463551636111</c:v>
                  </c:pt>
                  <c:pt idx="112">
                    <c:v>0.37617772672370442</c:v>
                  </c:pt>
                  <c:pt idx="113">
                    <c:v>0.3939592369154763</c:v>
                  </c:pt>
                  <c:pt idx="114">
                    <c:v>0.41437504491343635</c:v>
                  </c:pt>
                  <c:pt idx="115">
                    <c:v>0.43610800181449072</c:v>
                  </c:pt>
                  <c:pt idx="116">
                    <c:v>0.45072835463883643</c:v>
                  </c:pt>
                  <c:pt idx="117">
                    <c:v>0.47311988599143789</c:v>
                  </c:pt>
                  <c:pt idx="118">
                    <c:v>0.4963017066858959</c:v>
                  </c:pt>
                  <c:pt idx="119">
                    <c:v>0.51908838270942559</c:v>
                  </c:pt>
                  <c:pt idx="120">
                    <c:v>0.51052691483931323</c:v>
                  </c:pt>
                  <c:pt idx="121">
                    <c:v>0.53910904603645737</c:v>
                  </c:pt>
                  <c:pt idx="122">
                    <c:v>0.56584716876926988</c:v>
                  </c:pt>
                  <c:pt idx="123">
                    <c:v>0.59271700639239144</c:v>
                  </c:pt>
                  <c:pt idx="124">
                    <c:v>0.64830069010296687</c:v>
                  </c:pt>
                  <c:pt idx="125">
                    <c:v>0.68149284246094077</c:v>
                  </c:pt>
                  <c:pt idx="126">
                    <c:v>0.70954811409684737</c:v>
                  </c:pt>
                  <c:pt idx="127">
                    <c:v>0.74682342805441326</c:v>
                  </c:pt>
                  <c:pt idx="128">
                    <c:v>0</c:v>
                  </c:pt>
                  <c:pt idx="129">
                    <c:v>2.2128101571982639E-2</c:v>
                  </c:pt>
                  <c:pt idx="130">
                    <c:v>7.6921495940701468E-2</c:v>
                  </c:pt>
                  <c:pt idx="131">
                    <c:v>0.13131974563849208</c:v>
                  </c:pt>
                  <c:pt idx="132">
                    <c:v>0.20547522888269573</c:v>
                  </c:pt>
                  <c:pt idx="133">
                    <c:v>0.22826190490622542</c:v>
                  </c:pt>
                  <c:pt idx="134">
                    <c:v>0.26119062748358046</c:v>
                  </c:pt>
                  <c:pt idx="135">
                    <c:v>0.27409868673390375</c:v>
                  </c:pt>
                  <c:pt idx="136">
                    <c:v>0.30702740931125883</c:v>
                  </c:pt>
                  <c:pt idx="137">
                    <c:v>0.34048299144985156</c:v>
                  </c:pt>
                  <c:pt idx="138">
                    <c:v>0.4470403377101726</c:v>
                  </c:pt>
                  <c:pt idx="139">
                    <c:v>0.47193445197865302</c:v>
                  </c:pt>
                  <c:pt idx="140">
                    <c:v>0.37196285023380299</c:v>
                  </c:pt>
                  <c:pt idx="141">
                    <c:v>0.39883268785692477</c:v>
                  </c:pt>
                  <c:pt idx="142">
                    <c:v>0.43755686560789442</c:v>
                  </c:pt>
                  <c:pt idx="143">
                    <c:v>0.47430532000422265</c:v>
                  </c:pt>
                  <c:pt idx="144">
                    <c:v>0.47680790292010167</c:v>
                  </c:pt>
                  <c:pt idx="145">
                    <c:v>0.50723404258157767</c:v>
                  </c:pt>
                  <c:pt idx="146">
                    <c:v>0.54108476939109873</c:v>
                  </c:pt>
                  <c:pt idx="147">
                    <c:v>0.57282805795566905</c:v>
                  </c:pt>
                  <c:pt idx="148">
                    <c:v>0.5974587424435307</c:v>
                  </c:pt>
                  <c:pt idx="149">
                    <c:v>0.63091432458212349</c:v>
                  </c:pt>
                  <c:pt idx="150">
                    <c:v>0.66423819183040678</c:v>
                  </c:pt>
                  <c:pt idx="151">
                    <c:v>0.70441123337477984</c:v>
                  </c:pt>
                  <c:pt idx="152">
                    <c:v>5.7954551736145166E-3</c:v>
                  </c:pt>
                  <c:pt idx="153">
                    <c:v>4.5178207376131235E-2</c:v>
                  </c:pt>
                  <c:pt idx="154">
                    <c:v>0.12130941397497613</c:v>
                  </c:pt>
                  <c:pt idx="155">
                    <c:v>0.19849433969629646</c:v>
                  </c:pt>
                  <c:pt idx="156">
                    <c:v>0.24222368327902402</c:v>
                  </c:pt>
                  <c:pt idx="157">
                    <c:v>0.26395664018007836</c:v>
                  </c:pt>
                  <c:pt idx="158">
                    <c:v>0.3047882561759987</c:v>
                  </c:pt>
                  <c:pt idx="159">
                    <c:v>0.32586263862550591</c:v>
                  </c:pt>
                  <c:pt idx="160">
                    <c:v>0.34733216574594145</c:v>
                  </c:pt>
                  <c:pt idx="161">
                    <c:v>0.38012917343298713</c:v>
                  </c:pt>
                  <c:pt idx="162">
                    <c:v>0.45006978018728938</c:v>
                  </c:pt>
                  <c:pt idx="163">
                    <c:v>0.47509560934607925</c:v>
                  </c:pt>
                  <c:pt idx="164">
                    <c:v>0.44822577172295741</c:v>
                  </c:pt>
                  <c:pt idx="165">
                    <c:v>0.48747680903516472</c:v>
                  </c:pt>
                  <c:pt idx="166">
                    <c:v>0.53686989290119724</c:v>
                  </c:pt>
                  <c:pt idx="167">
                    <c:v>0.58494582786413574</c:v>
                  </c:pt>
                  <c:pt idx="168">
                    <c:v>0.59772217222414958</c:v>
                  </c:pt>
                  <c:pt idx="169">
                    <c:v>0.64211009025842414</c:v>
                  </c:pt>
                  <c:pt idx="170">
                    <c:v>0.68965916566012497</c:v>
                  </c:pt>
                  <c:pt idx="171">
                    <c:v>8.4297529798029736E-3</c:v>
                  </c:pt>
                  <c:pt idx="172">
                    <c:v>7.3892053463584878E-2</c:v>
                  </c:pt>
                  <c:pt idx="173">
                    <c:v>0.16925363404760513</c:v>
                  </c:pt>
                  <c:pt idx="174">
                    <c:v>0.22918390913839137</c:v>
                  </c:pt>
                  <c:pt idx="175">
                    <c:v>0.27607441008854505</c:v>
                  </c:pt>
                  <c:pt idx="176">
                    <c:v>0.29556821385433918</c:v>
                  </c:pt>
                  <c:pt idx="177">
                    <c:v>0.42833682328623507</c:v>
                  </c:pt>
                  <c:pt idx="178">
                    <c:v>0.44954292062605161</c:v>
                  </c:pt>
                  <c:pt idx="179">
                    <c:v>0.39474952625733267</c:v>
                  </c:pt>
                  <c:pt idx="180">
                    <c:v>0.43413227845984947</c:v>
                  </c:pt>
                  <c:pt idx="181">
                    <c:v>0.47931048583598063</c:v>
                  </c:pt>
                  <c:pt idx="182">
                    <c:v>0.52290811452839892</c:v>
                  </c:pt>
                  <c:pt idx="183">
                    <c:v>0.53660646312057858</c:v>
                  </c:pt>
                  <c:pt idx="184">
                    <c:v>0.58652640654784882</c:v>
                  </c:pt>
                  <c:pt idx="185">
                    <c:v>0.65119841768977416</c:v>
                  </c:pt>
                  <c:pt idx="186">
                    <c:v>0.71547528416077122</c:v>
                  </c:pt>
                  <c:pt idx="187">
                    <c:v>1.6332646398368122E-2</c:v>
                  </c:pt>
                  <c:pt idx="188">
                    <c:v>9.9708171964231207E-2</c:v>
                  </c:pt>
                  <c:pt idx="189">
                    <c:v>0.22193959017137332</c:v>
                  </c:pt>
                  <c:pt idx="190">
                    <c:v>0.24828256823325731</c:v>
                  </c:pt>
                  <c:pt idx="191">
                    <c:v>0.3192768941100349</c:v>
                  </c:pt>
                  <c:pt idx="192">
                    <c:v>0.38144632233608133</c:v>
                  </c:pt>
                  <c:pt idx="193">
                    <c:v>0.4316296955439704</c:v>
                  </c:pt>
                  <c:pt idx="194">
                    <c:v>0.4532309375547155</c:v>
                  </c:pt>
                  <c:pt idx="195">
                    <c:v>0.4483574866132668</c:v>
                  </c:pt>
                  <c:pt idx="196">
                    <c:v>0.50012143850486912</c:v>
                  </c:pt>
                  <c:pt idx="197">
                    <c:v>0.55386111375111247</c:v>
                  </c:pt>
                  <c:pt idx="198">
                    <c:v>0.60957651235199728</c:v>
                  </c:pt>
                  <c:pt idx="199">
                    <c:v>0.63183632881428942</c:v>
                  </c:pt>
                  <c:pt idx="200">
                    <c:v>2.4630684487861598E-2</c:v>
                  </c:pt>
                  <c:pt idx="201">
                    <c:v>0.13131974563849208</c:v>
                  </c:pt>
                  <c:pt idx="202">
                    <c:v>0.24209196838871455</c:v>
                  </c:pt>
                  <c:pt idx="203">
                    <c:v>0.27199124848895306</c:v>
                  </c:pt>
                  <c:pt idx="204">
                    <c:v>0.39791068362475884</c:v>
                  </c:pt>
                  <c:pt idx="205">
                    <c:v>0.46205583520544652</c:v>
                  </c:pt>
                  <c:pt idx="206">
                    <c:v>0.43465913802108713</c:v>
                  </c:pt>
                  <c:pt idx="207">
                    <c:v>0.4750956093460792</c:v>
                  </c:pt>
                  <c:pt idx="208">
                    <c:v>0.50855119148467198</c:v>
                  </c:pt>
                  <c:pt idx="209">
                    <c:v>0.5708523346010278</c:v>
                  </c:pt>
                  <c:pt idx="210">
                    <c:v>0.63723663931697561</c:v>
                  </c:pt>
                  <c:pt idx="211">
                    <c:v>0.70823096519375328</c:v>
                  </c:pt>
                  <c:pt idx="212">
                    <c:v>3.5036160822305762E-2</c:v>
                  </c:pt>
                  <c:pt idx="213">
                    <c:v>0.16069216617749282</c:v>
                  </c:pt>
                  <c:pt idx="214">
                    <c:v>0.25420973829718124</c:v>
                  </c:pt>
                  <c:pt idx="215">
                    <c:v>0.28753360554546459</c:v>
                  </c:pt>
                  <c:pt idx="216">
                    <c:v>0.39896440274723421</c:v>
                  </c:pt>
                  <c:pt idx="217">
                    <c:v>0.46416327345039726</c:v>
                  </c:pt>
                  <c:pt idx="218">
                    <c:v>0.47035387329494005</c:v>
                  </c:pt>
                  <c:pt idx="219">
                    <c:v>0.52936214415356031</c:v>
                  </c:pt>
                  <c:pt idx="220">
                    <c:v>0.5733549175169067</c:v>
                  </c:pt>
                  <c:pt idx="221">
                    <c:v>0.64724697098049155</c:v>
                  </c:pt>
                  <c:pt idx="222">
                    <c:v>4.3992773363346394E-2</c:v>
                  </c:pt>
                  <c:pt idx="223">
                    <c:v>0.19533318232887037</c:v>
                  </c:pt>
                  <c:pt idx="224">
                    <c:v>0.26619579331533844</c:v>
                  </c:pt>
                  <c:pt idx="225">
                    <c:v>0.30729083909187771</c:v>
                  </c:pt>
                  <c:pt idx="226">
                    <c:v>0.4005449814309473</c:v>
                  </c:pt>
                  <c:pt idx="227">
                    <c:v>0.46587556702441973</c:v>
                  </c:pt>
                  <c:pt idx="228">
                    <c:v>0.51803466358695027</c:v>
                  </c:pt>
                  <c:pt idx="229">
                    <c:v>0.58652640654784882</c:v>
                  </c:pt>
                  <c:pt idx="230">
                    <c:v>0.64224180514873364</c:v>
                  </c:pt>
                  <c:pt idx="231">
                    <c:v>6.8491742960898883E-3</c:v>
                  </c:pt>
                  <c:pt idx="232">
                    <c:v>0.21127068405631017</c:v>
                  </c:pt>
                  <c:pt idx="233">
                    <c:v>0.2787087078947334</c:v>
                  </c:pt>
                  <c:pt idx="234">
                    <c:v>0.32256976636777041</c:v>
                  </c:pt>
                  <c:pt idx="235">
                    <c:v>0.41858992140333778</c:v>
                  </c:pt>
                  <c:pt idx="236">
                    <c:v>0.48181306875185964</c:v>
                  </c:pt>
                  <c:pt idx="237">
                    <c:v>0.56597888365957927</c:v>
                  </c:pt>
                  <c:pt idx="238">
                    <c:v>0.64816897521265737</c:v>
                  </c:pt>
                  <c:pt idx="239">
                    <c:v>1.7649795301462379E-2</c:v>
                  </c:pt>
                  <c:pt idx="240">
                    <c:v>0.22035901148766024</c:v>
                  </c:pt>
                  <c:pt idx="241">
                    <c:v>0.29016790335165299</c:v>
                  </c:pt>
                  <c:pt idx="242">
                    <c:v>0.34548815728160953</c:v>
                  </c:pt>
                  <c:pt idx="243">
                    <c:v>0.45112349930976481</c:v>
                  </c:pt>
                  <c:pt idx="244">
                    <c:v>0.52224954007685165</c:v>
                  </c:pt>
                  <c:pt idx="245">
                    <c:v>0.61892826956396618</c:v>
                  </c:pt>
                  <c:pt idx="246">
                    <c:v>0.71679243306386542</c:v>
                  </c:pt>
                  <c:pt idx="247">
                    <c:v>3.0689569442094999E-2</c:v>
                  </c:pt>
                  <c:pt idx="248">
                    <c:v>0.22668132622251239</c:v>
                  </c:pt>
                  <c:pt idx="249">
                    <c:v>0.30544683062754574</c:v>
                  </c:pt>
                  <c:pt idx="250">
                    <c:v>0.36471853126678488</c:v>
                  </c:pt>
                  <c:pt idx="251">
                    <c:v>0.48418393677742921</c:v>
                  </c:pt>
                  <c:pt idx="252">
                    <c:v>0.56663745811112631</c:v>
                  </c:pt>
                  <c:pt idx="253">
                    <c:v>0.67161422568773432</c:v>
                  </c:pt>
                  <c:pt idx="254">
                    <c:v>4.6231926498606524E-2</c:v>
                  </c:pt>
                  <c:pt idx="255">
                    <c:v>0.23287192606705515</c:v>
                  </c:pt>
                  <c:pt idx="256">
                    <c:v>0.31585230696198996</c:v>
                  </c:pt>
                  <c:pt idx="257">
                    <c:v>0.38526605415505444</c:v>
                  </c:pt>
                  <c:pt idx="258">
                    <c:v>0.51790294869664089</c:v>
                  </c:pt>
                  <c:pt idx="259">
                    <c:v>0.60904965279075962</c:v>
                  </c:pt>
                  <c:pt idx="260">
                    <c:v>6.2564572896974646E-2</c:v>
                  </c:pt>
                  <c:pt idx="261">
                    <c:v>0.24051138970500158</c:v>
                  </c:pt>
                  <c:pt idx="262">
                    <c:v>0.33007751511540739</c:v>
                  </c:pt>
                  <c:pt idx="263">
                    <c:v>0.40923816419136899</c:v>
                  </c:pt>
                  <c:pt idx="264">
                    <c:v>0.55122681594492418</c:v>
                  </c:pt>
                  <c:pt idx="265">
                    <c:v>0.65554500906998503</c:v>
                  </c:pt>
                  <c:pt idx="266">
                    <c:v>7.5604347037607322E-2</c:v>
                  </c:pt>
                  <c:pt idx="267">
                    <c:v>0.24828256823325731</c:v>
                  </c:pt>
                  <c:pt idx="268">
                    <c:v>0.34825416997810738</c:v>
                  </c:pt>
                  <c:pt idx="269">
                    <c:v>0.43531771247263429</c:v>
                  </c:pt>
                  <c:pt idx="270">
                    <c:v>0.58823870012187118</c:v>
                  </c:pt>
                  <c:pt idx="271">
                    <c:v>0.70783582052282501</c:v>
                  </c:pt>
                  <c:pt idx="272">
                    <c:v>8.9434410520096375E-2</c:v>
                  </c:pt>
                  <c:pt idx="273">
                    <c:v>0.25789775522584502</c:v>
                  </c:pt>
                  <c:pt idx="274">
                    <c:v>0.36405995681523784</c:v>
                  </c:pt>
                  <c:pt idx="275">
                    <c:v>0.46060697141204288</c:v>
                  </c:pt>
                  <c:pt idx="276">
                    <c:v>0.62551401407943719</c:v>
                  </c:pt>
                  <c:pt idx="277">
                    <c:v>0.10550362713784572</c:v>
                  </c:pt>
                  <c:pt idx="278">
                    <c:v>0.2634297806188407</c:v>
                  </c:pt>
                  <c:pt idx="279">
                    <c:v>0.37828516496865516</c:v>
                  </c:pt>
                  <c:pt idx="280">
                    <c:v>0.48760852392547405</c:v>
                  </c:pt>
                  <c:pt idx="281">
                    <c:v>0.66502848117226332</c:v>
                  </c:pt>
                  <c:pt idx="282">
                    <c:v>0.12249484798776095</c:v>
                  </c:pt>
                  <c:pt idx="283">
                    <c:v>0.27264982294050011</c:v>
                  </c:pt>
                  <c:pt idx="284">
                    <c:v>0.39461781136702345</c:v>
                  </c:pt>
                  <c:pt idx="285">
                    <c:v>0.51698094446447485</c:v>
                  </c:pt>
                  <c:pt idx="286">
                    <c:v>0.70823096519375328</c:v>
                  </c:pt>
                  <c:pt idx="287">
                    <c:v>0.13790549015396308</c:v>
                  </c:pt>
                  <c:pt idx="288">
                    <c:v>0.28358215883618199</c:v>
                  </c:pt>
                  <c:pt idx="289">
                    <c:v>0.41266275133941388</c:v>
                  </c:pt>
                  <c:pt idx="290">
                    <c:v>0.54464107142945317</c:v>
                  </c:pt>
                  <c:pt idx="291">
                    <c:v>0.14910125583026379</c:v>
                  </c:pt>
                  <c:pt idx="292">
                    <c:v>0.28964104379041533</c:v>
                  </c:pt>
                  <c:pt idx="293">
                    <c:v>0.4311028359827328</c:v>
                  </c:pt>
                  <c:pt idx="294">
                    <c:v>0.5746720664200009</c:v>
                  </c:pt>
                  <c:pt idx="295">
                    <c:v>0.1676730553638921</c:v>
                  </c:pt>
                  <c:pt idx="296">
                    <c:v>0.29899280100238423</c:v>
                  </c:pt>
                  <c:pt idx="297">
                    <c:v>0.45099178441945531</c:v>
                  </c:pt>
                  <c:pt idx="298">
                    <c:v>0.60509820608147702</c:v>
                  </c:pt>
                  <c:pt idx="299">
                    <c:v>0.19217202496144423</c:v>
                  </c:pt>
                  <c:pt idx="300">
                    <c:v>0.31176914536239791</c:v>
                  </c:pt>
                  <c:pt idx="301">
                    <c:v>0.47140759241741548</c:v>
                  </c:pt>
                  <c:pt idx="302">
                    <c:v>0.63539263085264386</c:v>
                  </c:pt>
                  <c:pt idx="303">
                    <c:v>0.1982309099156776</c:v>
                  </c:pt>
                  <c:pt idx="304">
                    <c:v>0.32164776213560448</c:v>
                  </c:pt>
                  <c:pt idx="305">
                    <c:v>0.49129654085413788</c:v>
                  </c:pt>
                  <c:pt idx="306">
                    <c:v>0.67293137459082852</c:v>
                  </c:pt>
                  <c:pt idx="307">
                    <c:v>0.20376293530867326</c:v>
                  </c:pt>
                  <c:pt idx="308">
                    <c:v>0.33205323847004864</c:v>
                  </c:pt>
                  <c:pt idx="309">
                    <c:v>0.5122392084133357</c:v>
                  </c:pt>
                  <c:pt idx="310">
                    <c:v>0.20850467135981238</c:v>
                  </c:pt>
                  <c:pt idx="311">
                    <c:v>0.34100985101108933</c:v>
                  </c:pt>
                  <c:pt idx="312">
                    <c:v>0.5363430333399597</c:v>
                  </c:pt>
                  <c:pt idx="313">
                    <c:v>0.21219268828847615</c:v>
                  </c:pt>
                  <c:pt idx="314">
                    <c:v>0.35128361245522399</c:v>
                  </c:pt>
                  <c:pt idx="315">
                    <c:v>0.55596855199606321</c:v>
                  </c:pt>
                  <c:pt idx="316">
                    <c:v>0.21614413499775875</c:v>
                  </c:pt>
                  <c:pt idx="317">
                    <c:v>0.36142565900904933</c:v>
                  </c:pt>
                  <c:pt idx="318">
                    <c:v>0.57888694290990239</c:v>
                  </c:pt>
                  <c:pt idx="319">
                    <c:v>0.22075415615858848</c:v>
                  </c:pt>
                  <c:pt idx="320">
                    <c:v>0.37117256089194661</c:v>
                  </c:pt>
                  <c:pt idx="321">
                    <c:v>0.60246390827528873</c:v>
                  </c:pt>
                  <c:pt idx="322">
                    <c:v>0.22404702841632404</c:v>
                  </c:pt>
                  <c:pt idx="323">
                    <c:v>0.38526605415505444</c:v>
                  </c:pt>
                  <c:pt idx="324">
                    <c:v>0.62551401407943719</c:v>
                  </c:pt>
                  <c:pt idx="325">
                    <c:v>0.22760333045467829</c:v>
                  </c:pt>
                  <c:pt idx="326">
                    <c:v>0.39540810070887994</c:v>
                  </c:pt>
                  <c:pt idx="327">
                    <c:v>0.64922269433513291</c:v>
                  </c:pt>
                  <c:pt idx="328">
                    <c:v>0.56453001986617557</c:v>
                  </c:pt>
                  <c:pt idx="329">
                    <c:v>0.41147731732662918</c:v>
                  </c:pt>
                  <c:pt idx="330">
                    <c:v>0.67833168509351482</c:v>
                  </c:pt>
                  <c:pt idx="331">
                    <c:v>0.57177433883319373</c:v>
                  </c:pt>
                  <c:pt idx="332">
                    <c:v>0.42346337234478637</c:v>
                  </c:pt>
                  <c:pt idx="333">
                    <c:v>0.58020409181299659</c:v>
                  </c:pt>
                  <c:pt idx="334">
                    <c:v>0.43689829115634726</c:v>
                  </c:pt>
                  <c:pt idx="335">
                    <c:v>0.58441896830289797</c:v>
                  </c:pt>
                  <c:pt idx="336">
                    <c:v>0.45072835463883648</c:v>
                  </c:pt>
                  <c:pt idx="337">
                    <c:v>0.59245357661177267</c:v>
                  </c:pt>
                  <c:pt idx="338">
                    <c:v>0.46363641388915966</c:v>
                  </c:pt>
                  <c:pt idx="339">
                    <c:v>0.60154190404312269</c:v>
                  </c:pt>
                  <c:pt idx="340">
                    <c:v>0.47799333693288648</c:v>
                  </c:pt>
                  <c:pt idx="341">
                    <c:v>0.60746907410704654</c:v>
                  </c:pt>
                  <c:pt idx="342">
                    <c:v>0.49314054931846985</c:v>
                  </c:pt>
                  <c:pt idx="343">
                    <c:v>0.61892826956396618</c:v>
                  </c:pt>
                  <c:pt idx="344">
                    <c:v>0.5082877617040531</c:v>
                  </c:pt>
                  <c:pt idx="345">
                    <c:v>0.62630430342129362</c:v>
                  </c:pt>
                  <c:pt idx="346">
                    <c:v>0.52066896139313867</c:v>
                  </c:pt>
                  <c:pt idx="347">
                    <c:v>0.63552434574295313</c:v>
                  </c:pt>
                  <c:pt idx="348">
                    <c:v>0.53528931421748427</c:v>
                  </c:pt>
                  <c:pt idx="349">
                    <c:v>0.64184666047780525</c:v>
                  </c:pt>
                  <c:pt idx="350">
                    <c:v>0.55056824149337702</c:v>
                  </c:pt>
                  <c:pt idx="351">
                    <c:v>0.64816897521265737</c:v>
                  </c:pt>
                  <c:pt idx="352">
                    <c:v>0.5654520240983415</c:v>
                  </c:pt>
                  <c:pt idx="353">
                    <c:v>0.65712558775369811</c:v>
                  </c:pt>
                  <c:pt idx="354">
                    <c:v>0.58125781093547191</c:v>
                  </c:pt>
                  <c:pt idx="355">
                    <c:v>0.66700420452690456</c:v>
                  </c:pt>
                  <c:pt idx="356">
                    <c:v>0.59693188288229293</c:v>
                  </c:pt>
                  <c:pt idx="357">
                    <c:v>0.68004397866753719</c:v>
                  </c:pt>
                  <c:pt idx="358">
                    <c:v>0.61155223570663875</c:v>
                  </c:pt>
                  <c:pt idx="359">
                    <c:v>0.69044945500198129</c:v>
                  </c:pt>
                  <c:pt idx="360">
                    <c:v>0.63249490326583646</c:v>
                  </c:pt>
                  <c:pt idx="361">
                    <c:v>0.69966949732364081</c:v>
                  </c:pt>
                  <c:pt idx="362">
                    <c:v>0.64882754966420453</c:v>
                  </c:pt>
                  <c:pt idx="363">
                    <c:v>0.70823096519375328</c:v>
                  </c:pt>
                  <c:pt idx="364">
                    <c:v>0.71666071817355603</c:v>
                  </c:pt>
                  <c:pt idx="365">
                    <c:v>0.72693447961769087</c:v>
                  </c:pt>
                  <c:pt idx="366">
                    <c:v>0.73220307523006767</c:v>
                  </c:pt>
                  <c:pt idx="367">
                    <c:v>0.74642828338348521</c:v>
                  </c:pt>
                  <c:pt idx="368">
                    <c:v>0.75749233416947626</c:v>
                  </c:pt>
                  <c:pt idx="369">
                    <c:v>0.76434150846556614</c:v>
                  </c:pt>
                  <c:pt idx="370">
                    <c:v>0.77790814216743653</c:v>
                  </c:pt>
                  <c:pt idx="371">
                    <c:v>0.7888404780631183</c:v>
                  </c:pt>
                  <c:pt idx="372">
                    <c:v>0.79806052038477793</c:v>
                  </c:pt>
                  <c:pt idx="373">
                    <c:v>0.81136372430602921</c:v>
                  </c:pt>
                  <c:pt idx="374">
                    <c:v>0.82176920064047343</c:v>
                  </c:pt>
                  <c:pt idx="375">
                    <c:v>0.83059409829120467</c:v>
                  </c:pt>
                  <c:pt idx="376">
                    <c:v>0.84244843841905248</c:v>
                  </c:pt>
                  <c:pt idx="377">
                    <c:v>0.85311734453411547</c:v>
                  </c:pt>
                  <c:pt idx="378">
                    <c:v>0.86602540378443871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plot!$K$33:$K$411</c:f>
              <c:numCache>
                <c:formatCode>General</c:formatCode>
                <c:ptCount val="379"/>
                <c:pt idx="0">
                  <c:v>-0.29883623873011983</c:v>
                </c:pt>
                <c:pt idx="1">
                  <c:v>-0.27884277871339841</c:v>
                </c:pt>
                <c:pt idx="2">
                  <c:v>-0.25884931869667688</c:v>
                </c:pt>
                <c:pt idx="3">
                  <c:v>-0.23885585867995549</c:v>
                </c:pt>
                <c:pt idx="4">
                  <c:v>-0.21886239866323395</c:v>
                </c:pt>
                <c:pt idx="5">
                  <c:v>-0.19886893864651253</c:v>
                </c:pt>
                <c:pt idx="6">
                  <c:v>-0.17887547862979111</c:v>
                </c:pt>
                <c:pt idx="7">
                  <c:v>-0.15888201861306964</c:v>
                </c:pt>
                <c:pt idx="8">
                  <c:v>-0.13888855859634816</c:v>
                </c:pt>
                <c:pt idx="9">
                  <c:v>-0.11889509857962674</c:v>
                </c:pt>
                <c:pt idx="10">
                  <c:v>-9.8901638562905264E-2</c:v>
                </c:pt>
                <c:pt idx="11">
                  <c:v>-7.8908178546183816E-2</c:v>
                </c:pt>
                <c:pt idx="12">
                  <c:v>-5.8914718529462361E-2</c:v>
                </c:pt>
                <c:pt idx="13">
                  <c:v>-3.8921258512740885E-2</c:v>
                </c:pt>
                <c:pt idx="14">
                  <c:v>-1.8927798496019461E-2</c:v>
                </c:pt>
                <c:pt idx="15">
                  <c:v>1.0656615207020174E-3</c:v>
                </c:pt>
                <c:pt idx="16">
                  <c:v>2.105912153742347E-2</c:v>
                </c:pt>
                <c:pt idx="17">
                  <c:v>4.105258155414495E-2</c:v>
                </c:pt>
                <c:pt idx="18">
                  <c:v>6.1046041570866384E-2</c:v>
                </c:pt>
                <c:pt idx="19">
                  <c:v>8.1039501587587812E-2</c:v>
                </c:pt>
                <c:pt idx="20">
                  <c:v>0.1010329616043093</c:v>
                </c:pt>
                <c:pt idx="21">
                  <c:v>0.12102642162103072</c:v>
                </c:pt>
                <c:pt idx="22">
                  <c:v>0.14101988163775223</c:v>
                </c:pt>
                <c:pt idx="23">
                  <c:v>0.16101334165447365</c:v>
                </c:pt>
                <c:pt idx="24">
                  <c:v>0.18100680167119507</c:v>
                </c:pt>
                <c:pt idx="25">
                  <c:v>0.20100026168791654</c:v>
                </c:pt>
                <c:pt idx="26">
                  <c:v>0.22099372170463805</c:v>
                </c:pt>
                <c:pt idx="27">
                  <c:v>0.24098718172135952</c:v>
                </c:pt>
                <c:pt idx="28">
                  <c:v>0.26098064173808094</c:v>
                </c:pt>
                <c:pt idx="29">
                  <c:v>0.28097410175480242</c:v>
                </c:pt>
                <c:pt idx="30">
                  <c:v>0.30096756177152389</c:v>
                </c:pt>
                <c:pt idx="31">
                  <c:v>0.32096102178824526</c:v>
                </c:pt>
                <c:pt idx="32">
                  <c:v>0.34095448180496679</c:v>
                </c:pt>
                <c:pt idx="33">
                  <c:v>0.36094794182168821</c:v>
                </c:pt>
                <c:pt idx="34">
                  <c:v>0.38094140183840974</c:v>
                </c:pt>
                <c:pt idx="35">
                  <c:v>0.40093486185513111</c:v>
                </c:pt>
                <c:pt idx="36">
                  <c:v>0.42092832187185258</c:v>
                </c:pt>
                <c:pt idx="37">
                  <c:v>0.440921781888574</c:v>
                </c:pt>
                <c:pt idx="38">
                  <c:v>0.46091524190529543</c:v>
                </c:pt>
                <c:pt idx="39">
                  <c:v>0.48090870192201696</c:v>
                </c:pt>
                <c:pt idx="40">
                  <c:v>0.50090216193873838</c:v>
                </c:pt>
                <c:pt idx="41">
                  <c:v>0.52089562195545991</c:v>
                </c:pt>
                <c:pt idx="42">
                  <c:v>0.54088908197218122</c:v>
                </c:pt>
                <c:pt idx="43">
                  <c:v>0.56088254198890275</c:v>
                </c:pt>
                <c:pt idx="44">
                  <c:v>0.58087600200562428</c:v>
                </c:pt>
                <c:pt idx="45">
                  <c:v>0.6008694620223457</c:v>
                </c:pt>
                <c:pt idx="46">
                  <c:v>0.62086292203906712</c:v>
                </c:pt>
                <c:pt idx="47">
                  <c:v>0.64085638205578854</c:v>
                </c:pt>
                <c:pt idx="48">
                  <c:v>-0.3273379173405922</c:v>
                </c:pt>
                <c:pt idx="49">
                  <c:v>-0.30734445732387078</c:v>
                </c:pt>
                <c:pt idx="50">
                  <c:v>-0.2873509973071493</c:v>
                </c:pt>
                <c:pt idx="51">
                  <c:v>-0.26735753729042788</c:v>
                </c:pt>
                <c:pt idx="52">
                  <c:v>-0.24736407727370635</c:v>
                </c:pt>
                <c:pt idx="53">
                  <c:v>-0.22737061725698493</c:v>
                </c:pt>
                <c:pt idx="54">
                  <c:v>-0.20737715724026351</c:v>
                </c:pt>
                <c:pt idx="55">
                  <c:v>-0.18738369722354203</c:v>
                </c:pt>
                <c:pt idx="56">
                  <c:v>-0.16739023720682053</c:v>
                </c:pt>
                <c:pt idx="57">
                  <c:v>-0.14739677719009911</c:v>
                </c:pt>
                <c:pt idx="58">
                  <c:v>-0.12740331717337763</c:v>
                </c:pt>
                <c:pt idx="59">
                  <c:v>-0.10740985715665619</c:v>
                </c:pt>
                <c:pt idx="60">
                  <c:v>-8.7416397139934737E-2</c:v>
                </c:pt>
                <c:pt idx="61">
                  <c:v>-6.7422937123213261E-2</c:v>
                </c:pt>
                <c:pt idx="62">
                  <c:v>-4.7429477106491841E-2</c:v>
                </c:pt>
                <c:pt idx="63">
                  <c:v>-2.7436017089770358E-2</c:v>
                </c:pt>
                <c:pt idx="64">
                  <c:v>-7.4425570730489079E-3</c:v>
                </c:pt>
                <c:pt idx="65">
                  <c:v>1.255090294367257E-2</c:v>
                </c:pt>
                <c:pt idx="66">
                  <c:v>3.2544362960394008E-2</c:v>
                </c:pt>
                <c:pt idx="67">
                  <c:v>5.2537822977115428E-2</c:v>
                </c:pt>
                <c:pt idx="68">
                  <c:v>7.2531282993836918E-2</c:v>
                </c:pt>
                <c:pt idx="69">
                  <c:v>9.2524743010558338E-2</c:v>
                </c:pt>
                <c:pt idx="70">
                  <c:v>0.11251820302727984</c:v>
                </c:pt>
                <c:pt idx="71">
                  <c:v>0.13251166304400128</c:v>
                </c:pt>
                <c:pt idx="72">
                  <c:v>0.1525051230607227</c:v>
                </c:pt>
                <c:pt idx="73">
                  <c:v>0.1724985830774442</c:v>
                </c:pt>
                <c:pt idx="74">
                  <c:v>0.19249204309416568</c:v>
                </c:pt>
                <c:pt idx="75">
                  <c:v>0.21248550311088715</c:v>
                </c:pt>
                <c:pt idx="76">
                  <c:v>0.23247896312760852</c:v>
                </c:pt>
                <c:pt idx="77">
                  <c:v>0.25247242314432999</c:v>
                </c:pt>
                <c:pt idx="78">
                  <c:v>0.27246588316105147</c:v>
                </c:pt>
                <c:pt idx="79">
                  <c:v>0.29245934317777289</c:v>
                </c:pt>
                <c:pt idx="80">
                  <c:v>0.31245280319449437</c:v>
                </c:pt>
                <c:pt idx="81">
                  <c:v>0.33244626321121584</c:v>
                </c:pt>
                <c:pt idx="82">
                  <c:v>0.35243972322793732</c:v>
                </c:pt>
                <c:pt idx="83">
                  <c:v>0.37243318324465868</c:v>
                </c:pt>
                <c:pt idx="84">
                  <c:v>0.39242664326138021</c:v>
                </c:pt>
                <c:pt idx="85">
                  <c:v>0.41242010327810164</c:v>
                </c:pt>
                <c:pt idx="86">
                  <c:v>0.43241356329482311</c:v>
                </c:pt>
                <c:pt idx="87">
                  <c:v>0.45240702331154459</c:v>
                </c:pt>
                <c:pt idx="88">
                  <c:v>0.47240048332826606</c:v>
                </c:pt>
                <c:pt idx="89">
                  <c:v>0.49239394334498754</c:v>
                </c:pt>
                <c:pt idx="90">
                  <c:v>0.51238740336170885</c:v>
                </c:pt>
                <c:pt idx="91">
                  <c:v>0.53238086337843038</c:v>
                </c:pt>
                <c:pt idx="92">
                  <c:v>0.55237432339515191</c:v>
                </c:pt>
                <c:pt idx="93">
                  <c:v>0.57236778341187333</c:v>
                </c:pt>
                <c:pt idx="94">
                  <c:v>0.59236124342859475</c:v>
                </c:pt>
                <c:pt idx="95">
                  <c:v>0.61235470344531617</c:v>
                </c:pt>
                <c:pt idx="96">
                  <c:v>-0.35583959595106457</c:v>
                </c:pt>
                <c:pt idx="97">
                  <c:v>-0.33584613593434315</c:v>
                </c:pt>
                <c:pt idx="98">
                  <c:v>-0.31585267591762173</c:v>
                </c:pt>
                <c:pt idx="99">
                  <c:v>-0.29585921590090031</c:v>
                </c:pt>
                <c:pt idx="100">
                  <c:v>-0.27586575588417878</c:v>
                </c:pt>
                <c:pt idx="101">
                  <c:v>-0.25587229586745736</c:v>
                </c:pt>
                <c:pt idx="102">
                  <c:v>-0.23587883585073588</c:v>
                </c:pt>
                <c:pt idx="103">
                  <c:v>-0.2158853758340144</c:v>
                </c:pt>
                <c:pt idx="104">
                  <c:v>-0.19589191581729293</c:v>
                </c:pt>
                <c:pt idx="105">
                  <c:v>-0.17589845580057151</c:v>
                </c:pt>
                <c:pt idx="106">
                  <c:v>-0.15590499578385003</c:v>
                </c:pt>
                <c:pt idx="107">
                  <c:v>-0.13591153576712858</c:v>
                </c:pt>
                <c:pt idx="108">
                  <c:v>-0.11591807575040712</c:v>
                </c:pt>
                <c:pt idx="109">
                  <c:v>-9.5924615733685645E-2</c:v>
                </c:pt>
                <c:pt idx="110">
                  <c:v>-7.593115571696421E-2</c:v>
                </c:pt>
                <c:pt idx="111">
                  <c:v>-5.5937695700242734E-2</c:v>
                </c:pt>
                <c:pt idx="112">
                  <c:v>-3.5944235683521293E-2</c:v>
                </c:pt>
                <c:pt idx="113">
                  <c:v>-1.5950775666799817E-2</c:v>
                </c:pt>
                <c:pt idx="114">
                  <c:v>4.0426843499216216E-3</c:v>
                </c:pt>
                <c:pt idx="115">
                  <c:v>2.4036144366643045E-2</c:v>
                </c:pt>
                <c:pt idx="116">
                  <c:v>4.4029604383364535E-2</c:v>
                </c:pt>
                <c:pt idx="117">
                  <c:v>6.4023064400085955E-2</c:v>
                </c:pt>
                <c:pt idx="118">
                  <c:v>8.4016524416807459E-2</c:v>
                </c:pt>
                <c:pt idx="119">
                  <c:v>0.10400998443352889</c:v>
                </c:pt>
                <c:pt idx="120">
                  <c:v>0.12400344445025031</c:v>
                </c:pt>
                <c:pt idx="121">
                  <c:v>0.1439969044669718</c:v>
                </c:pt>
                <c:pt idx="122">
                  <c:v>0.16399036448369331</c:v>
                </c:pt>
                <c:pt idx="123">
                  <c:v>0.18398382450041478</c:v>
                </c:pt>
                <c:pt idx="124">
                  <c:v>0.20397728451713618</c:v>
                </c:pt>
                <c:pt idx="125">
                  <c:v>0.22397074453385765</c:v>
                </c:pt>
                <c:pt idx="126">
                  <c:v>0.24396420455057913</c:v>
                </c:pt>
                <c:pt idx="127">
                  <c:v>0.26395766456730052</c:v>
                </c:pt>
                <c:pt idx="128">
                  <c:v>-0.38434127456153699</c:v>
                </c:pt>
                <c:pt idx="129">
                  <c:v>-0.36434781454481557</c:v>
                </c:pt>
                <c:pt idx="130">
                  <c:v>-0.3443543545280941</c:v>
                </c:pt>
                <c:pt idx="131">
                  <c:v>-0.32436089451137268</c:v>
                </c:pt>
                <c:pt idx="132">
                  <c:v>-0.30436743449465115</c:v>
                </c:pt>
                <c:pt idx="133">
                  <c:v>-0.28437397447792973</c:v>
                </c:pt>
                <c:pt idx="134">
                  <c:v>-0.26438051446120825</c:v>
                </c:pt>
                <c:pt idx="135">
                  <c:v>-0.2443870544444868</c:v>
                </c:pt>
                <c:pt idx="136">
                  <c:v>-0.22439359442776532</c:v>
                </c:pt>
                <c:pt idx="137">
                  <c:v>-0.20440013441104388</c:v>
                </c:pt>
                <c:pt idx="138">
                  <c:v>-0.1844066743943224</c:v>
                </c:pt>
                <c:pt idx="139">
                  <c:v>-0.16441321437760098</c:v>
                </c:pt>
                <c:pt idx="140">
                  <c:v>-0.1444197543608795</c:v>
                </c:pt>
                <c:pt idx="141">
                  <c:v>-0.12442629434415804</c:v>
                </c:pt>
                <c:pt idx="142">
                  <c:v>-0.10443283432743662</c:v>
                </c:pt>
                <c:pt idx="143">
                  <c:v>-8.4439374310715146E-2</c:v>
                </c:pt>
                <c:pt idx="144">
                  <c:v>-6.4445914293993697E-2</c:v>
                </c:pt>
                <c:pt idx="145">
                  <c:v>-4.4452454277272208E-2</c:v>
                </c:pt>
                <c:pt idx="146">
                  <c:v>-2.4458994260550773E-2</c:v>
                </c:pt>
                <c:pt idx="147">
                  <c:v>-4.4655342438293466E-3</c:v>
                </c:pt>
                <c:pt idx="148">
                  <c:v>1.5527925772892146E-2</c:v>
                </c:pt>
                <c:pt idx="149">
                  <c:v>3.5521385789613578E-2</c:v>
                </c:pt>
                <c:pt idx="150">
                  <c:v>5.5514845806335068E-2</c:v>
                </c:pt>
                <c:pt idx="151">
                  <c:v>7.550830582305651E-2</c:v>
                </c:pt>
                <c:pt idx="152">
                  <c:v>-0.41284295317200942</c:v>
                </c:pt>
                <c:pt idx="153">
                  <c:v>-0.392849493155288</c:v>
                </c:pt>
                <c:pt idx="154">
                  <c:v>-0.37285603313856652</c:v>
                </c:pt>
                <c:pt idx="155">
                  <c:v>-0.3528625731218451</c:v>
                </c:pt>
                <c:pt idx="156">
                  <c:v>-0.33286911310512352</c:v>
                </c:pt>
                <c:pt idx="157">
                  <c:v>-0.31287565308840209</c:v>
                </c:pt>
                <c:pt idx="158">
                  <c:v>-0.29288219307168067</c:v>
                </c:pt>
                <c:pt idx="159">
                  <c:v>-0.2728887330549592</c:v>
                </c:pt>
                <c:pt idx="160">
                  <c:v>-0.25289527303823772</c:v>
                </c:pt>
                <c:pt idx="161">
                  <c:v>-0.2329018130215163</c:v>
                </c:pt>
                <c:pt idx="162">
                  <c:v>-0.21290835300479483</c:v>
                </c:pt>
                <c:pt idx="163">
                  <c:v>-0.19291489298807335</c:v>
                </c:pt>
                <c:pt idx="164">
                  <c:v>-0.17292143297135193</c:v>
                </c:pt>
                <c:pt idx="165">
                  <c:v>-0.15292797295463045</c:v>
                </c:pt>
                <c:pt idx="166">
                  <c:v>-0.13293451293790901</c:v>
                </c:pt>
                <c:pt idx="167">
                  <c:v>-0.11294105292118752</c:v>
                </c:pt>
                <c:pt idx="168">
                  <c:v>-9.2947592904466067E-2</c:v>
                </c:pt>
                <c:pt idx="169">
                  <c:v>-7.2954132887744591E-2</c:v>
                </c:pt>
                <c:pt idx="170">
                  <c:v>-5.296067287102315E-2</c:v>
                </c:pt>
                <c:pt idx="171">
                  <c:v>-0.44134463178248179</c:v>
                </c:pt>
                <c:pt idx="172">
                  <c:v>-0.42135117176576037</c:v>
                </c:pt>
                <c:pt idx="173">
                  <c:v>-0.40135771174903895</c:v>
                </c:pt>
                <c:pt idx="174">
                  <c:v>-0.38136425173231753</c:v>
                </c:pt>
                <c:pt idx="175">
                  <c:v>-0.36137079171559594</c:v>
                </c:pt>
                <c:pt idx="176">
                  <c:v>-0.34137733169887452</c:v>
                </c:pt>
                <c:pt idx="177">
                  <c:v>-0.3213838716821531</c:v>
                </c:pt>
                <c:pt idx="178">
                  <c:v>-0.30139041166543157</c:v>
                </c:pt>
                <c:pt idx="179">
                  <c:v>-0.28139695164871015</c:v>
                </c:pt>
                <c:pt idx="180">
                  <c:v>-0.26140349163198873</c:v>
                </c:pt>
                <c:pt idx="181">
                  <c:v>-0.24141003161526722</c:v>
                </c:pt>
                <c:pt idx="182">
                  <c:v>-0.22141657159854577</c:v>
                </c:pt>
                <c:pt idx="183">
                  <c:v>-0.2014231115818243</c:v>
                </c:pt>
                <c:pt idx="184">
                  <c:v>-0.18142965156510282</c:v>
                </c:pt>
                <c:pt idx="185">
                  <c:v>-0.1614361915483814</c:v>
                </c:pt>
                <c:pt idx="186">
                  <c:v>-0.14144273153165993</c:v>
                </c:pt>
                <c:pt idx="187">
                  <c:v>-0.46984631039295421</c:v>
                </c:pt>
                <c:pt idx="188">
                  <c:v>-0.44985285037623279</c:v>
                </c:pt>
                <c:pt idx="189">
                  <c:v>-0.42985939035951132</c:v>
                </c:pt>
                <c:pt idx="190">
                  <c:v>-0.40986593034278984</c:v>
                </c:pt>
                <c:pt idx="191">
                  <c:v>-0.38987247032606831</c:v>
                </c:pt>
                <c:pt idx="192">
                  <c:v>-0.36987901030934689</c:v>
                </c:pt>
                <c:pt idx="193">
                  <c:v>-0.34988555029262547</c:v>
                </c:pt>
                <c:pt idx="194">
                  <c:v>-0.32989209027590399</c:v>
                </c:pt>
                <c:pt idx="195">
                  <c:v>-0.30989863025918252</c:v>
                </c:pt>
                <c:pt idx="196">
                  <c:v>-0.2899051702424611</c:v>
                </c:pt>
                <c:pt idx="197">
                  <c:v>-0.26991171022573962</c:v>
                </c:pt>
                <c:pt idx="198">
                  <c:v>-0.24991825020901814</c:v>
                </c:pt>
                <c:pt idx="199">
                  <c:v>-0.2299247901922967</c:v>
                </c:pt>
                <c:pt idx="200">
                  <c:v>-0.49834798900342664</c:v>
                </c:pt>
                <c:pt idx="201">
                  <c:v>-0.47835452898670522</c:v>
                </c:pt>
                <c:pt idx="202">
                  <c:v>-0.45836106896998369</c:v>
                </c:pt>
                <c:pt idx="203">
                  <c:v>-0.43836760895326227</c:v>
                </c:pt>
                <c:pt idx="204">
                  <c:v>-0.41837414893654074</c:v>
                </c:pt>
                <c:pt idx="205">
                  <c:v>-0.39838068891981931</c:v>
                </c:pt>
                <c:pt idx="206">
                  <c:v>-0.37838722890309789</c:v>
                </c:pt>
                <c:pt idx="207">
                  <c:v>-0.35839376888637642</c:v>
                </c:pt>
                <c:pt idx="208">
                  <c:v>-0.33840030886965494</c:v>
                </c:pt>
                <c:pt idx="209">
                  <c:v>-0.31840684885293352</c:v>
                </c:pt>
                <c:pt idx="210">
                  <c:v>-0.29841338883621199</c:v>
                </c:pt>
                <c:pt idx="211">
                  <c:v>-0.27841992881949051</c:v>
                </c:pt>
                <c:pt idx="212">
                  <c:v>-0.52684966761389906</c:v>
                </c:pt>
                <c:pt idx="213">
                  <c:v>-0.50685620759717753</c:v>
                </c:pt>
                <c:pt idx="214">
                  <c:v>-0.48686274758045606</c:v>
                </c:pt>
                <c:pt idx="215">
                  <c:v>-0.46686928756373464</c:v>
                </c:pt>
                <c:pt idx="216">
                  <c:v>-0.4468758275470131</c:v>
                </c:pt>
                <c:pt idx="217">
                  <c:v>-0.42688236753029168</c:v>
                </c:pt>
                <c:pt idx="218">
                  <c:v>-0.40688890751357026</c:v>
                </c:pt>
                <c:pt idx="219">
                  <c:v>-0.38689544749684879</c:v>
                </c:pt>
                <c:pt idx="220">
                  <c:v>-0.36690198748012731</c:v>
                </c:pt>
                <c:pt idx="221">
                  <c:v>-0.34690852746340584</c:v>
                </c:pt>
                <c:pt idx="222">
                  <c:v>-0.55535134622437132</c:v>
                </c:pt>
                <c:pt idx="223">
                  <c:v>-0.5353578862076499</c:v>
                </c:pt>
                <c:pt idx="224">
                  <c:v>-0.51536442619092848</c:v>
                </c:pt>
                <c:pt idx="225">
                  <c:v>-0.49537096617420706</c:v>
                </c:pt>
                <c:pt idx="226">
                  <c:v>-0.47537750615748553</c:v>
                </c:pt>
                <c:pt idx="227">
                  <c:v>-0.45538404614076411</c:v>
                </c:pt>
                <c:pt idx="228">
                  <c:v>-0.43539058612404269</c:v>
                </c:pt>
                <c:pt idx="229">
                  <c:v>-0.41539712610732121</c:v>
                </c:pt>
                <c:pt idx="230">
                  <c:v>-0.39540366609059968</c:v>
                </c:pt>
                <c:pt idx="231">
                  <c:v>-0.58385302483484391</c:v>
                </c:pt>
                <c:pt idx="232">
                  <c:v>-0.56385956481812238</c:v>
                </c:pt>
                <c:pt idx="233">
                  <c:v>-0.54386610480140085</c:v>
                </c:pt>
                <c:pt idx="234">
                  <c:v>-0.52387264478467943</c:v>
                </c:pt>
                <c:pt idx="235">
                  <c:v>-0.5038791847679579</c:v>
                </c:pt>
                <c:pt idx="236">
                  <c:v>-0.48388572475123648</c:v>
                </c:pt>
                <c:pt idx="237">
                  <c:v>-0.46389226473451506</c:v>
                </c:pt>
                <c:pt idx="238">
                  <c:v>-0.44389880471779358</c:v>
                </c:pt>
                <c:pt idx="239">
                  <c:v>-0.61235470344531628</c:v>
                </c:pt>
                <c:pt idx="240">
                  <c:v>-0.59236124342859475</c:v>
                </c:pt>
                <c:pt idx="241">
                  <c:v>-0.57236778341187322</c:v>
                </c:pt>
                <c:pt idx="242">
                  <c:v>-0.5523743233951518</c:v>
                </c:pt>
                <c:pt idx="243">
                  <c:v>-0.53238086337843027</c:v>
                </c:pt>
                <c:pt idx="244">
                  <c:v>-0.51238740336170885</c:v>
                </c:pt>
                <c:pt idx="245">
                  <c:v>-0.49239394334498743</c:v>
                </c:pt>
                <c:pt idx="246">
                  <c:v>-0.47240048332826595</c:v>
                </c:pt>
                <c:pt idx="247">
                  <c:v>-0.64085638205578865</c:v>
                </c:pt>
                <c:pt idx="248">
                  <c:v>-0.34398947268019242</c:v>
                </c:pt>
                <c:pt idx="249">
                  <c:v>-0.32399601266347089</c:v>
                </c:pt>
                <c:pt idx="250">
                  <c:v>-0.30400255264674947</c:v>
                </c:pt>
                <c:pt idx="251">
                  <c:v>-0.28400909263002794</c:v>
                </c:pt>
                <c:pt idx="252">
                  <c:v>-0.26401563261330652</c:v>
                </c:pt>
                <c:pt idx="253">
                  <c:v>-0.24402217259658507</c:v>
                </c:pt>
                <c:pt idx="254">
                  <c:v>-0.36941182386081334</c:v>
                </c:pt>
                <c:pt idx="255">
                  <c:v>-0.34941836384409192</c:v>
                </c:pt>
                <c:pt idx="256">
                  <c:v>-0.32942490382737044</c:v>
                </c:pt>
                <c:pt idx="257">
                  <c:v>-0.30943144381064902</c:v>
                </c:pt>
                <c:pt idx="258">
                  <c:v>-0.28943798379392749</c:v>
                </c:pt>
                <c:pt idx="259">
                  <c:v>-0.26944452377720607</c:v>
                </c:pt>
                <c:pt idx="260">
                  <c:v>-0.37484071502471289</c:v>
                </c:pt>
                <c:pt idx="261">
                  <c:v>-0.35484725500799141</c:v>
                </c:pt>
                <c:pt idx="262">
                  <c:v>-0.33485379499126994</c:v>
                </c:pt>
                <c:pt idx="263">
                  <c:v>-0.31486033497454852</c:v>
                </c:pt>
                <c:pt idx="264">
                  <c:v>-0.29486687495782699</c:v>
                </c:pt>
                <c:pt idx="265">
                  <c:v>-0.27487341494110551</c:v>
                </c:pt>
                <c:pt idx="266">
                  <c:v>-0.38026960618861239</c:v>
                </c:pt>
                <c:pt idx="267">
                  <c:v>-0.36027614617189091</c:v>
                </c:pt>
                <c:pt idx="268">
                  <c:v>-0.34028268615516943</c:v>
                </c:pt>
                <c:pt idx="269">
                  <c:v>-0.32028922613844801</c:v>
                </c:pt>
                <c:pt idx="270">
                  <c:v>-0.30029576612172648</c:v>
                </c:pt>
                <c:pt idx="271">
                  <c:v>-0.28030230610500501</c:v>
                </c:pt>
                <c:pt idx="272">
                  <c:v>-0.38569849735251188</c:v>
                </c:pt>
                <c:pt idx="273">
                  <c:v>-0.36570503733579041</c:v>
                </c:pt>
                <c:pt idx="274">
                  <c:v>-0.34571157731906893</c:v>
                </c:pt>
                <c:pt idx="275">
                  <c:v>-0.32571811730234751</c:v>
                </c:pt>
                <c:pt idx="276">
                  <c:v>-0.30572465728562598</c:v>
                </c:pt>
                <c:pt idx="277">
                  <c:v>-0.39112738851641138</c:v>
                </c:pt>
                <c:pt idx="278">
                  <c:v>-0.3711339284996899</c:v>
                </c:pt>
                <c:pt idx="279">
                  <c:v>-0.35114046848296843</c:v>
                </c:pt>
                <c:pt idx="280">
                  <c:v>-0.33114700846624701</c:v>
                </c:pt>
                <c:pt idx="281">
                  <c:v>-0.31115354844952542</c:v>
                </c:pt>
                <c:pt idx="282">
                  <c:v>-0.39655627968031087</c:v>
                </c:pt>
                <c:pt idx="283">
                  <c:v>-0.3765628196635894</c:v>
                </c:pt>
                <c:pt idx="284">
                  <c:v>-0.35656935964686792</c:v>
                </c:pt>
                <c:pt idx="285">
                  <c:v>-0.3365758996301465</c:v>
                </c:pt>
                <c:pt idx="286">
                  <c:v>-0.31658243961342492</c:v>
                </c:pt>
                <c:pt idx="287">
                  <c:v>-0.40198517084421043</c:v>
                </c:pt>
                <c:pt idx="288">
                  <c:v>-0.38199171082748895</c:v>
                </c:pt>
                <c:pt idx="289">
                  <c:v>-0.36199825081076742</c:v>
                </c:pt>
                <c:pt idx="290">
                  <c:v>-0.342004790794046</c:v>
                </c:pt>
                <c:pt idx="291">
                  <c:v>-0.40741406200810992</c:v>
                </c:pt>
                <c:pt idx="292">
                  <c:v>-0.38742060199138845</c:v>
                </c:pt>
                <c:pt idx="293">
                  <c:v>-0.36742714197466697</c:v>
                </c:pt>
                <c:pt idx="294">
                  <c:v>-0.34743368195794555</c:v>
                </c:pt>
                <c:pt idx="295">
                  <c:v>-0.41284295317200942</c:v>
                </c:pt>
                <c:pt idx="296">
                  <c:v>-0.39284949315528794</c:v>
                </c:pt>
                <c:pt idx="297">
                  <c:v>-0.37285603313856647</c:v>
                </c:pt>
                <c:pt idx="298">
                  <c:v>-0.35286257312184505</c:v>
                </c:pt>
                <c:pt idx="299">
                  <c:v>-0.41827184433590892</c:v>
                </c:pt>
                <c:pt idx="300">
                  <c:v>-0.39827838431918744</c:v>
                </c:pt>
                <c:pt idx="301">
                  <c:v>-0.37828492430246596</c:v>
                </c:pt>
                <c:pt idx="302">
                  <c:v>-0.35829146428574449</c:v>
                </c:pt>
                <c:pt idx="303">
                  <c:v>-0.42370073549980841</c:v>
                </c:pt>
                <c:pt idx="304">
                  <c:v>-0.40370727548308694</c:v>
                </c:pt>
                <c:pt idx="305">
                  <c:v>-0.38371381546636546</c:v>
                </c:pt>
                <c:pt idx="306">
                  <c:v>-0.36372035544964398</c:v>
                </c:pt>
                <c:pt idx="307">
                  <c:v>-0.42912962666370791</c:v>
                </c:pt>
                <c:pt idx="308">
                  <c:v>-0.40913616664698643</c:v>
                </c:pt>
                <c:pt idx="309">
                  <c:v>-0.38914270663026496</c:v>
                </c:pt>
                <c:pt idx="310">
                  <c:v>-0.4345585178276074</c:v>
                </c:pt>
                <c:pt idx="311">
                  <c:v>-0.41456505781088593</c:v>
                </c:pt>
                <c:pt idx="312">
                  <c:v>-0.39457159779416445</c:v>
                </c:pt>
                <c:pt idx="313">
                  <c:v>-0.43998740899150696</c:v>
                </c:pt>
                <c:pt idx="314">
                  <c:v>-0.41999394897478548</c:v>
                </c:pt>
                <c:pt idx="315">
                  <c:v>-0.40000048895806395</c:v>
                </c:pt>
                <c:pt idx="316">
                  <c:v>-0.44541630015540645</c:v>
                </c:pt>
                <c:pt idx="317">
                  <c:v>-0.42542284013868498</c:v>
                </c:pt>
                <c:pt idx="318">
                  <c:v>-0.4054293801219635</c:v>
                </c:pt>
                <c:pt idx="319">
                  <c:v>-0.45084519131930595</c:v>
                </c:pt>
                <c:pt idx="320">
                  <c:v>-0.43085173130258447</c:v>
                </c:pt>
                <c:pt idx="321">
                  <c:v>-0.410858271285863</c:v>
                </c:pt>
                <c:pt idx="322">
                  <c:v>-0.45627408248320545</c:v>
                </c:pt>
                <c:pt idx="323">
                  <c:v>-0.43628062246648397</c:v>
                </c:pt>
                <c:pt idx="324">
                  <c:v>-0.41628716244976249</c:v>
                </c:pt>
                <c:pt idx="325">
                  <c:v>-0.46170297364710494</c:v>
                </c:pt>
                <c:pt idx="326">
                  <c:v>-0.44170951363038347</c:v>
                </c:pt>
                <c:pt idx="327">
                  <c:v>-0.42171605361366193</c:v>
                </c:pt>
                <c:pt idx="328">
                  <c:v>-0.46713186481100438</c:v>
                </c:pt>
                <c:pt idx="329">
                  <c:v>-0.44713840479428296</c:v>
                </c:pt>
                <c:pt idx="330">
                  <c:v>-0.42714494477756143</c:v>
                </c:pt>
                <c:pt idx="331">
                  <c:v>-0.47256075597490388</c:v>
                </c:pt>
                <c:pt idx="332">
                  <c:v>-0.45256729595818246</c:v>
                </c:pt>
                <c:pt idx="333">
                  <c:v>-0.47798964713880343</c:v>
                </c:pt>
                <c:pt idx="334">
                  <c:v>-0.45799618712208201</c:v>
                </c:pt>
                <c:pt idx="335">
                  <c:v>-0.48341853830270293</c:v>
                </c:pt>
                <c:pt idx="336">
                  <c:v>-0.46342507828598151</c:v>
                </c:pt>
                <c:pt idx="337">
                  <c:v>-0.48884742946660242</c:v>
                </c:pt>
                <c:pt idx="338">
                  <c:v>-0.468853969449881</c:v>
                </c:pt>
                <c:pt idx="339">
                  <c:v>-0.49427632063050192</c:v>
                </c:pt>
                <c:pt idx="340">
                  <c:v>-0.4742828606137805</c:v>
                </c:pt>
                <c:pt idx="341">
                  <c:v>-0.49970521179440142</c:v>
                </c:pt>
                <c:pt idx="342">
                  <c:v>-0.47971175177768</c:v>
                </c:pt>
                <c:pt idx="343">
                  <c:v>-0.50513410295830097</c:v>
                </c:pt>
                <c:pt idx="344">
                  <c:v>-0.48514064294157949</c:v>
                </c:pt>
                <c:pt idx="345">
                  <c:v>-0.51056299412220041</c:v>
                </c:pt>
                <c:pt idx="346">
                  <c:v>-0.49056953410547904</c:v>
                </c:pt>
                <c:pt idx="347">
                  <c:v>-0.51599188528609996</c:v>
                </c:pt>
                <c:pt idx="348">
                  <c:v>-0.49599842526937854</c:v>
                </c:pt>
                <c:pt idx="349">
                  <c:v>-0.52142077644999951</c:v>
                </c:pt>
                <c:pt idx="350">
                  <c:v>-0.50142731643327809</c:v>
                </c:pt>
                <c:pt idx="351">
                  <c:v>-0.52684966761389895</c:v>
                </c:pt>
                <c:pt idx="352">
                  <c:v>-0.50685620759717753</c:v>
                </c:pt>
                <c:pt idx="353">
                  <c:v>-0.53227855877779851</c:v>
                </c:pt>
                <c:pt idx="354">
                  <c:v>-0.51228509876107708</c:v>
                </c:pt>
                <c:pt idx="355">
                  <c:v>-0.53770744994169795</c:v>
                </c:pt>
                <c:pt idx="356">
                  <c:v>-0.51771398992497653</c:v>
                </c:pt>
                <c:pt idx="357">
                  <c:v>-0.5431363411055975</c:v>
                </c:pt>
                <c:pt idx="358">
                  <c:v>-0.52314288108887608</c:v>
                </c:pt>
                <c:pt idx="359">
                  <c:v>-0.54856523226949694</c:v>
                </c:pt>
                <c:pt idx="360">
                  <c:v>-0.52857177225277552</c:v>
                </c:pt>
                <c:pt idx="361">
                  <c:v>-0.55399412343339649</c:v>
                </c:pt>
                <c:pt idx="362">
                  <c:v>-0.53400066341667507</c:v>
                </c:pt>
                <c:pt idx="363">
                  <c:v>-0.55942301459729593</c:v>
                </c:pt>
                <c:pt idx="364">
                  <c:v>-0.56485190576119548</c:v>
                </c:pt>
                <c:pt idx="365">
                  <c:v>-0.57028079692509503</c:v>
                </c:pt>
                <c:pt idx="366">
                  <c:v>-0.57570968808899448</c:v>
                </c:pt>
                <c:pt idx="367">
                  <c:v>-0.58113857925289403</c:v>
                </c:pt>
                <c:pt idx="368">
                  <c:v>-0.58656747041679358</c:v>
                </c:pt>
                <c:pt idx="369">
                  <c:v>-0.59199636158069302</c:v>
                </c:pt>
                <c:pt idx="370">
                  <c:v>-0.59742525274459257</c:v>
                </c:pt>
                <c:pt idx="371">
                  <c:v>-0.60285414390849201</c:v>
                </c:pt>
                <c:pt idx="372">
                  <c:v>-0.60828303507239156</c:v>
                </c:pt>
                <c:pt idx="373">
                  <c:v>-0.61371192623629101</c:v>
                </c:pt>
                <c:pt idx="374">
                  <c:v>-0.61914081740019056</c:v>
                </c:pt>
                <c:pt idx="375">
                  <c:v>-0.62456970856408989</c:v>
                </c:pt>
                <c:pt idx="376">
                  <c:v>-0.62999859972798944</c:v>
                </c:pt>
                <c:pt idx="377">
                  <c:v>-0.63542749089188899</c:v>
                </c:pt>
                <c:pt idx="378">
                  <c:v>-0.64085638205578843</c:v>
                </c:pt>
              </c:numCache>
            </c:numRef>
          </c:xVal>
          <c:yVal>
            <c:numRef>
              <c:f>plot!$L$33:$L$411</c:f>
              <c:numCache>
                <c:formatCode>General</c:formatCode>
                <c:ptCount val="379"/>
                <c:pt idx="0">
                  <c:v>-2.0120657867112091E-2</c:v>
                </c:pt>
                <c:pt idx="1">
                  <c:v>-8.7904321610838831E-2</c:v>
                </c:pt>
                <c:pt idx="2">
                  <c:v>-0.11564665870050178</c:v>
                </c:pt>
                <c:pt idx="3">
                  <c:v>-0.12178775377941975</c:v>
                </c:pt>
                <c:pt idx="4">
                  <c:v>-0.12397740214905523</c:v>
                </c:pt>
                <c:pt idx="5">
                  <c:v>-0.12498161650590583</c:v>
                </c:pt>
                <c:pt idx="6">
                  <c:v>-0.11768779277326297</c:v>
                </c:pt>
                <c:pt idx="7">
                  <c:v>-0.11632113910454406</c:v>
                </c:pt>
                <c:pt idx="8">
                  <c:v>-0.10771016646880699</c:v>
                </c:pt>
                <c:pt idx="9">
                  <c:v>-0.10410435966482784</c:v>
                </c:pt>
                <c:pt idx="10">
                  <c:v>-8.8907642513619822E-2</c:v>
                </c:pt>
                <c:pt idx="11">
                  <c:v>-7.5818363607362493E-2</c:v>
                </c:pt>
                <c:pt idx="12">
                  <c:v>-7.194912702276457E-2</c:v>
                </c:pt>
                <c:pt idx="13">
                  <c:v>-5.9254992787435457E-2</c:v>
                </c:pt>
                <c:pt idx="14">
                  <c:v>-5.077573504200783E-2</c:v>
                </c:pt>
                <c:pt idx="15">
                  <c:v>-3.729131146482223E-2</c:v>
                </c:pt>
                <c:pt idx="16">
                  <c:v>-1.47185604562865E-2</c:v>
                </c:pt>
                <c:pt idx="17">
                  <c:v>-5.8441580399307136E-3</c:v>
                </c:pt>
                <c:pt idx="18">
                  <c:v>6.981691085707814E-3</c:v>
                </c:pt>
                <c:pt idx="19">
                  <c:v>2.4285846481866658E-2</c:v>
                </c:pt>
                <c:pt idx="20">
                  <c:v>2.5257355479657351E-2</c:v>
                </c:pt>
                <c:pt idx="21">
                  <c:v>2.7019153819304503E-2</c:v>
                </c:pt>
                <c:pt idx="22">
                  <c:v>2.9834671281427111E-2</c:v>
                </c:pt>
                <c:pt idx="23">
                  <c:v>3.0279320717980035E-2</c:v>
                </c:pt>
                <c:pt idx="24">
                  <c:v>3.7704859340932373E-2</c:v>
                </c:pt>
                <c:pt idx="25">
                  <c:v>4.1837525706149126E-2</c:v>
                </c:pt>
                <c:pt idx="26">
                  <c:v>5.0053353670957895E-2</c:v>
                </c:pt>
                <c:pt idx="27">
                  <c:v>5.5634883829578291E-2</c:v>
                </c:pt>
                <c:pt idx="28">
                  <c:v>7.8602779509042153E-2</c:v>
                </c:pt>
                <c:pt idx="29">
                  <c:v>8.4711169228900318E-2</c:v>
                </c:pt>
                <c:pt idx="30">
                  <c:v>8.79218313619511E-2</c:v>
                </c:pt>
                <c:pt idx="31">
                  <c:v>9.3503361520571524E-2</c:v>
                </c:pt>
                <c:pt idx="32">
                  <c:v>0.12239842726395929</c:v>
                </c:pt>
                <c:pt idx="33">
                  <c:v>0.1252139447260818</c:v>
                </c:pt>
                <c:pt idx="34">
                  <c:v>0.12328772613706532</c:v>
                </c:pt>
                <c:pt idx="35">
                  <c:v>0.12478609469609367</c:v>
                </c:pt>
                <c:pt idx="36">
                  <c:v>0.13168477375780827</c:v>
                </c:pt>
                <c:pt idx="37">
                  <c:v>0.13226113808467069</c:v>
                </c:pt>
                <c:pt idx="38">
                  <c:v>0.1353400853274121</c:v>
                </c:pt>
                <c:pt idx="39">
                  <c:v>0.13670673899613109</c:v>
                </c:pt>
                <c:pt idx="40">
                  <c:v>0.14373713294815504</c:v>
                </c:pt>
                <c:pt idx="41">
                  <c:v>0.14325977815254207</c:v>
                </c:pt>
                <c:pt idx="42">
                  <c:v>0.14475814671157042</c:v>
                </c:pt>
                <c:pt idx="43">
                  <c:v>0.14612480038028938</c:v>
                </c:pt>
                <c:pt idx="44">
                  <c:v>0.1564480665900489</c:v>
                </c:pt>
                <c:pt idx="45">
                  <c:v>0.16137102229712219</c:v>
                </c:pt>
                <c:pt idx="46">
                  <c:v>0.16352796530769764</c:v>
                </c:pt>
                <c:pt idx="47">
                  <c:v>0.16528976364734493</c:v>
                </c:pt>
                <c:pt idx="48">
                  <c:v>-0.13040055783361187</c:v>
                </c:pt>
                <c:pt idx="49">
                  <c:v>-0.15366458865275451</c:v>
                </c:pt>
                <c:pt idx="50">
                  <c:v>-0.15335165410651097</c:v>
                </c:pt>
                <c:pt idx="51">
                  <c:v>-0.14039409009056308</c:v>
                </c:pt>
                <c:pt idx="52">
                  <c:v>-0.12203621557192884</c:v>
                </c:pt>
                <c:pt idx="53">
                  <c:v>-9.5907162525038891E-2</c:v>
                </c:pt>
                <c:pt idx="54">
                  <c:v>-6.8856105245983013E-2</c:v>
                </c:pt>
                <c:pt idx="55">
                  <c:v>-4.7337073359922766E-2</c:v>
                </c:pt>
                <c:pt idx="56">
                  <c:v>-1.5675994920037128E-2</c:v>
                </c:pt>
                <c:pt idx="57">
                  <c:v>1.4799649507063695E-2</c:v>
                </c:pt>
                <c:pt idx="58">
                  <c:v>3.3420953806316711E-2</c:v>
                </c:pt>
                <c:pt idx="59">
                  <c:v>3.979277330679365E-2</c:v>
                </c:pt>
                <c:pt idx="60">
                  <c:v>4.0369137633656044E-2</c:v>
                </c:pt>
                <c:pt idx="61">
                  <c:v>4.1604076412065594E-2</c:v>
                </c:pt>
                <c:pt idx="62">
                  <c:v>5.561535955048888E-2</c:v>
                </c:pt>
                <c:pt idx="63">
                  <c:v>6.8704638456746209E-2</c:v>
                </c:pt>
                <c:pt idx="64">
                  <c:v>8.6008793852904997E-2</c:v>
                </c:pt>
                <c:pt idx="65">
                  <c:v>9.2380613353381935E-2</c:v>
                </c:pt>
                <c:pt idx="66">
                  <c:v>0.10191359022128491</c:v>
                </c:pt>
                <c:pt idx="67">
                  <c:v>0.11276371599228219</c:v>
                </c:pt>
                <c:pt idx="68">
                  <c:v>0.11189121652574097</c:v>
                </c:pt>
                <c:pt idx="69">
                  <c:v>0.12023875938085921</c:v>
                </c:pt>
                <c:pt idx="70">
                  <c:v>0.17402793939272743</c:v>
                </c:pt>
                <c:pt idx="71">
                  <c:v>0.19146380967919566</c:v>
                </c:pt>
                <c:pt idx="72">
                  <c:v>0.11841155032309211</c:v>
                </c:pt>
                <c:pt idx="73">
                  <c:v>0.12675909317821027</c:v>
                </c:pt>
                <c:pt idx="74">
                  <c:v>0.13918979763292061</c:v>
                </c:pt>
                <c:pt idx="75">
                  <c:v>0.14924963406206129</c:v>
                </c:pt>
                <c:pt idx="76">
                  <c:v>0.18275472096627882</c:v>
                </c:pt>
                <c:pt idx="77">
                  <c:v>0.19847829767872452</c:v>
                </c:pt>
                <c:pt idx="78">
                  <c:v>0.21130414680436296</c:v>
                </c:pt>
                <c:pt idx="79">
                  <c:v>0.22715943840711825</c:v>
                </c:pt>
                <c:pt idx="80">
                  <c:v>0.26975285274268568</c:v>
                </c:pt>
                <c:pt idx="81">
                  <c:v>0.28152498274584892</c:v>
                </c:pt>
                <c:pt idx="82">
                  <c:v>0.29316539785870255</c:v>
                </c:pt>
                <c:pt idx="83">
                  <c:v>0.30388380873939036</c:v>
                </c:pt>
                <c:pt idx="84">
                  <c:v>0.32066110457431152</c:v>
                </c:pt>
                <c:pt idx="85">
                  <c:v>0.33401381326118762</c:v>
                </c:pt>
                <c:pt idx="86">
                  <c:v>0.34683966238682612</c:v>
                </c:pt>
                <c:pt idx="87">
                  <c:v>0.35768978815782337</c:v>
                </c:pt>
                <c:pt idx="88">
                  <c:v>0.37723309668924232</c:v>
                </c:pt>
                <c:pt idx="89">
                  <c:v>0.38992723092457143</c:v>
                </c:pt>
                <c:pt idx="90">
                  <c:v>0.40275308005020982</c:v>
                </c:pt>
                <c:pt idx="91">
                  <c:v>0.41623750362739548</c:v>
                </c:pt>
                <c:pt idx="92">
                  <c:v>0.43867853974562177</c:v>
                </c:pt>
                <c:pt idx="93">
                  <c:v>0.45163610376156971</c:v>
                </c:pt>
                <c:pt idx="94">
                  <c:v>0.47065255273175094</c:v>
                </c:pt>
                <c:pt idx="95">
                  <c:v>0.48505898054110241</c:v>
                </c:pt>
                <c:pt idx="96">
                  <c:v>-0.18667735277324934</c:v>
                </c:pt>
                <c:pt idx="97">
                  <c:v>-0.18702299267855288</c:v>
                </c:pt>
                <c:pt idx="98">
                  <c:v>-0.16458195656032665</c:v>
                </c:pt>
                <c:pt idx="99">
                  <c:v>-0.12778399739837368</c:v>
                </c:pt>
                <c:pt idx="100">
                  <c:v>-8.5585727733734407E-2</c:v>
                </c:pt>
                <c:pt idx="101">
                  <c:v>-4.5231466533427078E-2</c:v>
                </c:pt>
                <c:pt idx="102">
                  <c:v>8.1625688075128988E-3</c:v>
                </c:pt>
                <c:pt idx="103">
                  <c:v>1.2163520282420265E-2</c:v>
                </c:pt>
                <c:pt idx="104">
                  <c:v>2.643823320146238E-2</c:v>
                </c:pt>
                <c:pt idx="105">
                  <c:v>4.4927822610405926E-2</c:v>
                </c:pt>
                <c:pt idx="106">
                  <c:v>5.6041378162021982E-2</c:v>
                </c:pt>
                <c:pt idx="107">
                  <c:v>6.6232929481472136E-2</c:v>
                </c:pt>
                <c:pt idx="108">
                  <c:v>0.10671890557208889</c:v>
                </c:pt>
                <c:pt idx="109">
                  <c:v>0.12204733761360642</c:v>
                </c:pt>
                <c:pt idx="110">
                  <c:v>0.18150025790877972</c:v>
                </c:pt>
                <c:pt idx="111">
                  <c:v>0.20420472380762478</c:v>
                </c:pt>
                <c:pt idx="112">
                  <c:v>0.12706930285192913</c:v>
                </c:pt>
                <c:pt idx="113">
                  <c:v>0.14121230088066195</c:v>
                </c:pt>
                <c:pt idx="114">
                  <c:v>0.15798959671558299</c:v>
                </c:pt>
                <c:pt idx="115">
                  <c:v>0.17608404145359835</c:v>
                </c:pt>
                <c:pt idx="116">
                  <c:v>0.18706588211490502</c:v>
                </c:pt>
                <c:pt idx="117">
                  <c:v>0.20581890130446739</c:v>
                </c:pt>
                <c:pt idx="118">
                  <c:v>0.2253622098358864</c:v>
                </c:pt>
                <c:pt idx="119">
                  <c:v>0.24451037369637707</c:v>
                </c:pt>
                <c:pt idx="120">
                  <c:v>0.23231039366322564</c:v>
                </c:pt>
                <c:pt idx="121">
                  <c:v>0.25725401269733078</c:v>
                </c:pt>
                <c:pt idx="122">
                  <c:v>0.28035362326710417</c:v>
                </c:pt>
                <c:pt idx="123">
                  <c:v>0.30358494872718678</c:v>
                </c:pt>
                <c:pt idx="124">
                  <c:v>0.35553012027472325</c:v>
                </c:pt>
                <c:pt idx="125">
                  <c:v>0.38508376046965809</c:v>
                </c:pt>
                <c:pt idx="126">
                  <c:v>0.40950051994252568</c:v>
                </c:pt>
                <c:pt idx="127">
                  <c:v>0.44313732173705256</c:v>
                </c:pt>
                <c:pt idx="128">
                  <c:v>-0.23004608846256366</c:v>
                </c:pt>
                <c:pt idx="129">
                  <c:v>-0.21155649905362006</c:v>
                </c:pt>
                <c:pt idx="130">
                  <c:v>-0.16040161684794024</c:v>
                </c:pt>
                <c:pt idx="131">
                  <c:v>-0.10964187931318867</c:v>
                </c:pt>
                <c:pt idx="132">
                  <c:v>-3.9124908232024053E-2</c:v>
                </c:pt>
                <c:pt idx="133">
                  <c:v>-1.9976744371533378E-2</c:v>
                </c:pt>
                <c:pt idx="134">
                  <c:v>9.313466042782631E-3</c:v>
                </c:pt>
                <c:pt idx="135">
                  <c:v>1.8583013130066883E-2</c:v>
                </c:pt>
                <c:pt idx="136">
                  <c:v>4.7873223544382976E-2</c:v>
                </c:pt>
                <c:pt idx="137">
                  <c:v>7.7690293519936629E-2</c:v>
                </c:pt>
                <c:pt idx="138">
                  <c:v>0.18060912761721865</c:v>
                </c:pt>
                <c:pt idx="139">
                  <c:v>0.20186472972266004</c:v>
                </c:pt>
                <c:pt idx="140">
                  <c:v>9.8254615814770963E-2</c:v>
                </c:pt>
                <c:pt idx="141">
                  <c:v>0.12148594127485375</c:v>
                </c:pt>
                <c:pt idx="142">
                  <c:v>0.15657160686278429</c:v>
                </c:pt>
                <c:pt idx="143">
                  <c:v>0.18968154909607346</c:v>
                </c:pt>
                <c:pt idx="144">
                  <c:v>0.18854561984891346</c:v>
                </c:pt>
                <c:pt idx="145">
                  <c:v>0.21533324734735049</c:v>
                </c:pt>
                <c:pt idx="146">
                  <c:v>0.24554546199383259</c:v>
                </c:pt>
                <c:pt idx="147">
                  <c:v>0.27365023839536384</c:v>
                </c:pt>
                <c:pt idx="148">
                  <c:v>0.29464241072018638</c:v>
                </c:pt>
                <c:pt idx="149">
                  <c:v>0.32445948069574015</c:v>
                </c:pt>
                <c:pt idx="150">
                  <c:v>0.35414483578098438</c:v>
                </c:pt>
                <c:pt idx="151">
                  <c:v>0.39067936516231855</c:v>
                </c:pt>
                <c:pt idx="152">
                  <c:v>-0.26340449248836195</c:v>
                </c:pt>
                <c:pt idx="153">
                  <c:v>-0.2276602524488843</c:v>
                </c:pt>
                <c:pt idx="154">
                  <c:v>-0.15516755801307841</c:v>
                </c:pt>
                <c:pt idx="155">
                  <c:v>-8.1621144454797095E-2</c:v>
                </c:pt>
                <c:pt idx="156">
                  <c:v>-4.1530313035108596E-2</c:v>
                </c:pt>
                <c:pt idx="157">
                  <c:v>-2.3435868297093237E-2</c:v>
                </c:pt>
                <c:pt idx="158">
                  <c:v>1.3757235535787976E-2</c:v>
                </c:pt>
                <c:pt idx="159">
                  <c:v>3.1193105822256206E-2</c:v>
                </c:pt>
                <c:pt idx="160">
                  <c:v>4.902412077965275E-2</c:v>
                </c:pt>
                <c:pt idx="161">
                  <c:v>7.818261630365933E-2</c:v>
                </c:pt>
                <c:pt idx="162">
                  <c:v>0.14448471089492262</c:v>
                </c:pt>
                <c:pt idx="163">
                  <c:v>0.1658720278906734</c:v>
                </c:pt>
                <c:pt idx="164">
                  <c:v>0.13536367810451258</c:v>
                </c:pt>
                <c:pt idx="165">
                  <c:v>0.17097620325368085</c:v>
                </c:pt>
                <c:pt idx="166">
                  <c:v>0.21673077495667442</c:v>
                </c:pt>
                <c:pt idx="167">
                  <c:v>0.26116819775657385</c:v>
                </c:pt>
                <c:pt idx="168">
                  <c:v>0.27030602995354858</c:v>
                </c:pt>
                <c:pt idx="169">
                  <c:v>0.31105543582478412</c:v>
                </c:pt>
                <c:pt idx="170">
                  <c:v>0.35496599906344589</c:v>
                </c:pt>
                <c:pt idx="171">
                  <c:v>-0.29992405388158638</c:v>
                </c:pt>
                <c:pt idx="172">
                  <c:v>-0.23810026556084349</c:v>
                </c:pt>
                <c:pt idx="173">
                  <c:v>-0.14637719713986225</c:v>
                </c:pt>
                <c:pt idx="174">
                  <c:v>-9.0085434212115012E-2</c:v>
                </c:pt>
                <c:pt idx="175">
                  <c:v>-4.6833445425000425E-2</c:v>
                </c:pt>
                <c:pt idx="176">
                  <c:v>-3.097815382224528E-2</c:v>
                </c:pt>
                <c:pt idx="177">
                  <c:v>9.8151943446611531E-2</c:v>
                </c:pt>
                <c:pt idx="178">
                  <c:v>0.11571952862338909</c:v>
                </c:pt>
                <c:pt idx="179">
                  <c:v>5.7287622091631143E-2</c:v>
                </c:pt>
                <c:pt idx="180">
                  <c:v>9.3031862131108881E-2</c:v>
                </c:pt>
                <c:pt idx="181">
                  <c:v>0.13457155734420101</c:v>
                </c:pt>
                <c:pt idx="182">
                  <c:v>0.17453067387358018</c:v>
                </c:pt>
                <c:pt idx="183">
                  <c:v>0.18459051030272089</c:v>
                </c:pt>
                <c:pt idx="184">
                  <c:v>0.23087194156695209</c:v>
                </c:pt>
                <c:pt idx="185">
                  <c:v>0.29190544054583839</c:v>
                </c:pt>
                <c:pt idx="186">
                  <c:v>0.3525437948537965</c:v>
                </c:pt>
                <c:pt idx="187">
                  <c:v>-0.33117501966243401</c:v>
                </c:pt>
                <c:pt idx="188">
                  <c:v>-0.25143800625960994</c:v>
                </c:pt>
                <c:pt idx="189">
                  <c:v>-0.13284510021550688</c:v>
                </c:pt>
                <c:pt idx="190">
                  <c:v>-0.11014063431666191</c:v>
                </c:pt>
                <c:pt idx="191">
                  <c:v>-4.2784820602923324E-2</c:v>
                </c:pt>
                <c:pt idx="192">
                  <c:v>1.5746095460084014E-2</c:v>
                </c:pt>
                <c:pt idx="193">
                  <c:v>6.229095650493411E-2</c:v>
                </c:pt>
                <c:pt idx="194">
                  <c:v>8.025368635264013E-2</c:v>
                </c:pt>
                <c:pt idx="195">
                  <c:v>7.1741723248152423E-2</c:v>
                </c:pt>
                <c:pt idx="196">
                  <c:v>0.11986716297671571</c:v>
                </c:pt>
                <c:pt idx="197">
                  <c:v>0.16996832605992004</c:v>
                </c:pt>
                <c:pt idx="198">
                  <c:v>0.22204521249776582</c:v>
                </c:pt>
                <c:pt idx="199">
                  <c:v>0.24066651679701892</c:v>
                </c:pt>
                <c:pt idx="200">
                  <c:v>-0.36203084077235337</c:v>
                </c:pt>
                <c:pt idx="201">
                  <c:v>-0.2589802917847619</c:v>
                </c:pt>
                <c:pt idx="202">
                  <c:v>-0.15184658119757849</c:v>
                </c:pt>
                <c:pt idx="203">
                  <c:v>-0.12558581326037901</c:v>
                </c:pt>
                <c:pt idx="204">
                  <c:v>-3.3048902876122652E-3</c:v>
                </c:pt>
                <c:pt idx="205">
                  <c:v>5.7201749130036408E-2</c:v>
                </c:pt>
                <c:pt idx="206">
                  <c:v>2.6166539782638016E-2</c:v>
                </c:pt>
                <c:pt idx="207">
                  <c:v>6.2964498944591024E-2</c:v>
                </c:pt>
                <c:pt idx="208">
                  <c:v>9.2781568920144747E-2</c:v>
                </c:pt>
                <c:pt idx="209">
                  <c:v>0.1514441998734615</c:v>
                </c:pt>
                <c:pt idx="210">
                  <c:v>0.2141899924263703</c:v>
                </c:pt>
                <c:pt idx="211">
                  <c:v>0.28154580614010893</c:v>
                </c:pt>
                <c:pt idx="212">
                  <c:v>-0.39077922363732198</c:v>
                </c:pt>
                <c:pt idx="213">
                  <c:v>-0.26876173044517393</c:v>
                </c:pt>
                <c:pt idx="214">
                  <c:v>-0.17888267048852458</c:v>
                </c:pt>
                <c:pt idx="215">
                  <c:v>-0.14919731540328024</c:v>
                </c:pt>
                <c:pt idx="216">
                  <c:v>-4.1405030364549691E-2</c:v>
                </c:pt>
                <c:pt idx="217">
                  <c:v>2.015532817557434E-2</c:v>
                </c:pt>
                <c:pt idx="218">
                  <c:v>2.2707415857078167E-2</c:v>
                </c:pt>
                <c:pt idx="219">
                  <c:v>7.807717455265939E-2</c:v>
                </c:pt>
                <c:pt idx="220">
                  <c:v>0.11843143575296675</c:v>
                </c:pt>
                <c:pt idx="221">
                  <c:v>0.1886849770535125</c:v>
                </c:pt>
                <c:pt idx="222">
                  <c:v>-0.42097647029569418</c:v>
                </c:pt>
                <c:pt idx="223">
                  <c:v>-0.27327457349320927</c:v>
                </c:pt>
                <c:pt idx="224">
                  <c:v>-0.20605047466978021</c:v>
                </c:pt>
                <c:pt idx="225">
                  <c:v>-0.16859394105628003</c:v>
                </c:pt>
                <c:pt idx="226">
                  <c:v>-7.8978310880249453E-2</c:v>
                </c:pt>
                <c:pt idx="227">
                  <c:v>-1.7286237449816E-2</c:v>
                </c:pt>
                <c:pt idx="228">
                  <c:v>3.1234346949675487E-2</c:v>
                </c:pt>
                <c:pt idx="229">
                  <c:v>9.6087577747535013E-2</c:v>
                </c:pt>
                <c:pt idx="230">
                  <c:v>0.14816446418538076</c:v>
                </c:pt>
                <c:pt idx="231">
                  <c:v>-0.49727392856236352</c:v>
                </c:pt>
                <c:pt idx="232">
                  <c:v>-0.29649093096518225</c:v>
                </c:pt>
                <c:pt idx="233">
                  <c:v>-0.23269141928979814</c:v>
                </c:pt>
                <c:pt idx="234">
                  <c:v>-0.19246887297980014</c:v>
                </c:pt>
                <c:pt idx="235">
                  <c:v>-0.10008723010727176</c:v>
                </c:pt>
                <c:pt idx="236">
                  <c:v>-4.0502594921788926E-2</c:v>
                </c:pt>
                <c:pt idx="237">
                  <c:v>4.002470782289165E-2</c:v>
                </c:pt>
                <c:pt idx="238">
                  <c:v>0.11857628721293081</c:v>
                </c:pt>
                <c:pt idx="239">
                  <c:v>-0.52562716675640386</c:v>
                </c:pt>
                <c:pt idx="240">
                  <c:v>-0.32655646273324501</c:v>
                </c:pt>
                <c:pt idx="241">
                  <c:v>-0.26038608303229127</c:v>
                </c:pt>
                <c:pt idx="242">
                  <c:v>-0.20870434126537377</c:v>
                </c:pt>
                <c:pt idx="243">
                  <c:v>-0.10670751140025761</c:v>
                </c:pt>
                <c:pt idx="244">
                  <c:v>-3.9219982796209807E-2</c:v>
                </c:pt>
                <c:pt idx="245">
                  <c:v>5.3820234527865801E-2</c:v>
                </c:pt>
                <c:pt idx="246">
                  <c:v>0.14804588586472603</c:v>
                </c:pt>
                <c:pt idx="247">
                  <c:v>-0.55174125181518408</c:v>
                </c:pt>
                <c:pt idx="248">
                  <c:v>2.0963767882204581E-2</c:v>
                </c:pt>
                <c:pt idx="249">
                  <c:v>9.6090760124198871E-2</c:v>
                </c:pt>
                <c:pt idx="250">
                  <c:v>0.15172394860039903</c:v>
                </c:pt>
                <c:pt idx="251">
                  <c:v>0.26755084194800427</c:v>
                </c:pt>
                <c:pt idx="252">
                  <c:v>0.34636585111866236</c:v>
                </c:pt>
                <c:pt idx="253">
                  <c:v>0.44770410653223136</c:v>
                </c:pt>
                <c:pt idx="254">
                  <c:v>-0.16330499762140757</c:v>
                </c:pt>
                <c:pt idx="255">
                  <c:v>1.9696489784002014E-2</c:v>
                </c:pt>
                <c:pt idx="256">
                  <c:v>9.903835851589779E-2</c:v>
                </c:pt>
                <c:pt idx="257">
                  <c:v>0.16481359354592329</c:v>
                </c:pt>
                <c:pt idx="258">
                  <c:v>0.29381197592447061</c:v>
                </c:pt>
                <c:pt idx="259">
                  <c:v>0.38132016785555045</c:v>
                </c:pt>
                <c:pt idx="260">
                  <c:v>-0.15443022916578475</c:v>
                </c:pt>
                <c:pt idx="261">
                  <c:v>1.9878075479203172E-2</c:v>
                </c:pt>
                <c:pt idx="262">
                  <c:v>0.10580568872656991</c:v>
                </c:pt>
                <c:pt idx="263">
                  <c:v>0.18132782563949251</c:v>
                </c:pt>
                <c:pt idx="264">
                  <c:v>0.31967796523000869</c:v>
                </c:pt>
                <c:pt idx="265">
                  <c:v>0.42035764619203048</c:v>
                </c:pt>
                <c:pt idx="266">
                  <c:v>-0.14884833296789735</c:v>
                </c:pt>
                <c:pt idx="267">
                  <c:v>2.0191376064713606E-2</c:v>
                </c:pt>
                <c:pt idx="268">
                  <c:v>0.11652446564652463</c:v>
                </c:pt>
                <c:pt idx="269">
                  <c:v>0.19994949597801256</c:v>
                </c:pt>
                <c:pt idx="270">
                  <c:v>0.34923197146421037</c:v>
                </c:pt>
                <c:pt idx="271">
                  <c:v>0.46519057970212513</c:v>
                </c:pt>
                <c:pt idx="272">
                  <c:v>-0.14247614742815362</c:v>
                </c:pt>
                <c:pt idx="273">
                  <c:v>2.2348685114555983E-2</c:v>
                </c:pt>
                <c:pt idx="274">
                  <c:v>0.12487237454090977</c:v>
                </c:pt>
                <c:pt idx="275">
                  <c:v>0.2177808769746758</c:v>
                </c:pt>
                <c:pt idx="276">
                  <c:v>0.3790494074790311</c:v>
                </c:pt>
                <c:pt idx="277">
                  <c:v>-0.13386480875314954</c:v>
                </c:pt>
                <c:pt idx="278">
                  <c:v>2.042283256480637E-2</c:v>
                </c:pt>
                <c:pt idx="279">
                  <c:v>0.13163970475158182</c:v>
                </c:pt>
                <c:pt idx="280">
                  <c:v>0.23732455154536167</c:v>
                </c:pt>
                <c:pt idx="281">
                  <c:v>0.41110599662911196</c:v>
                </c:pt>
                <c:pt idx="282">
                  <c:v>-0.12433146584597965</c:v>
                </c:pt>
                <c:pt idx="283">
                  <c:v>2.2184996943720531E-2</c:v>
                </c:pt>
                <c:pt idx="284">
                  <c:v>0.14051447320720475</c:v>
                </c:pt>
                <c:pt idx="285">
                  <c:v>0.25923909414161722</c:v>
                </c:pt>
                <c:pt idx="286">
                  <c:v>0.44685060270785654</c:v>
                </c:pt>
                <c:pt idx="287">
                  <c:v>-0.11637870162252278</c:v>
                </c:pt>
                <c:pt idx="288">
                  <c:v>2.5659454896657136E-2</c:v>
                </c:pt>
                <c:pt idx="289">
                  <c:v>0.15110153523684997</c:v>
                </c:pt>
                <c:pt idx="290">
                  <c:v>0.27944134316385028</c:v>
                </c:pt>
                <c:pt idx="291">
                  <c:v>-0.11264081388896741</c:v>
                </c:pt>
                <c:pt idx="292">
                  <c:v>2.4260461908145098E-2</c:v>
                </c:pt>
                <c:pt idx="293">
                  <c:v>0.16208374193742359</c:v>
                </c:pt>
                <c:pt idx="294">
                  <c:v>0.30201446021165268</c:v>
                </c:pt>
                <c:pt idx="295">
                  <c:v>-0.10152689229808437</c:v>
                </c:pt>
                <c:pt idx="296">
                  <c:v>2.6154341177368728E-2</c:v>
                </c:pt>
                <c:pt idx="297">
                  <c:v>0.17451481243140074</c:v>
                </c:pt>
                <c:pt idx="298">
                  <c:v>0.32498272193038347</c:v>
                </c:pt>
                <c:pt idx="299">
                  <c:v>-8.448580064327757E-2</c:v>
                </c:pt>
                <c:pt idx="300">
                  <c:v>3.1472807594637123E-2</c:v>
                </c:pt>
                <c:pt idx="301">
                  <c:v>0.18747274248661561</c:v>
                </c:pt>
                <c:pt idx="302">
                  <c:v>0.34781926875880492</c:v>
                </c:pt>
                <c:pt idx="303">
                  <c:v>-8.5884793631789469E-2</c:v>
                </c:pt>
                <c:pt idx="304">
                  <c:v>3.3893546425098384E-2</c:v>
                </c:pt>
                <c:pt idx="305">
                  <c:v>0.19990381298059273</c:v>
                </c:pt>
                <c:pt idx="306">
                  <c:v>0.37790013455424437</c:v>
                </c:pt>
                <c:pt idx="307">
                  <c:v>-8.7810646181539137E-2</c:v>
                </c:pt>
                <c:pt idx="308">
                  <c:v>3.6841144816797219E-2</c:v>
                </c:pt>
                <c:pt idx="309">
                  <c:v>0.21338860259704528</c:v>
                </c:pt>
                <c:pt idx="310">
                  <c:v>-9.0526788073145292E-2</c:v>
                </c:pt>
                <c:pt idx="311">
                  <c:v>3.8339879415092593E-2</c:v>
                </c:pt>
                <c:pt idx="312">
                  <c:v>0.2300345495809239</c:v>
                </c:pt>
                <c:pt idx="313">
                  <c:v>-9.4296649087226792E-2</c:v>
                </c:pt>
                <c:pt idx="314">
                  <c:v>4.1155762916482014E-2</c:v>
                </c:pt>
                <c:pt idx="315">
                  <c:v>0.24220219029428214</c:v>
                </c:pt>
                <c:pt idx="316">
                  <c:v>-9.7803080320689517E-2</c:v>
                </c:pt>
                <c:pt idx="317">
                  <c:v>4.3839931527562076E-2</c:v>
                </c:pt>
                <c:pt idx="318">
                  <c:v>0.25766270326537605</c:v>
                </c:pt>
                <c:pt idx="319">
                  <c:v>-0.10065093710260511</c:v>
                </c:pt>
                <c:pt idx="320">
                  <c:v>4.6128955467713978E-2</c:v>
                </c:pt>
                <c:pt idx="321">
                  <c:v>0.27378179068801711</c:v>
                </c:pt>
                <c:pt idx="322">
                  <c:v>-0.10481594278761483</c:v>
                </c:pt>
                <c:pt idx="323">
                  <c:v>5.2764570788076566E-2</c:v>
                </c:pt>
                <c:pt idx="324">
                  <c:v>0.28937401854942024</c:v>
                </c:pt>
                <c:pt idx="325">
                  <c:v>-0.10871751869200585</c:v>
                </c:pt>
                <c:pt idx="326">
                  <c:v>5.5448739399156712E-2</c:v>
                </c:pt>
                <c:pt idx="327">
                  <c:v>0.30562482086237069</c:v>
                </c:pt>
                <c:pt idx="328">
                  <c:v>0.22075129277674613</c:v>
                </c:pt>
                <c:pt idx="329">
                  <c:v>6.4060078074160698E-2</c:v>
                </c:pt>
                <c:pt idx="330">
                  <c:v>0.32727593367800722</c:v>
                </c:pt>
                <c:pt idx="331">
                  <c:v>0.22053773380101896</c:v>
                </c:pt>
                <c:pt idx="332">
                  <c:v>6.8588255149572577E-2</c:v>
                </c:pt>
                <c:pt idx="333">
                  <c:v>0.22150960883807647</c:v>
                </c:pt>
                <c:pt idx="334">
                  <c:v>7.4565296018388127E-2</c:v>
                </c:pt>
                <c:pt idx="335">
                  <c:v>0.21826660738523262</c:v>
                </c:pt>
                <c:pt idx="336">
                  <c:v>8.093748155813206E-2</c:v>
                </c:pt>
                <c:pt idx="337">
                  <c:v>0.21884333775136194</c:v>
                </c:pt>
                <c:pt idx="338">
                  <c:v>8.6387662865709938E-2</c:v>
                </c:pt>
                <c:pt idx="339">
                  <c:v>0.22047378723996666</c:v>
                </c:pt>
                <c:pt idx="340">
                  <c:v>9.3286707966691446E-2</c:v>
                </c:pt>
                <c:pt idx="341">
                  <c:v>0.21894307936114527</c:v>
                </c:pt>
                <c:pt idx="342">
                  <c:v>0.10097604240952951</c:v>
                </c:pt>
                <c:pt idx="343">
                  <c:v>0.22294439687531964</c:v>
                </c:pt>
                <c:pt idx="344">
                  <c:v>0.10866537685236743</c:v>
                </c:pt>
                <c:pt idx="345">
                  <c:v>0.2228625527899018</c:v>
                </c:pt>
                <c:pt idx="346">
                  <c:v>0.11358869859870774</c:v>
                </c:pt>
                <c:pt idx="347">
                  <c:v>0.22462471716881599</c:v>
                </c:pt>
                <c:pt idx="348">
                  <c:v>0.12075117348030807</c:v>
                </c:pt>
                <c:pt idx="349">
                  <c:v>0.22348915396092284</c:v>
                </c:pt>
                <c:pt idx="350">
                  <c:v>0.12857222281345554</c:v>
                </c:pt>
                <c:pt idx="351">
                  <c:v>0.22235359075302968</c:v>
                </c:pt>
                <c:pt idx="352">
                  <c:v>0.13599812747567472</c:v>
                </c:pt>
                <c:pt idx="353">
                  <c:v>0.22385232535132499</c:v>
                </c:pt>
                <c:pt idx="354">
                  <c:v>0.14434603637005983</c:v>
                </c:pt>
                <c:pt idx="355">
                  <c:v>0.22627306418178622</c:v>
                </c:pt>
                <c:pt idx="356">
                  <c:v>0.15256223037413552</c:v>
                </c:pt>
                <c:pt idx="357">
                  <c:v>0.23185496037967346</c:v>
                </c:pt>
                <c:pt idx="358">
                  <c:v>0.15972470525573601</c:v>
                </c:pt>
                <c:pt idx="359">
                  <c:v>0.2348025587713724</c:v>
                </c:pt>
                <c:pt idx="360">
                  <c:v>0.17320949487218848</c:v>
                </c:pt>
                <c:pt idx="361">
                  <c:v>0.23656472315028654</c:v>
                </c:pt>
                <c:pt idx="362">
                  <c:v>0.18208426332781127</c:v>
                </c:pt>
                <c:pt idx="363">
                  <c:v>0.23766831307765368</c:v>
                </c:pt>
                <c:pt idx="364">
                  <c:v>0.23864018811471122</c:v>
                </c:pt>
                <c:pt idx="365">
                  <c:v>0.24145607161610066</c:v>
                </c:pt>
                <c:pt idx="366">
                  <c:v>0.2392667892857322</c:v>
                </c:pt>
                <c:pt idx="367">
                  <c:v>0.24603411949640436</c:v>
                </c:pt>
                <c:pt idx="368">
                  <c:v>0.24964029233965024</c:v>
                </c:pt>
                <c:pt idx="369">
                  <c:v>0.2490315886929948</c:v>
                </c:pt>
                <c:pt idx="370">
                  <c:v>0.25514034445211992</c:v>
                </c:pt>
                <c:pt idx="371">
                  <c:v>0.25861480240505641</c:v>
                </c:pt>
                <c:pt idx="372">
                  <c:v>0.26037696678397054</c:v>
                </c:pt>
                <c:pt idx="373">
                  <c:v>0.26622229276247672</c:v>
                </c:pt>
                <c:pt idx="374">
                  <c:v>0.26916989115417556</c:v>
                </c:pt>
                <c:pt idx="375">
                  <c:v>0.27053691086216147</c:v>
                </c:pt>
                <c:pt idx="376">
                  <c:v>0.27493337304726401</c:v>
                </c:pt>
                <c:pt idx="377">
                  <c:v>0.27814440121958173</c:v>
                </c:pt>
                <c:pt idx="378">
                  <c:v>0.28359458252715963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84544"/>
        <c:axId val="99694624"/>
      </c:scatterChart>
      <c:valAx>
        <c:axId val="99684544"/>
        <c:scaling>
          <c:orientation val="minMax"/>
          <c:max val="1.1000000000000001"/>
          <c:min val="-1.1000000000000001"/>
        </c:scaling>
        <c:delete val="1"/>
        <c:axPos val="b"/>
        <c:numFmt formatCode="General" sourceLinked="1"/>
        <c:majorTickMark val="out"/>
        <c:minorTickMark val="none"/>
        <c:tickLblPos val="nextTo"/>
        <c:crossAx val="99694624"/>
        <c:crosses val="autoZero"/>
        <c:crossBetween val="midCat"/>
      </c:valAx>
      <c:valAx>
        <c:axId val="99694624"/>
        <c:scaling>
          <c:orientation val="minMax"/>
          <c:max val="1.100000000000000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996845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/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13" horiz="1" max="360" page="10" val="120"/>
</file>

<file path=xl/ctrlProps/ctrlProp2.xml><?xml version="1.0" encoding="utf-8"?>
<formControlPr xmlns="http://schemas.microsoft.com/office/spreadsheetml/2009/9/main" objectType="Scroll" dx="16" fmlaLink="$D$13" horiz="1" max="360" page="10" val="180"/>
</file>

<file path=xl/ctrlProps/ctrlProp3.xml><?xml version="1.0" encoding="utf-8"?>
<formControlPr xmlns="http://schemas.microsoft.com/office/spreadsheetml/2009/9/main" objectType="Scroll" dx="16" fmlaLink="$E$13" horiz="1" max="360" page="10" val="70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checked="Checked" fmlaLink="$D$19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9</xdr:row>
      <xdr:rowOff>88900</xdr:rowOff>
    </xdr:from>
    <xdr:to>
      <xdr:col>0</xdr:col>
      <xdr:colOff>10922000</xdr:colOff>
      <xdr:row>71</xdr:row>
      <xdr:rowOff>25400</xdr:rowOff>
    </xdr:to>
    <xdr:graphicFrame macro="">
      <xdr:nvGraphicFramePr>
        <xdr:cNvPr id="44590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5</xdr:col>
          <xdr:colOff>952500</xdr:colOff>
          <xdr:row>10</xdr:row>
          <xdr:rowOff>0</xdr:rowOff>
        </xdr:to>
        <xdr:sp macro="" textlink="">
          <xdr:nvSpPr>
            <xdr:cNvPr id="1069" name="Slider rot x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0</xdr:rowOff>
        </xdr:from>
        <xdr:to>
          <xdr:col>5</xdr:col>
          <xdr:colOff>952500</xdr:colOff>
          <xdr:row>10</xdr:row>
          <xdr:rowOff>190500</xdr:rowOff>
        </xdr:to>
        <xdr:sp macro="" textlink="">
          <xdr:nvSpPr>
            <xdr:cNvPr id="1070" name="Slider rot y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0</xdr:rowOff>
        </xdr:from>
        <xdr:to>
          <xdr:col>5</xdr:col>
          <xdr:colOff>952500</xdr:colOff>
          <xdr:row>11</xdr:row>
          <xdr:rowOff>190500</xdr:rowOff>
        </xdr:to>
        <xdr:sp macro="" textlink="">
          <xdr:nvSpPr>
            <xdr:cNvPr id="1071" name="Slider rot z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0</xdr:rowOff>
        </xdr:from>
        <xdr:to>
          <xdr:col>5</xdr:col>
          <xdr:colOff>952500</xdr:colOff>
          <xdr:row>15</xdr:row>
          <xdr:rowOff>190500</xdr:rowOff>
        </xdr:to>
        <xdr:sp macro="" textlink="">
          <xdr:nvSpPr>
            <xdr:cNvPr id="1072" name="Slider proj x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0</xdr:rowOff>
        </xdr:from>
        <xdr:to>
          <xdr:col>5</xdr:col>
          <xdr:colOff>952500</xdr:colOff>
          <xdr:row>16</xdr:row>
          <xdr:rowOff>190500</xdr:rowOff>
        </xdr:to>
        <xdr:sp macro="" textlink="">
          <xdr:nvSpPr>
            <xdr:cNvPr id="1073" name="Slider proj y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0</xdr:rowOff>
        </xdr:from>
        <xdr:to>
          <xdr:col>5</xdr:col>
          <xdr:colOff>952500</xdr:colOff>
          <xdr:row>17</xdr:row>
          <xdr:rowOff>190500</xdr:rowOff>
        </xdr:to>
        <xdr:sp macro="" textlink="">
          <xdr:nvSpPr>
            <xdr:cNvPr id="1074" name="Slider proj z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9525</xdr:rowOff>
        </xdr:from>
        <xdr:to>
          <xdr:col>5</xdr:col>
          <xdr:colOff>952500</xdr:colOff>
          <xdr:row>20</xdr:row>
          <xdr:rowOff>0</xdr:rowOff>
        </xdr:to>
        <xdr:sp macro="" textlink="">
          <xdr:nvSpPr>
            <xdr:cNvPr id="1125" name="Slider zo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0</xdr:rowOff>
        </xdr:from>
        <xdr:to>
          <xdr:col>5</xdr:col>
          <xdr:colOff>952500</xdr:colOff>
          <xdr:row>20</xdr:row>
          <xdr:rowOff>190500</xdr:rowOff>
        </xdr:to>
        <xdr:sp macro="" textlink="">
          <xdr:nvSpPr>
            <xdr:cNvPr id="1126" name="Slider shift x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9525</xdr:rowOff>
        </xdr:from>
        <xdr:to>
          <xdr:col>5</xdr:col>
          <xdr:colOff>952500</xdr:colOff>
          <xdr:row>22</xdr:row>
          <xdr:rowOff>0</xdr:rowOff>
        </xdr:to>
        <xdr:sp macro="" textlink="">
          <xdr:nvSpPr>
            <xdr:cNvPr id="1128" name="Slider shift y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180975</xdr:rowOff>
        </xdr:from>
        <xdr:to>
          <xdr:col>3</xdr:col>
          <xdr:colOff>257175</xdr:colOff>
          <xdr:row>23</xdr:row>
          <xdr:rowOff>38100</xdr:rowOff>
        </xdr:to>
        <xdr:sp macro="" textlink="">
          <xdr:nvSpPr>
            <xdr:cNvPr id="1225" name="ToscaleSwitch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44103" name="AutoShape 71"/>
        <xdr:cNvSpPr>
          <a:spLocks noChangeArrowheads="1"/>
        </xdr:cNvSpPr>
      </xdr:nvSpPr>
      <xdr:spPr bwMode="auto">
        <a:xfrm>
          <a:off x="13220700" y="4635500"/>
          <a:ext cx="774700" cy="27940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190500</xdr:rowOff>
        </xdr:from>
        <xdr:to>
          <xdr:col>2</xdr:col>
          <xdr:colOff>838200</xdr:colOff>
          <xdr:row>19</xdr:row>
          <xdr:rowOff>0</xdr:rowOff>
        </xdr:to>
        <xdr:sp macro="" textlink="">
          <xdr:nvSpPr>
            <xdr:cNvPr id="44104" name="ZdropLines" hidden="1">
              <a:extLst>
                <a:ext uri="{63B3BB69-23CF-44E3-9099-C40C66FF867C}">
                  <a14:compatExt spid="_x0000_s4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tables/table1.xml><?xml version="1.0" encoding="utf-8"?>
<table xmlns="http://schemas.openxmlformats.org/spreadsheetml/2006/main" id="1" name="scatterlist" displayName="scatterlist" ref="B32:R411" totalsRowShown="0">
  <tableColumns count="17">
    <tableColumn id="1" name="labels" dataDxfId="16"/>
    <tableColumn id="2" name="gridSize" dataDxfId="15"/>
    <tableColumn id="3" name="blockSize" dataDxfId="14"/>
    <tableColumn id="4" name="time" dataDxfId="13"/>
    <tableColumn id="5" name="4th dimension" dataDxfId="12"/>
    <tableColumn id="6" name="z drop lines" dataDxfId="11">
      <calculatedColumnFormula>D$19*(L33-R33)</calculatedColumnFormula>
    </tableColumn>
    <tableColumn id="7" name="x norm" dataDxfId="10">
      <calculatedColumnFormula>(C33-H$16)/H$17-0.5</calculatedColumnFormula>
    </tableColumn>
    <tableColumn id="8" name="y norm" dataDxfId="9">
      <calculatedColumnFormula>(D33-I$16)/I$17-0.5</calculatedColumnFormula>
    </tableColumn>
    <tableColumn id="9" name="z norm" dataDxfId="8">
      <calculatedColumnFormula>(E33-J$16)/J$17-0.5</calculatedColumnFormula>
    </tableColumn>
    <tableColumn id="10" name="xs" dataDxfId="7">
      <calculatedColumnFormula>(H33*$H$13+I33*$I$13+J33*$J$13+$D$27)*$C$27</calculatedColumnFormula>
    </tableColumn>
    <tableColumn id="11" name="ys" dataDxfId="6">
      <calculatedColumnFormula>(H33*$H$14+I33*$I$14+J33*$J$14+$E$27)*$C$27</calculatedColumnFormula>
    </tableColumn>
    <tableColumn id="12" name="_xs_cpx" dataDxfId="5">
      <calculatedColumnFormula>(H$27*$H$13+I33*$I$13+J33*$J$13+$D$27)*$C$27</calculatedColumnFormula>
    </tableColumn>
    <tableColumn id="13" name="_ys_cpx" dataDxfId="4">
      <calculatedColumnFormula>(H$27*$H$14+I33*$I$14+J33*$J$14+$E$27)*$C$27</calculatedColumnFormula>
    </tableColumn>
    <tableColumn id="14" name="_xs_cpy" dataDxfId="3">
      <calculatedColumnFormula>(H33*$H$13+I$27*$I$13+J33*$J$13+$D$27)*$C$27</calculatedColumnFormula>
    </tableColumn>
    <tableColumn id="15" name="_ys_cpy" dataDxfId="2">
      <calculatedColumnFormula>(H33*$H$14+I$27*$I$14+J33*$J$14+$E$27)*$C$27</calculatedColumnFormula>
    </tableColumn>
    <tableColumn id="16" name="_xs_cpz" dataDxfId="1">
      <calculatedColumnFormula>(H33*$H$13+I33*$I$13+J$27*$J$13+$D$27)*$C$27</calculatedColumnFormula>
    </tableColumn>
    <tableColumn id="17" name="_ys_cpz" dataDxfId="0">
      <calculatedColumnFormula>(H33*$H$14+I33*$I$14+J$27*$J$14+$E$27)*$C$27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J2154"/>
  <sheetViews>
    <sheetView tabSelected="1" topLeftCell="A19" zoomScale="85" zoomScaleNormal="85" workbookViewId="0">
      <selection activeCell="E33" sqref="E33:E411"/>
    </sheetView>
  </sheetViews>
  <sheetFormatPr baseColWidth="10" defaultRowHeight="12.75"/>
  <cols>
    <col min="1" max="1" width="147.25" style="80" customWidth="1"/>
    <col min="6" max="6" width="13.25" style="5" customWidth="1"/>
    <col min="7" max="7" width="20.75" style="5" customWidth="1"/>
    <col min="9" max="9" width="12.75" customWidth="1"/>
    <col min="10" max="10" width="12" customWidth="1"/>
    <col min="18" max="18" width="9.625" customWidth="1"/>
    <col min="19" max="21" width="10.75" style="10"/>
  </cols>
  <sheetData>
    <row r="1" spans="2:36">
      <c r="F1"/>
      <c r="G1" s="1"/>
      <c r="H1" s="14"/>
    </row>
    <row r="2" spans="2:36">
      <c r="F2"/>
      <c r="G2" s="1"/>
      <c r="H2" s="14"/>
    </row>
    <row r="3" spans="2:36">
      <c r="F3"/>
      <c r="G3" s="1"/>
      <c r="H3" s="14"/>
    </row>
    <row r="4" spans="2:36">
      <c r="B4" s="79"/>
      <c r="G4" s="1"/>
      <c r="H4" s="14"/>
      <c r="P4" s="10"/>
      <c r="Q4" s="10"/>
      <c r="R4" s="10"/>
      <c r="S4"/>
      <c r="T4"/>
      <c r="U4"/>
      <c r="V4" s="10"/>
      <c r="W4" s="10"/>
      <c r="X4" s="10"/>
    </row>
    <row r="5" spans="2:36">
      <c r="F5"/>
      <c r="G5" s="1"/>
      <c r="H5" s="14"/>
      <c r="P5" s="10"/>
      <c r="Q5" s="10"/>
      <c r="R5" s="10"/>
      <c r="S5"/>
      <c r="T5"/>
      <c r="U5"/>
      <c r="V5" s="17"/>
      <c r="W5" s="17"/>
      <c r="X5" s="11"/>
      <c r="Y5" s="17"/>
      <c r="Z5" s="17"/>
      <c r="AA5" s="11"/>
      <c r="AB5" s="11"/>
      <c r="AC5" s="11"/>
    </row>
    <row r="6" spans="2:36">
      <c r="F6"/>
      <c r="G6" s="1"/>
      <c r="H6" s="14"/>
      <c r="P6" s="10"/>
      <c r="Q6" s="10"/>
      <c r="R6" s="10"/>
      <c r="S6" s="2" t="s">
        <v>64</v>
      </c>
      <c r="T6" t="s">
        <v>75</v>
      </c>
      <c r="U6" t="s">
        <v>76</v>
      </c>
      <c r="V6" s="10"/>
      <c r="W6" s="10"/>
      <c r="X6" s="10"/>
    </row>
    <row r="7" spans="2:36">
      <c r="F7"/>
      <c r="G7" s="1"/>
      <c r="P7" s="10"/>
      <c r="Q7" s="10"/>
      <c r="R7" s="10"/>
      <c r="S7"/>
      <c r="T7" t="s">
        <v>79</v>
      </c>
      <c r="U7" t="s">
        <v>80</v>
      </c>
      <c r="V7" s="10"/>
      <c r="W7" s="10"/>
    </row>
    <row r="8" spans="2:36">
      <c r="F8"/>
      <c r="G8" s="26" t="s">
        <v>14</v>
      </c>
      <c r="H8" s="44">
        <f t="array" ref="H8">1+MAX(IF(H33:H65907&lt;&gt;0,ROW(H33:H65907),0))-ROW(H33)</f>
        <v>379</v>
      </c>
      <c r="I8" s="45" t="s">
        <v>5</v>
      </c>
      <c r="J8" s="6"/>
      <c r="K8" s="19" t="s">
        <v>63</v>
      </c>
      <c r="L8" s="6"/>
      <c r="M8" s="6"/>
      <c r="N8" s="20" t="s">
        <v>53</v>
      </c>
      <c r="O8" s="7"/>
      <c r="P8" s="10"/>
      <c r="Q8" s="10"/>
      <c r="R8" s="10"/>
      <c r="S8" s="3" t="s">
        <v>65</v>
      </c>
      <c r="T8" t="s">
        <v>11</v>
      </c>
      <c r="U8" t="s">
        <v>12</v>
      </c>
      <c r="V8" s="36" t="s">
        <v>73</v>
      </c>
      <c r="W8" s="37" t="s">
        <v>74</v>
      </c>
      <c r="X8" s="37" t="s">
        <v>66</v>
      </c>
      <c r="Y8" s="37" t="s">
        <v>67</v>
      </c>
      <c r="Z8" s="38" t="s">
        <v>68</v>
      </c>
      <c r="AA8" s="36" t="s">
        <v>77</v>
      </c>
      <c r="AB8" s="37" t="s">
        <v>78</v>
      </c>
      <c r="AC8" s="37" t="s">
        <v>81</v>
      </c>
      <c r="AD8" s="37" t="s">
        <v>69</v>
      </c>
      <c r="AE8" s="38" t="s">
        <v>70</v>
      </c>
      <c r="AF8" s="36" t="s">
        <v>8</v>
      </c>
      <c r="AG8" s="37" t="s">
        <v>7</v>
      </c>
      <c r="AH8" s="37" t="s">
        <v>6</v>
      </c>
      <c r="AI8" s="12" t="s">
        <v>71</v>
      </c>
      <c r="AJ8" s="13" t="s">
        <v>72</v>
      </c>
    </row>
    <row r="9" spans="2:36">
      <c r="F9"/>
      <c r="G9" s="1"/>
      <c r="H9" s="39"/>
      <c r="I9" s="39"/>
      <c r="J9" s="39"/>
      <c r="K9" s="61" t="s">
        <v>35</v>
      </c>
      <c r="L9" s="62" t="s">
        <v>36</v>
      </c>
      <c r="M9" s="62" t="s">
        <v>37</v>
      </c>
      <c r="N9" s="5" t="s">
        <v>9</v>
      </c>
      <c r="O9" s="4" t="s">
        <v>10</v>
      </c>
      <c r="P9" s="10"/>
      <c r="Q9" s="10"/>
      <c r="R9" s="10"/>
      <c r="S9" s="66">
        <v>0</v>
      </c>
      <c r="T9" s="67">
        <v>0.5</v>
      </c>
      <c r="U9" s="68">
        <v>-0.5</v>
      </c>
      <c r="V9" s="39">
        <f t="shared" ref="V9:V29" si="0">IF($S9&gt;H$23,H$23,$S9)</f>
        <v>0</v>
      </c>
      <c r="W9" s="39">
        <f t="shared" ref="W9:W29" si="1">H$24+V9*H$25</f>
        <v>-0.3888888888888889</v>
      </c>
      <c r="X9" s="40"/>
      <c r="Y9" s="40">
        <f t="shared" ref="Y9:Y29" si="2">(W9*$H$13+T9*$I$13+U9*$J$13+$D$27)*$C$27</f>
        <v>0.6028541439084919</v>
      </c>
      <c r="Z9" s="41">
        <f t="shared" ref="Z9:Z29" si="3">(W9*$H$14+T9*$I$14+U9*$J$14+$E$27)*$C$27</f>
        <v>-0.33579972812637671</v>
      </c>
      <c r="AA9" s="39">
        <f t="shared" ref="AA9:AA29" si="4">IF($S9&gt;I$23,I$23,$S9)</f>
        <v>0</v>
      </c>
      <c r="AB9" s="39">
        <f t="shared" ref="AB9:AB29" si="5">I$24+AA9*I$25</f>
        <v>-0.25531914893617025</v>
      </c>
      <c r="AC9" s="40"/>
      <c r="AD9" s="40">
        <f t="shared" ref="AD9:AD29" si="6">(T9*$H$13+AB9*$I$13+U9*$J$13+$D$27)*$C$27</f>
        <v>-0.41093159186349193</v>
      </c>
      <c r="AE9" s="41">
        <f t="shared" ref="AE9:AE29" si="7">(T9*$H$14+AB9*$I$14+U9*$J$14+$E$27)*$C$27</f>
        <v>-0.62427371113222785</v>
      </c>
      <c r="AF9" s="39">
        <f t="shared" ref="AF9:AF29" si="8">IF($S9&gt;J$23,J$23,$S9)</f>
        <v>0</v>
      </c>
      <c r="AG9" s="39">
        <f t="shared" ref="AG9:AG29" si="9">J$24+AF9*J$25</f>
        <v>-0.47673003802281366</v>
      </c>
      <c r="AH9" s="39"/>
      <c r="AI9" s="40">
        <f t="shared" ref="AI9:AI29" si="10">(U9*$H$13+T9*$I$13+AG9*$J$13+$D$27)*$C$27</f>
        <v>0.64085638205578843</v>
      </c>
      <c r="AJ9" s="41">
        <f t="shared" ref="AJ9:AJ29" si="11">(U9*$H$14+T9*$I$14+AG9*$J$14+$E$27)*$C$27</f>
        <v>-0.2634422043098183</v>
      </c>
    </row>
    <row r="10" spans="2:36" ht="15.95" customHeight="1">
      <c r="B10" t="s">
        <v>44</v>
      </c>
      <c r="F10"/>
      <c r="G10" s="2" t="s">
        <v>25</v>
      </c>
      <c r="H10" s="39"/>
      <c r="I10" s="39"/>
      <c r="J10" s="39"/>
      <c r="K10" s="57">
        <v>0.5</v>
      </c>
      <c r="L10" s="63">
        <v>-0.5</v>
      </c>
      <c r="M10" s="63">
        <v>-0.5</v>
      </c>
      <c r="N10" s="50">
        <f t="shared" ref="N10:N20" si="12">(K10*$H$13+L10*$I$13+M10*$J$13+$D$27)*$C$27</f>
        <v>-0.64085638205578865</v>
      </c>
      <c r="O10" s="51">
        <f t="shared" ref="O10:O20" si="13">(K10*$H$14+L10*$I$14+M10*$J$14+$E$27)*$C$27</f>
        <v>-0.58243082125727907</v>
      </c>
      <c r="P10" s="15"/>
      <c r="Q10" s="15"/>
      <c r="R10" s="15"/>
      <c r="S10" s="69">
        <v>0</v>
      </c>
      <c r="T10" s="70">
        <v>0.6</v>
      </c>
      <c r="U10" s="71">
        <v>-0.5</v>
      </c>
      <c r="V10" s="39">
        <f t="shared" si="0"/>
        <v>0</v>
      </c>
      <c r="W10" s="39">
        <f t="shared" si="1"/>
        <v>-0.3888888888888889</v>
      </c>
      <c r="X10" s="40">
        <f>H$22+V10*H$21</f>
        <v>7</v>
      </c>
      <c r="Y10" s="40">
        <f t="shared" si="2"/>
        <v>0.69682340598708281</v>
      </c>
      <c r="Z10" s="41">
        <f t="shared" si="3"/>
        <v>-0.35290073529266019</v>
      </c>
      <c r="AA10" s="39">
        <f t="shared" si="4"/>
        <v>0</v>
      </c>
      <c r="AB10" s="39">
        <f t="shared" si="5"/>
        <v>-0.25531914893617025</v>
      </c>
      <c r="AC10" s="40">
        <f>I$22+AA10*I$21</f>
        <v>200</v>
      </c>
      <c r="AD10" s="40">
        <f t="shared" si="6"/>
        <v>-0.4451336061960588</v>
      </c>
      <c r="AE10" s="41">
        <f t="shared" si="7"/>
        <v>-0.67125834217152325</v>
      </c>
      <c r="AF10" s="39">
        <f t="shared" si="8"/>
        <v>0</v>
      </c>
      <c r="AG10" s="39">
        <f t="shared" si="9"/>
        <v>-0.47673003802281366</v>
      </c>
      <c r="AH10" s="39">
        <f>J$22+AF10*J$21</f>
        <v>0.3</v>
      </c>
      <c r="AI10" s="40">
        <f t="shared" si="10"/>
        <v>0.73482564413437934</v>
      </c>
      <c r="AJ10" s="41">
        <f t="shared" si="11"/>
        <v>-0.28054321147610173</v>
      </c>
    </row>
    <row r="11" spans="2:36" ht="15.95" customHeight="1">
      <c r="B11" t="s">
        <v>45</v>
      </c>
      <c r="F11"/>
      <c r="G11" s="1" t="s">
        <v>40</v>
      </c>
      <c r="H11" s="46">
        <f>SIN(RADIANS(C13))</f>
        <v>0.86602540378443871</v>
      </c>
      <c r="I11" s="45">
        <f>SIN(RADIANS(D13))</f>
        <v>1.22514845490862E-16</v>
      </c>
      <c r="J11" s="47">
        <f>SIN(RADIANS(E13))</f>
        <v>0.93969262078590832</v>
      </c>
      <c r="K11" s="57">
        <v>-0.5</v>
      </c>
      <c r="L11" s="63">
        <v>-0.5</v>
      </c>
      <c r="M11" s="63">
        <v>-0.5</v>
      </c>
      <c r="N11" s="50">
        <f t="shared" si="12"/>
        <v>-0.29883623873011983</v>
      </c>
      <c r="O11" s="51">
        <f t="shared" si="13"/>
        <v>-0.11258451086432519</v>
      </c>
      <c r="P11" s="15"/>
      <c r="Q11" s="15"/>
      <c r="R11" s="15"/>
      <c r="S11" s="69">
        <v>0</v>
      </c>
      <c r="T11" s="70">
        <v>0.5</v>
      </c>
      <c r="U11" s="71">
        <v>-0.5</v>
      </c>
      <c r="V11" s="39">
        <f t="shared" si="0"/>
        <v>0</v>
      </c>
      <c r="W11" s="39">
        <f t="shared" si="1"/>
        <v>-0.3888888888888889</v>
      </c>
      <c r="X11" s="40"/>
      <c r="Y11" s="40">
        <f t="shared" si="2"/>
        <v>0.6028541439084919</v>
      </c>
      <c r="Z11" s="41">
        <f t="shared" si="3"/>
        <v>-0.33579972812637671</v>
      </c>
      <c r="AA11" s="39">
        <f t="shared" si="4"/>
        <v>0</v>
      </c>
      <c r="AB11" s="39">
        <f t="shared" si="5"/>
        <v>-0.25531914893617025</v>
      </c>
      <c r="AC11" s="40"/>
      <c r="AD11" s="40">
        <f t="shared" si="6"/>
        <v>-0.41093159186349193</v>
      </c>
      <c r="AE11" s="41">
        <f t="shared" si="7"/>
        <v>-0.62427371113222785</v>
      </c>
      <c r="AF11" s="39">
        <f t="shared" si="8"/>
        <v>0</v>
      </c>
      <c r="AG11" s="39">
        <f t="shared" si="9"/>
        <v>-0.47673003802281366</v>
      </c>
      <c r="AH11" s="39"/>
      <c r="AI11" s="40">
        <f t="shared" si="10"/>
        <v>0.64085638205578843</v>
      </c>
      <c r="AJ11" s="41">
        <f t="shared" si="11"/>
        <v>-0.2634422043098183</v>
      </c>
    </row>
    <row r="12" spans="2:36" ht="15.95" customHeight="1">
      <c r="B12" t="s">
        <v>46</v>
      </c>
      <c r="F12"/>
      <c r="G12" s="1" t="s">
        <v>41</v>
      </c>
      <c r="H12" s="48">
        <f>COS(RADIANS(C13))</f>
        <v>-0.49999999999999978</v>
      </c>
      <c r="I12" s="42">
        <f>COS(RADIANS(D13))</f>
        <v>-1</v>
      </c>
      <c r="J12" s="43">
        <f>COS(RADIANS(E13))</f>
        <v>0.34202014332566882</v>
      </c>
      <c r="K12" s="57">
        <v>-0.5</v>
      </c>
      <c r="L12" s="63">
        <v>-0.5</v>
      </c>
      <c r="M12" s="63">
        <v>0.5</v>
      </c>
      <c r="N12" s="50">
        <f t="shared" si="12"/>
        <v>-0.29883623873011972</v>
      </c>
      <c r="O12" s="51">
        <f t="shared" si="13"/>
        <v>0.75344089292011351</v>
      </c>
      <c r="P12" s="15"/>
      <c r="Q12" s="15"/>
      <c r="R12" s="15"/>
      <c r="S12" s="69">
        <v>1</v>
      </c>
      <c r="T12" s="70">
        <v>0.5</v>
      </c>
      <c r="U12" s="71">
        <v>-0.5</v>
      </c>
      <c r="V12" s="39">
        <f t="shared" si="0"/>
        <v>1</v>
      </c>
      <c r="W12" s="39">
        <f t="shared" si="1"/>
        <v>-0.19444444444444445</v>
      </c>
      <c r="X12" s="40"/>
      <c r="Y12" s="40">
        <f t="shared" si="2"/>
        <v>0.536350227150723</v>
      </c>
      <c r="Z12" s="41">
        <f t="shared" si="3"/>
        <v>-0.42715873292500667</v>
      </c>
      <c r="AA12" s="39">
        <f t="shared" si="4"/>
        <v>1</v>
      </c>
      <c r="AB12" s="39">
        <f t="shared" si="5"/>
        <v>1.0638297872340385E-2</v>
      </c>
      <c r="AC12" s="40"/>
      <c r="AD12" s="40">
        <f t="shared" si="6"/>
        <v>-0.16101334165447378</v>
      </c>
      <c r="AE12" s="41">
        <f t="shared" si="7"/>
        <v>-0.66975511317021574</v>
      </c>
      <c r="AF12" s="39">
        <f t="shared" si="8"/>
        <v>1</v>
      </c>
      <c r="AG12" s="39">
        <f t="shared" si="9"/>
        <v>-0.2942205323193916</v>
      </c>
      <c r="AH12" s="39"/>
      <c r="AI12" s="40">
        <f t="shared" si="10"/>
        <v>0.64085638205578854</v>
      </c>
      <c r="AJ12" s="41">
        <f t="shared" si="11"/>
        <v>-0.10538433593851387</v>
      </c>
    </row>
    <row r="13" spans="2:36" ht="15.95" customHeight="1">
      <c r="B13" t="s">
        <v>50</v>
      </c>
      <c r="C13" s="27">
        <v>120</v>
      </c>
      <c r="D13" s="28">
        <v>180</v>
      </c>
      <c r="E13" s="21">
        <v>70</v>
      </c>
      <c r="F13"/>
      <c r="G13" s="1" t="s">
        <v>42</v>
      </c>
      <c r="H13" s="39">
        <f>I12*J12*H18</f>
        <v>-0.34202014332566882</v>
      </c>
      <c r="I13" s="39">
        <f>-J11*I12*I18</f>
        <v>0.93969262078590832</v>
      </c>
      <c r="J13" s="39">
        <f>I11*J18</f>
        <v>1.22514845490862E-16</v>
      </c>
      <c r="K13" s="57">
        <v>0.5</v>
      </c>
      <c r="L13" s="63">
        <v>-0.5</v>
      </c>
      <c r="M13" s="63">
        <v>0.5</v>
      </c>
      <c r="N13" s="50">
        <f t="shared" si="12"/>
        <v>-0.64085638205578843</v>
      </c>
      <c r="O13" s="51">
        <f t="shared" si="13"/>
        <v>0.28359458252715963</v>
      </c>
      <c r="P13" s="15"/>
      <c r="Q13" s="15"/>
      <c r="R13" s="15"/>
      <c r="S13" s="69">
        <v>1</v>
      </c>
      <c r="T13" s="70">
        <v>0.6</v>
      </c>
      <c r="U13" s="71">
        <v>-0.5</v>
      </c>
      <c r="V13" s="39">
        <f t="shared" si="0"/>
        <v>1</v>
      </c>
      <c r="W13" s="39">
        <f t="shared" si="1"/>
        <v>-0.19444444444444445</v>
      </c>
      <c r="X13" s="40">
        <f>H$22+V13*H$21</f>
        <v>14</v>
      </c>
      <c r="Y13" s="40">
        <f t="shared" si="2"/>
        <v>0.6303194892293138</v>
      </c>
      <c r="Z13" s="41">
        <f t="shared" si="3"/>
        <v>-0.4442597400912901</v>
      </c>
      <c r="AA13" s="39">
        <f t="shared" si="4"/>
        <v>1</v>
      </c>
      <c r="AB13" s="39">
        <f t="shared" si="5"/>
        <v>1.0638297872340385E-2</v>
      </c>
      <c r="AC13" s="40">
        <f>I$22+AA13*I$21</f>
        <v>400</v>
      </c>
      <c r="AD13" s="40">
        <f t="shared" si="6"/>
        <v>-0.19521535598704065</v>
      </c>
      <c r="AE13" s="41">
        <f t="shared" si="7"/>
        <v>-0.71673974420951114</v>
      </c>
      <c r="AF13" s="39">
        <f t="shared" si="8"/>
        <v>1</v>
      </c>
      <c r="AG13" s="39">
        <f t="shared" si="9"/>
        <v>-0.2942205323193916</v>
      </c>
      <c r="AH13" s="39">
        <f>J$22+AF13*J$21</f>
        <v>0.6</v>
      </c>
      <c r="AI13" s="40">
        <f t="shared" si="10"/>
        <v>0.73482564413437945</v>
      </c>
      <c r="AJ13" s="41">
        <f t="shared" si="11"/>
        <v>-0.12248534310479731</v>
      </c>
    </row>
    <row r="14" spans="2:36" ht="15.95" customHeight="1">
      <c r="B14" t="s">
        <v>51</v>
      </c>
      <c r="C14" s="29">
        <v>0</v>
      </c>
      <c r="D14" s="30">
        <v>0</v>
      </c>
      <c r="E14" s="23">
        <v>0</v>
      </c>
      <c r="G14" s="1" t="s">
        <v>43</v>
      </c>
      <c r="H14" s="39">
        <f>(J12*I11*H11+J11*H12)*H18</f>
        <v>-0.46984631039295388</v>
      </c>
      <c r="I14" s="39">
        <f>(-J11*I11*H11+J12*H12)*I18</f>
        <v>-0.17101007166283444</v>
      </c>
      <c r="J14" s="39">
        <f>-I12*H11*J18</f>
        <v>0.86602540378443871</v>
      </c>
      <c r="K14" s="57">
        <v>0.5</v>
      </c>
      <c r="L14" s="63">
        <v>-0.5</v>
      </c>
      <c r="M14" s="63">
        <v>-0.5</v>
      </c>
      <c r="N14" s="50">
        <f t="shared" si="12"/>
        <v>-0.64085638205578865</v>
      </c>
      <c r="O14" s="51">
        <f t="shared" si="13"/>
        <v>-0.58243082125727907</v>
      </c>
      <c r="P14" s="15"/>
      <c r="Q14" s="15"/>
      <c r="R14" s="15"/>
      <c r="S14" s="69">
        <v>1</v>
      </c>
      <c r="T14" s="70">
        <v>0.5</v>
      </c>
      <c r="U14" s="71">
        <v>-0.5</v>
      </c>
      <c r="V14" s="39">
        <f t="shared" si="0"/>
        <v>1</v>
      </c>
      <c r="W14" s="39">
        <f t="shared" si="1"/>
        <v>-0.19444444444444445</v>
      </c>
      <c r="X14" s="40"/>
      <c r="Y14" s="40">
        <f t="shared" si="2"/>
        <v>0.536350227150723</v>
      </c>
      <c r="Z14" s="41">
        <f t="shared" si="3"/>
        <v>-0.42715873292500667</v>
      </c>
      <c r="AA14" s="39">
        <f t="shared" si="4"/>
        <v>1</v>
      </c>
      <c r="AB14" s="39">
        <f t="shared" si="5"/>
        <v>1.0638297872340385E-2</v>
      </c>
      <c r="AC14" s="40"/>
      <c r="AD14" s="40">
        <f t="shared" si="6"/>
        <v>-0.16101334165447378</v>
      </c>
      <c r="AE14" s="41">
        <f t="shared" si="7"/>
        <v>-0.66975511317021574</v>
      </c>
      <c r="AF14" s="39">
        <f t="shared" si="8"/>
        <v>1</v>
      </c>
      <c r="AG14" s="39">
        <f t="shared" si="9"/>
        <v>-0.2942205323193916</v>
      </c>
      <c r="AH14" s="39"/>
      <c r="AI14" s="40">
        <f t="shared" si="10"/>
        <v>0.64085638205578854</v>
      </c>
      <c r="AJ14" s="41">
        <f t="shared" si="11"/>
        <v>-0.10538433593851387</v>
      </c>
    </row>
    <row r="15" spans="2:36" ht="15.95" customHeight="1">
      <c r="G15" s="2" t="s">
        <v>13</v>
      </c>
      <c r="H15" s="39"/>
      <c r="I15" s="39"/>
      <c r="J15" s="39"/>
      <c r="K15" s="57">
        <v>0.5</v>
      </c>
      <c r="L15" s="63">
        <v>0.5</v>
      </c>
      <c r="M15" s="63">
        <v>-0.5</v>
      </c>
      <c r="N15" s="50">
        <f t="shared" si="12"/>
        <v>0.29883623873011972</v>
      </c>
      <c r="O15" s="51">
        <f t="shared" si="13"/>
        <v>-0.75344089292011351</v>
      </c>
      <c r="P15" s="15"/>
      <c r="Q15" s="15"/>
      <c r="R15" s="15"/>
      <c r="S15" s="69">
        <v>2</v>
      </c>
      <c r="T15" s="70">
        <v>0.5</v>
      </c>
      <c r="U15" s="71">
        <v>-0.5</v>
      </c>
      <c r="V15" s="39">
        <f t="shared" si="0"/>
        <v>2</v>
      </c>
      <c r="W15" s="39">
        <f t="shared" si="1"/>
        <v>0</v>
      </c>
      <c r="X15" s="40"/>
      <c r="Y15" s="40">
        <f t="shared" si="2"/>
        <v>0.4698463103929541</v>
      </c>
      <c r="Z15" s="41">
        <f t="shared" si="3"/>
        <v>-0.51851773772363652</v>
      </c>
      <c r="AA15" s="39">
        <f t="shared" si="4"/>
        <v>2</v>
      </c>
      <c r="AB15" s="39">
        <f t="shared" si="5"/>
        <v>0.27659574468085102</v>
      </c>
      <c r="AC15" s="40"/>
      <c r="AD15" s="40">
        <f t="shared" si="6"/>
        <v>8.8904908554544387E-2</v>
      </c>
      <c r="AE15" s="41">
        <f t="shared" si="7"/>
        <v>-0.71523651520820364</v>
      </c>
      <c r="AF15" s="39">
        <f t="shared" si="8"/>
        <v>2</v>
      </c>
      <c r="AG15" s="39">
        <f t="shared" si="9"/>
        <v>-0.1117110266159696</v>
      </c>
      <c r="AH15" s="39"/>
      <c r="AI15" s="40">
        <f t="shared" si="10"/>
        <v>0.64085638205578854</v>
      </c>
      <c r="AJ15" s="41">
        <f t="shared" si="11"/>
        <v>5.2673532432790465E-2</v>
      </c>
    </row>
    <row r="16" spans="2:36" ht="15.95" customHeight="1">
      <c r="B16" t="s">
        <v>47</v>
      </c>
      <c r="F16"/>
      <c r="G16" s="1" t="s">
        <v>38</v>
      </c>
      <c r="H16" s="82">
        <f>MIN(C33:C411)</f>
        <v>3</v>
      </c>
      <c r="I16" s="82">
        <f>MIN(D33:D411)</f>
        <v>16</v>
      </c>
      <c r="J16" s="82">
        <f>MIN(E33:E411)</f>
        <v>0.26174999999999998</v>
      </c>
      <c r="K16" s="57">
        <v>-0.5</v>
      </c>
      <c r="L16" s="63">
        <v>0.5</v>
      </c>
      <c r="M16" s="63">
        <v>-0.5</v>
      </c>
      <c r="N16" s="50">
        <f t="shared" si="12"/>
        <v>0.64085638205578843</v>
      </c>
      <c r="O16" s="51">
        <f t="shared" si="13"/>
        <v>-0.28359458252715963</v>
      </c>
      <c r="P16" s="15"/>
      <c r="Q16" s="15"/>
      <c r="R16" s="15"/>
      <c r="S16" s="69">
        <v>2</v>
      </c>
      <c r="T16" s="70">
        <v>0.6</v>
      </c>
      <c r="U16" s="71">
        <v>-0.5</v>
      </c>
      <c r="V16" s="39">
        <f t="shared" si="0"/>
        <v>2</v>
      </c>
      <c r="W16" s="39">
        <f t="shared" si="1"/>
        <v>0</v>
      </c>
      <c r="X16" s="40">
        <f>H$22+V16*H$21</f>
        <v>21</v>
      </c>
      <c r="Y16" s="40">
        <f t="shared" si="2"/>
        <v>0.5638155724715449</v>
      </c>
      <c r="Z16" s="41">
        <f t="shared" si="3"/>
        <v>-0.53561874488992001</v>
      </c>
      <c r="AA16" s="39">
        <f t="shared" si="4"/>
        <v>2</v>
      </c>
      <c r="AB16" s="39">
        <f t="shared" si="5"/>
        <v>0.27659574468085102</v>
      </c>
      <c r="AC16" s="40">
        <f>I$22+AA16*I$21</f>
        <v>600</v>
      </c>
      <c r="AD16" s="40">
        <f t="shared" si="6"/>
        <v>5.4702894221977515E-2</v>
      </c>
      <c r="AE16" s="41">
        <f t="shared" si="7"/>
        <v>-0.76222114624749904</v>
      </c>
      <c r="AF16" s="39">
        <f t="shared" si="8"/>
        <v>2</v>
      </c>
      <c r="AG16" s="39">
        <f t="shared" si="9"/>
        <v>-0.1117110266159696</v>
      </c>
      <c r="AH16" s="39">
        <f>J$22+AF16*J$21</f>
        <v>0.89999999999999991</v>
      </c>
      <c r="AI16" s="40">
        <f t="shared" si="10"/>
        <v>0.73482564413437945</v>
      </c>
      <c r="AJ16" s="41">
        <f t="shared" si="11"/>
        <v>3.5572525266507032E-2</v>
      </c>
    </row>
    <row r="17" spans="2:36" ht="15.95" customHeight="1">
      <c r="B17" t="s">
        <v>48</v>
      </c>
      <c r="F17"/>
      <c r="G17" s="1" t="s">
        <v>39</v>
      </c>
      <c r="H17" s="82">
        <f>MAX(C33:C411)-H16</f>
        <v>189</v>
      </c>
      <c r="I17" s="82">
        <f>MAX(D33:D411)-I16</f>
        <v>752</v>
      </c>
      <c r="J17" s="82">
        <f>MAX(E33:E411)-J16</f>
        <v>1.64375</v>
      </c>
      <c r="K17" s="57">
        <v>-0.5</v>
      </c>
      <c r="L17" s="63">
        <v>0.5</v>
      </c>
      <c r="M17" s="63">
        <v>0.5</v>
      </c>
      <c r="N17" s="50">
        <f t="shared" si="12"/>
        <v>0.64085638205578865</v>
      </c>
      <c r="O17" s="51">
        <f t="shared" si="13"/>
        <v>0.58243082125727907</v>
      </c>
      <c r="P17" s="15"/>
      <c r="Q17" s="15"/>
      <c r="R17" s="15"/>
      <c r="S17" s="69">
        <v>2</v>
      </c>
      <c r="T17" s="70">
        <v>0.5</v>
      </c>
      <c r="U17" s="71">
        <v>-0.5</v>
      </c>
      <c r="V17" s="39">
        <f t="shared" si="0"/>
        <v>2</v>
      </c>
      <c r="W17" s="39">
        <f t="shared" si="1"/>
        <v>0</v>
      </c>
      <c r="X17" s="40"/>
      <c r="Y17" s="40">
        <f t="shared" si="2"/>
        <v>0.4698463103929541</v>
      </c>
      <c r="Z17" s="41">
        <f t="shared" si="3"/>
        <v>-0.51851773772363652</v>
      </c>
      <c r="AA17" s="39">
        <f t="shared" si="4"/>
        <v>2</v>
      </c>
      <c r="AB17" s="39">
        <f t="shared" si="5"/>
        <v>0.27659574468085102</v>
      </c>
      <c r="AC17" s="40"/>
      <c r="AD17" s="40">
        <f t="shared" si="6"/>
        <v>8.8904908554544387E-2</v>
      </c>
      <c r="AE17" s="41">
        <f t="shared" si="7"/>
        <v>-0.71523651520820364</v>
      </c>
      <c r="AF17" s="39">
        <f t="shared" si="8"/>
        <v>2</v>
      </c>
      <c r="AG17" s="39">
        <f t="shared" si="9"/>
        <v>-0.1117110266159696</v>
      </c>
      <c r="AH17" s="39"/>
      <c r="AI17" s="40">
        <f t="shared" si="10"/>
        <v>0.64085638205578854</v>
      </c>
      <c r="AJ17" s="41">
        <f t="shared" si="11"/>
        <v>5.2673532432790465E-2</v>
      </c>
    </row>
    <row r="18" spans="2:36" ht="15.95" customHeight="1">
      <c r="B18" t="s">
        <v>49</v>
      </c>
      <c r="F18"/>
      <c r="G18" s="1" t="s">
        <v>24</v>
      </c>
      <c r="H18" s="49">
        <f>IF(D23,H17/MAX($H17:$J17),1)</f>
        <v>1</v>
      </c>
      <c r="I18" s="49">
        <f>IF(D23,I17/MAX($H17:$J17),1)</f>
        <v>1</v>
      </c>
      <c r="J18" s="49">
        <f>IF(D23,J17/MAX($H17:$J17),1)</f>
        <v>1</v>
      </c>
      <c r="K18" s="57">
        <v>-0.5</v>
      </c>
      <c r="L18" s="63">
        <v>-0.5</v>
      </c>
      <c r="M18" s="63">
        <v>0.5</v>
      </c>
      <c r="N18" s="50">
        <f t="shared" si="12"/>
        <v>-0.29883623873011972</v>
      </c>
      <c r="O18" s="51">
        <f t="shared" si="13"/>
        <v>0.75344089292011351</v>
      </c>
      <c r="P18" s="15"/>
      <c r="Q18" s="15"/>
      <c r="R18" s="15"/>
      <c r="S18" s="69">
        <v>3</v>
      </c>
      <c r="T18" s="70">
        <v>0.5</v>
      </c>
      <c r="U18" s="71">
        <v>-0.5</v>
      </c>
      <c r="V18" s="39">
        <f t="shared" si="0"/>
        <v>3</v>
      </c>
      <c r="W18" s="39">
        <f t="shared" si="1"/>
        <v>0.19444444444444448</v>
      </c>
      <c r="X18" s="40"/>
      <c r="Y18" s="40">
        <f t="shared" si="2"/>
        <v>0.40334239363518515</v>
      </c>
      <c r="Z18" s="41">
        <f t="shared" si="3"/>
        <v>-0.60987674252226654</v>
      </c>
      <c r="AA18" s="39">
        <f t="shared" si="4"/>
        <v>2</v>
      </c>
      <c r="AB18" s="39">
        <f t="shared" si="5"/>
        <v>0.27659574468085102</v>
      </c>
      <c r="AC18" s="40"/>
      <c r="AD18" s="40">
        <f t="shared" si="6"/>
        <v>8.8904908554544387E-2</v>
      </c>
      <c r="AE18" s="41">
        <f t="shared" si="7"/>
        <v>-0.71523651520820364</v>
      </c>
      <c r="AF18" s="39">
        <f t="shared" si="8"/>
        <v>3</v>
      </c>
      <c r="AG18" s="39">
        <f t="shared" si="9"/>
        <v>7.0798479087452404E-2</v>
      </c>
      <c r="AH18" s="39"/>
      <c r="AI18" s="40">
        <f t="shared" si="10"/>
        <v>0.64085638205578854</v>
      </c>
      <c r="AJ18" s="41">
        <f t="shared" si="11"/>
        <v>0.21073140080409483</v>
      </c>
    </row>
    <row r="19" spans="2:36" ht="15.95" customHeight="1">
      <c r="B19" s="32"/>
      <c r="D19" t="b">
        <v>1</v>
      </c>
      <c r="F19"/>
      <c r="G19" s="2" t="s">
        <v>62</v>
      </c>
      <c r="H19" s="39"/>
      <c r="I19" s="39"/>
      <c r="J19" s="39"/>
      <c r="K19" s="57">
        <v>-0.5</v>
      </c>
      <c r="L19" s="63">
        <v>-0.5</v>
      </c>
      <c r="M19" s="63">
        <v>-0.5</v>
      </c>
      <c r="N19" s="50">
        <f t="shared" si="12"/>
        <v>-0.29883623873011983</v>
      </c>
      <c r="O19" s="51">
        <f t="shared" si="13"/>
        <v>-0.11258451086432519</v>
      </c>
      <c r="P19" s="15"/>
      <c r="Q19" s="15"/>
      <c r="R19" s="15"/>
      <c r="S19" s="69">
        <v>3</v>
      </c>
      <c r="T19" s="70">
        <v>0.6</v>
      </c>
      <c r="U19" s="71">
        <v>-0.5</v>
      </c>
      <c r="V19" s="39">
        <f t="shared" si="0"/>
        <v>3</v>
      </c>
      <c r="W19" s="39">
        <f t="shared" si="1"/>
        <v>0.19444444444444448</v>
      </c>
      <c r="X19" s="40">
        <f>H$22+V19*H$21</f>
        <v>28</v>
      </c>
      <c r="Y19" s="40">
        <f t="shared" si="2"/>
        <v>0.497311655713776</v>
      </c>
      <c r="Z19" s="41">
        <f t="shared" si="3"/>
        <v>-0.62697774968855002</v>
      </c>
      <c r="AA19" s="39">
        <f t="shared" si="4"/>
        <v>2</v>
      </c>
      <c r="AB19" s="39">
        <f t="shared" si="5"/>
        <v>0.27659574468085102</v>
      </c>
      <c r="AC19" s="40">
        <f>I$22+AA19*I$21</f>
        <v>600</v>
      </c>
      <c r="AD19" s="40">
        <f t="shared" si="6"/>
        <v>5.4702894221977515E-2</v>
      </c>
      <c r="AE19" s="41">
        <f t="shared" si="7"/>
        <v>-0.76222114624749904</v>
      </c>
      <c r="AF19" s="39">
        <f t="shared" si="8"/>
        <v>3</v>
      </c>
      <c r="AG19" s="39">
        <f t="shared" si="9"/>
        <v>7.0798479087452404E-2</v>
      </c>
      <c r="AH19" s="39">
        <f>J$22+AF19*J$21</f>
        <v>1.2</v>
      </c>
      <c r="AI19" s="40">
        <f t="shared" si="10"/>
        <v>0.73482564413437945</v>
      </c>
      <c r="AJ19" s="41">
        <f t="shared" si="11"/>
        <v>0.1936303936378114</v>
      </c>
    </row>
    <row r="20" spans="2:36" ht="15.95" customHeight="1">
      <c r="B20" t="s">
        <v>22</v>
      </c>
      <c r="F20"/>
      <c r="G20" s="1" t="s">
        <v>56</v>
      </c>
      <c r="H20" s="39">
        <f>H17/5</f>
        <v>7.2</v>
      </c>
      <c r="I20" s="39">
        <f>I17/5</f>
        <v>150.4</v>
      </c>
      <c r="J20" s="39">
        <f>J17/5</f>
        <v>0.32874999999999999</v>
      </c>
      <c r="K20" s="59">
        <v>-0.5</v>
      </c>
      <c r="L20" s="64">
        <v>0.5</v>
      </c>
      <c r="M20" s="64">
        <v>-0.5</v>
      </c>
      <c r="N20" s="52">
        <f t="shared" si="12"/>
        <v>0.64085638205578843</v>
      </c>
      <c r="O20" s="53">
        <f t="shared" si="13"/>
        <v>-0.28359458252715963</v>
      </c>
      <c r="P20" s="15"/>
      <c r="Q20" s="15"/>
      <c r="R20" s="15"/>
      <c r="S20" s="69">
        <v>3</v>
      </c>
      <c r="T20" s="70">
        <v>0.5</v>
      </c>
      <c r="U20" s="71">
        <v>-0.5</v>
      </c>
      <c r="V20" s="39">
        <f t="shared" si="0"/>
        <v>3</v>
      </c>
      <c r="W20" s="39">
        <f t="shared" si="1"/>
        <v>0.19444444444444448</v>
      </c>
      <c r="X20" s="40"/>
      <c r="Y20" s="40">
        <f t="shared" si="2"/>
        <v>0.40334239363518515</v>
      </c>
      <c r="Z20" s="41">
        <f t="shared" si="3"/>
        <v>-0.60987674252226654</v>
      </c>
      <c r="AA20" s="39">
        <f t="shared" si="4"/>
        <v>2</v>
      </c>
      <c r="AB20" s="39">
        <f t="shared" si="5"/>
        <v>0.27659574468085102</v>
      </c>
      <c r="AC20" s="40"/>
      <c r="AD20" s="40">
        <f t="shared" si="6"/>
        <v>8.8904908554544387E-2</v>
      </c>
      <c r="AE20" s="41">
        <f t="shared" si="7"/>
        <v>-0.71523651520820364</v>
      </c>
      <c r="AF20" s="39">
        <f t="shared" si="8"/>
        <v>3</v>
      </c>
      <c r="AG20" s="39">
        <f t="shared" si="9"/>
        <v>7.0798479087452404E-2</v>
      </c>
      <c r="AH20" s="39"/>
      <c r="AI20" s="40">
        <f t="shared" si="10"/>
        <v>0.64085638205578854</v>
      </c>
      <c r="AJ20" s="41">
        <f t="shared" si="11"/>
        <v>0.21073140080409483</v>
      </c>
    </row>
    <row r="21" spans="2:36" ht="15.95" customHeight="1">
      <c r="B21" t="s">
        <v>20</v>
      </c>
      <c r="F21"/>
      <c r="G21" s="1" t="s">
        <v>57</v>
      </c>
      <c r="H21" s="39">
        <f>ROUND(H20,1-INT(LOG(ABS(H20))+1))</f>
        <v>7</v>
      </c>
      <c r="I21" s="39">
        <f>ROUND(I20,1-INT(LOG(ABS(I20))+1))</f>
        <v>200</v>
      </c>
      <c r="J21" s="39">
        <f>ROUND(J20,1-INT(LOG(ABS(J20))+1))</f>
        <v>0.3</v>
      </c>
      <c r="K21" s="1"/>
      <c r="P21" s="10"/>
      <c r="Q21" s="10"/>
      <c r="R21" s="10"/>
      <c r="S21" s="69">
        <v>4</v>
      </c>
      <c r="T21" s="70">
        <v>0.5</v>
      </c>
      <c r="U21" s="71">
        <v>-0.5</v>
      </c>
      <c r="V21" s="39">
        <f t="shared" si="0"/>
        <v>4</v>
      </c>
      <c r="W21" s="39">
        <f t="shared" si="1"/>
        <v>0.3888888888888889</v>
      </c>
      <c r="X21" s="40"/>
      <c r="Y21" s="40">
        <f t="shared" si="2"/>
        <v>0.33683847687741625</v>
      </c>
      <c r="Z21" s="41">
        <f t="shared" si="3"/>
        <v>-0.70123574732089633</v>
      </c>
      <c r="AA21" s="39">
        <f t="shared" si="4"/>
        <v>2</v>
      </c>
      <c r="AB21" s="39">
        <f t="shared" si="5"/>
        <v>0.27659574468085102</v>
      </c>
      <c r="AC21" s="40"/>
      <c r="AD21" s="40">
        <f t="shared" si="6"/>
        <v>8.8904908554544387E-2</v>
      </c>
      <c r="AE21" s="41">
        <f t="shared" si="7"/>
        <v>-0.71523651520820364</v>
      </c>
      <c r="AF21" s="39">
        <f t="shared" si="8"/>
        <v>4</v>
      </c>
      <c r="AG21" s="39">
        <f t="shared" si="9"/>
        <v>0.25330798479087446</v>
      </c>
      <c r="AH21" s="39"/>
      <c r="AI21" s="40">
        <f t="shared" si="10"/>
        <v>0.64085638205578854</v>
      </c>
      <c r="AJ21" s="41">
        <f t="shared" si="11"/>
        <v>0.36878926917539923</v>
      </c>
    </row>
    <row r="22" spans="2:36" ht="15.95" customHeight="1">
      <c r="B22" t="s">
        <v>21</v>
      </c>
      <c r="F22"/>
      <c r="G22" s="1" t="s">
        <v>58</v>
      </c>
      <c r="H22" s="39">
        <f>H21*(INT(H16/H21)+1)</f>
        <v>7</v>
      </c>
      <c r="I22" s="39">
        <f>I21*(INT(I16/I21)+1)</f>
        <v>200</v>
      </c>
      <c r="J22" s="39">
        <f>J21*(INT(J16/J21)+1)</f>
        <v>0.3</v>
      </c>
      <c r="K22" s="19" t="s">
        <v>16</v>
      </c>
      <c r="L22" s="7"/>
      <c r="M22" s="19" t="s">
        <v>17</v>
      </c>
      <c r="N22" s="20"/>
      <c r="O22" s="19" t="s">
        <v>18</v>
      </c>
      <c r="P22" s="25"/>
      <c r="Q22" s="20" t="s">
        <v>19</v>
      </c>
      <c r="R22" s="21"/>
      <c r="S22" s="69">
        <v>4</v>
      </c>
      <c r="T22" s="70">
        <v>0.6</v>
      </c>
      <c r="U22" s="71">
        <v>-0.5</v>
      </c>
      <c r="V22" s="39">
        <f t="shared" si="0"/>
        <v>4</v>
      </c>
      <c r="W22" s="39">
        <f t="shared" si="1"/>
        <v>0.3888888888888889</v>
      </c>
      <c r="X22" s="40">
        <f>H$22+V22*H$21</f>
        <v>35</v>
      </c>
      <c r="Y22" s="40">
        <f t="shared" si="2"/>
        <v>0.43080773895600705</v>
      </c>
      <c r="Z22" s="41">
        <f t="shared" si="3"/>
        <v>-0.71833675448717993</v>
      </c>
      <c r="AA22" s="39">
        <f t="shared" si="4"/>
        <v>2</v>
      </c>
      <c r="AB22" s="39">
        <f t="shared" si="5"/>
        <v>0.27659574468085102</v>
      </c>
      <c r="AC22" s="40">
        <f>I$22+AA22*I$21</f>
        <v>600</v>
      </c>
      <c r="AD22" s="40">
        <f t="shared" si="6"/>
        <v>5.4702894221977515E-2</v>
      </c>
      <c r="AE22" s="41">
        <f t="shared" si="7"/>
        <v>-0.76222114624749904</v>
      </c>
      <c r="AF22" s="39">
        <f t="shared" si="8"/>
        <v>4</v>
      </c>
      <c r="AG22" s="39">
        <f t="shared" si="9"/>
        <v>0.25330798479087446</v>
      </c>
      <c r="AH22" s="39">
        <f>J$22+AF22*J$21</f>
        <v>1.5</v>
      </c>
      <c r="AI22" s="40">
        <f t="shared" si="10"/>
        <v>0.73482564413437945</v>
      </c>
      <c r="AJ22" s="41">
        <f t="shared" si="11"/>
        <v>0.35168826200911579</v>
      </c>
    </row>
    <row r="23" spans="2:36" ht="15.95" customHeight="1">
      <c r="B23" s="32"/>
      <c r="D23" t="b">
        <v>0</v>
      </c>
      <c r="F23"/>
      <c r="G23" s="1" t="s">
        <v>59</v>
      </c>
      <c r="H23" s="39">
        <f>INT((H17+H16-H22)/H21)</f>
        <v>4</v>
      </c>
      <c r="I23" s="39">
        <f>INT((I17+I16-I22)/I21)</f>
        <v>2</v>
      </c>
      <c r="J23" s="39">
        <f>INT((J17+J16-J22)/J21)</f>
        <v>5</v>
      </c>
      <c r="K23" s="61" t="s">
        <v>32</v>
      </c>
      <c r="L23" s="65" t="s">
        <v>33</v>
      </c>
      <c r="M23" s="1"/>
      <c r="N23" s="5"/>
      <c r="O23" s="1"/>
      <c r="P23" s="22"/>
      <c r="Q23" s="16"/>
      <c r="R23" s="22"/>
      <c r="S23" s="69">
        <v>4</v>
      </c>
      <c r="T23" s="70">
        <v>0.5</v>
      </c>
      <c r="U23" s="71">
        <v>-0.5</v>
      </c>
      <c r="V23" s="39">
        <f t="shared" si="0"/>
        <v>4</v>
      </c>
      <c r="W23" s="39">
        <f t="shared" si="1"/>
        <v>0.3888888888888889</v>
      </c>
      <c r="X23" s="40"/>
      <c r="Y23" s="40">
        <f t="shared" si="2"/>
        <v>0.33683847687741625</v>
      </c>
      <c r="Z23" s="41">
        <f t="shared" si="3"/>
        <v>-0.70123574732089633</v>
      </c>
      <c r="AA23" s="39">
        <f t="shared" si="4"/>
        <v>2</v>
      </c>
      <c r="AB23" s="39">
        <f t="shared" si="5"/>
        <v>0.27659574468085102</v>
      </c>
      <c r="AC23" s="40"/>
      <c r="AD23" s="40">
        <f t="shared" si="6"/>
        <v>8.8904908554544387E-2</v>
      </c>
      <c r="AE23" s="41">
        <f t="shared" si="7"/>
        <v>-0.71523651520820364</v>
      </c>
      <c r="AF23" s="39">
        <f t="shared" si="8"/>
        <v>4</v>
      </c>
      <c r="AG23" s="39">
        <f t="shared" si="9"/>
        <v>0.25330798479087446</v>
      </c>
      <c r="AH23" s="39"/>
      <c r="AI23" s="40">
        <f t="shared" si="10"/>
        <v>0.64085638205578854</v>
      </c>
      <c r="AJ23" s="41">
        <f t="shared" si="11"/>
        <v>0.36878926917539923</v>
      </c>
    </row>
    <row r="24" spans="2:36" ht="15.95" customHeight="1">
      <c r="F24"/>
      <c r="G24" s="1" t="s">
        <v>60</v>
      </c>
      <c r="H24" s="39">
        <f>(H22-H16)/H17-0.5</f>
        <v>-0.3888888888888889</v>
      </c>
      <c r="I24" s="39">
        <f>(I22-I16)/I17-0.5</f>
        <v>-0.25531914893617025</v>
      </c>
      <c r="J24" s="39">
        <f>(J22-J16)/J17-0.5</f>
        <v>-0.47673003802281366</v>
      </c>
      <c r="K24" s="57">
        <v>-0.5</v>
      </c>
      <c r="L24" s="58">
        <v>-0.5</v>
      </c>
      <c r="M24" s="54">
        <f>(H$27*$H$13+K24*$I$13+L24*$J$13+$D$27)*$C$27</f>
        <v>-0.29883623873011983</v>
      </c>
      <c r="N24" s="51">
        <f>(H$27*$H$14+K24*$I$14+L24*$J$14+$E$27)*$C$27</f>
        <v>-0.11258451086432519</v>
      </c>
      <c r="O24" s="54">
        <f>(K24*$H$13+I$27*$I$13+L24*$J$13+$D$27)*$C$27</f>
        <v>-0.29883623873011983</v>
      </c>
      <c r="P24" s="51">
        <f>(K24*$H$14+I$27*$I$14+L24*$J$14+$E$27)*$C$27</f>
        <v>-0.11258451086432519</v>
      </c>
      <c r="Q24" s="54">
        <f>(K24*$H$13+L24*$I$13+J$27*$J$13+$D$27)*$C$27</f>
        <v>-0.29883623873011983</v>
      </c>
      <c r="R24" s="51">
        <f>(K24*$H$14+L24*$I$14+J$27*$J$14+$E$27)*$C$27</f>
        <v>-0.11258451086432519</v>
      </c>
      <c r="S24" s="69">
        <v>5</v>
      </c>
      <c r="T24" s="70">
        <v>0.5</v>
      </c>
      <c r="U24" s="71">
        <v>-0.5</v>
      </c>
      <c r="V24" s="39">
        <f t="shared" si="0"/>
        <v>4</v>
      </c>
      <c r="W24" s="39">
        <f t="shared" si="1"/>
        <v>0.3888888888888889</v>
      </c>
      <c r="X24" s="40"/>
      <c r="Y24" s="40">
        <f t="shared" si="2"/>
        <v>0.33683847687741625</v>
      </c>
      <c r="Z24" s="41">
        <f t="shared" si="3"/>
        <v>-0.70123574732089633</v>
      </c>
      <c r="AA24" s="39">
        <f t="shared" si="4"/>
        <v>2</v>
      </c>
      <c r="AB24" s="39">
        <f t="shared" si="5"/>
        <v>0.27659574468085102</v>
      </c>
      <c r="AC24" s="40"/>
      <c r="AD24" s="40">
        <f t="shared" si="6"/>
        <v>8.8904908554544387E-2</v>
      </c>
      <c r="AE24" s="41">
        <f t="shared" si="7"/>
        <v>-0.71523651520820364</v>
      </c>
      <c r="AF24" s="39">
        <f t="shared" si="8"/>
        <v>5</v>
      </c>
      <c r="AG24" s="39">
        <f t="shared" si="9"/>
        <v>0.43581749049429652</v>
      </c>
      <c r="AH24" s="39"/>
      <c r="AI24" s="40">
        <f t="shared" si="10"/>
        <v>0.64085638205578854</v>
      </c>
      <c r="AJ24" s="41">
        <f t="shared" si="11"/>
        <v>0.52684713754670365</v>
      </c>
    </row>
    <row r="25" spans="2:36" ht="15.95" customHeight="1">
      <c r="B25" s="5"/>
      <c r="C25" s="26" t="s">
        <v>22</v>
      </c>
      <c r="D25" s="6" t="s">
        <v>20</v>
      </c>
      <c r="E25" s="7" t="s">
        <v>21</v>
      </c>
      <c r="F25"/>
      <c r="G25" s="1" t="s">
        <v>61</v>
      </c>
      <c r="H25" s="39">
        <f>H21/H17</f>
        <v>0.19444444444444445</v>
      </c>
      <c r="I25" s="39">
        <f>I21/I17</f>
        <v>0.26595744680851063</v>
      </c>
      <c r="J25" s="39">
        <f>J21/J17</f>
        <v>0.18250950570342203</v>
      </c>
      <c r="K25" s="57">
        <v>0.5</v>
      </c>
      <c r="L25" s="58">
        <v>-0.5</v>
      </c>
      <c r="M25" s="54">
        <f>(H$27*$H$13+K25*$I$13+L25*$J$13+$D$27)*$C$27</f>
        <v>0.64085638205578843</v>
      </c>
      <c r="N25" s="51">
        <f>(H$27*$H$14+K25*$I$14+L25*$J$14+$E$27)*$C$27</f>
        <v>-0.28359458252715963</v>
      </c>
      <c r="O25" s="54">
        <f>(K25*$H$13+I$27*$I$13+L25*$J$13+$D$27)*$C$27</f>
        <v>-0.64085638205578865</v>
      </c>
      <c r="P25" s="51">
        <f>(K25*$H$14+I$27*$I$14+L25*$J$14+$E$27)*$C$27</f>
        <v>-0.58243082125727907</v>
      </c>
      <c r="Q25" s="54">
        <f>(K25*$H$13+L25*$I$13+J$27*$J$13+$D$27)*$C$27</f>
        <v>-0.64085638205578865</v>
      </c>
      <c r="R25" s="51">
        <f>(K25*$H$14+L25*$I$14+J$27*$J$14+$E$27)*$C$27</f>
        <v>-0.58243082125727907</v>
      </c>
      <c r="S25" s="69">
        <v>5</v>
      </c>
      <c r="T25" s="70">
        <v>0.6</v>
      </c>
      <c r="U25" s="71">
        <v>-0.5</v>
      </c>
      <c r="V25" s="39">
        <f t="shared" si="0"/>
        <v>4</v>
      </c>
      <c r="W25" s="39">
        <f t="shared" si="1"/>
        <v>0.3888888888888889</v>
      </c>
      <c r="X25" s="40">
        <f>H$22+V25*H$21</f>
        <v>35</v>
      </c>
      <c r="Y25" s="40">
        <f t="shared" si="2"/>
        <v>0.43080773895600705</v>
      </c>
      <c r="Z25" s="41">
        <f t="shared" si="3"/>
        <v>-0.71833675448717993</v>
      </c>
      <c r="AA25" s="39">
        <f t="shared" si="4"/>
        <v>2</v>
      </c>
      <c r="AB25" s="39">
        <f t="shared" si="5"/>
        <v>0.27659574468085102</v>
      </c>
      <c r="AC25" s="40">
        <f>I$22+AA25*I$21</f>
        <v>600</v>
      </c>
      <c r="AD25" s="40">
        <f t="shared" si="6"/>
        <v>5.4702894221977515E-2</v>
      </c>
      <c r="AE25" s="41">
        <f t="shared" si="7"/>
        <v>-0.76222114624749904</v>
      </c>
      <c r="AF25" s="39">
        <f t="shared" si="8"/>
        <v>5</v>
      </c>
      <c r="AG25" s="39">
        <f t="shared" si="9"/>
        <v>0.43581749049429652</v>
      </c>
      <c r="AH25" s="39">
        <f>J$22+AF25*J$21</f>
        <v>1.8</v>
      </c>
      <c r="AI25" s="40">
        <f t="shared" si="10"/>
        <v>0.73482564413437945</v>
      </c>
      <c r="AJ25" s="41">
        <f t="shared" si="11"/>
        <v>0.50974613038042027</v>
      </c>
    </row>
    <row r="26" spans="2:36" ht="15.95" customHeight="1">
      <c r="B26" s="5"/>
      <c r="C26" s="31">
        <v>0</v>
      </c>
      <c r="D26" s="16">
        <v>50</v>
      </c>
      <c r="E26" s="22">
        <v>50</v>
      </c>
      <c r="F26"/>
      <c r="G26" s="2" t="s">
        <v>26</v>
      </c>
      <c r="H26" s="39"/>
      <c r="I26" s="39"/>
      <c r="J26" s="39"/>
      <c r="K26" s="57">
        <v>0.5</v>
      </c>
      <c r="L26" s="58">
        <v>0.5</v>
      </c>
      <c r="M26" s="54">
        <f>(H$27*$H$13+K26*$I$13+L26*$J$13+$D$27)*$C$27</f>
        <v>0.64085638205578865</v>
      </c>
      <c r="N26" s="51">
        <f>(H$27*$H$14+K26*$I$14+L26*$J$14+$E$27)*$C$27</f>
        <v>0.58243082125727907</v>
      </c>
      <c r="O26" s="54">
        <f>(K26*$H$13+I$27*$I$13+L26*$J$13+$D$27)*$C$27</f>
        <v>-0.64085638205578843</v>
      </c>
      <c r="P26" s="51">
        <f>(K26*$H$14+I$27*$I$14+L26*$J$14+$E$27)*$C$27</f>
        <v>0.28359458252715963</v>
      </c>
      <c r="Q26" s="54">
        <f>(K26*$H$13+L26*$I$13+J$27*$J$13+$D$27)*$C$27</f>
        <v>0.29883623873011972</v>
      </c>
      <c r="R26" s="51">
        <f>(K26*$H$14+L26*$I$14+J$27*$J$14+$E$27)*$C$27</f>
        <v>-0.75344089292011351</v>
      </c>
      <c r="S26" s="69">
        <v>5</v>
      </c>
      <c r="T26" s="70">
        <v>0.5</v>
      </c>
      <c r="U26" s="71">
        <v>-0.5</v>
      </c>
      <c r="V26" s="39">
        <f t="shared" si="0"/>
        <v>4</v>
      </c>
      <c r="W26" s="39">
        <f t="shared" si="1"/>
        <v>0.3888888888888889</v>
      </c>
      <c r="X26" s="40"/>
      <c r="Y26" s="40">
        <f t="shared" si="2"/>
        <v>0.33683847687741625</v>
      </c>
      <c r="Z26" s="41">
        <f t="shared" si="3"/>
        <v>-0.70123574732089633</v>
      </c>
      <c r="AA26" s="39">
        <f t="shared" si="4"/>
        <v>2</v>
      </c>
      <c r="AB26" s="39">
        <f t="shared" si="5"/>
        <v>0.27659574468085102</v>
      </c>
      <c r="AC26" s="40"/>
      <c r="AD26" s="40">
        <f t="shared" si="6"/>
        <v>8.8904908554544387E-2</v>
      </c>
      <c r="AE26" s="41">
        <f t="shared" si="7"/>
        <v>-0.71523651520820364</v>
      </c>
      <c r="AF26" s="39">
        <f t="shared" si="8"/>
        <v>5</v>
      </c>
      <c r="AG26" s="39">
        <f t="shared" si="9"/>
        <v>0.43581749049429652</v>
      </c>
      <c r="AH26" s="39"/>
      <c r="AI26" s="40">
        <f t="shared" si="10"/>
        <v>0.64085638205578854</v>
      </c>
      <c r="AJ26" s="41">
        <f t="shared" si="11"/>
        <v>0.52684713754670365</v>
      </c>
    </row>
    <row r="27" spans="2:36" ht="15.95" customHeight="1">
      <c r="B27" s="5"/>
      <c r="C27" s="48">
        <f>(1+C26/50)^2</f>
        <v>1</v>
      </c>
      <c r="D27" s="42">
        <f>D26/100-0.5</f>
        <v>0</v>
      </c>
      <c r="E27" s="43">
        <f>-E26/100+0.5</f>
        <v>0</v>
      </c>
      <c r="F27"/>
      <c r="G27" s="1" t="s">
        <v>15</v>
      </c>
      <c r="H27" s="39">
        <f>C14/100-0.5</f>
        <v>-0.5</v>
      </c>
      <c r="I27" s="39">
        <f>D14/100-0.5</f>
        <v>-0.5</v>
      </c>
      <c r="J27" s="39">
        <f>E14/100-0.5</f>
        <v>-0.5</v>
      </c>
      <c r="K27" s="57">
        <v>-0.5</v>
      </c>
      <c r="L27" s="58">
        <v>0.5</v>
      </c>
      <c r="M27" s="54">
        <f>(H$27*$H$13+K27*$I$13+L27*$J$13+$D$27)*$C$27</f>
        <v>-0.29883623873011972</v>
      </c>
      <c r="N27" s="51">
        <f>(H$27*$H$14+K27*$I$14+L27*$J$14+$E$27)*$C$27</f>
        <v>0.75344089292011351</v>
      </c>
      <c r="O27" s="54">
        <f>(K27*$H$13+I$27*$I$13+L27*$J$13+$D$27)*$C$27</f>
        <v>-0.29883623873011972</v>
      </c>
      <c r="P27" s="51">
        <f>(K27*$H$14+I$27*$I$14+L27*$J$14+$E$27)*$C$27</f>
        <v>0.75344089292011351</v>
      </c>
      <c r="Q27" s="54">
        <f>(K27*$H$13+L27*$I$13+J$27*$J$13+$D$27)*$C$27</f>
        <v>0.64085638205578843</v>
      </c>
      <c r="R27" s="51">
        <f>(K27*$H$14+L27*$I$14+J$27*$J$14+$E$27)*$C$27</f>
        <v>-0.28359458252715963</v>
      </c>
      <c r="S27" s="69">
        <v>6</v>
      </c>
      <c r="T27" s="70">
        <v>0.5</v>
      </c>
      <c r="U27" s="71">
        <v>-0.5</v>
      </c>
      <c r="V27" s="39">
        <f t="shared" si="0"/>
        <v>4</v>
      </c>
      <c r="W27" s="39">
        <f t="shared" si="1"/>
        <v>0.3888888888888889</v>
      </c>
      <c r="X27" s="40"/>
      <c r="Y27" s="40">
        <f t="shared" si="2"/>
        <v>0.33683847687741625</v>
      </c>
      <c r="Z27" s="41">
        <f t="shared" si="3"/>
        <v>-0.70123574732089633</v>
      </c>
      <c r="AA27" s="39">
        <f t="shared" si="4"/>
        <v>2</v>
      </c>
      <c r="AB27" s="39">
        <f t="shared" si="5"/>
        <v>0.27659574468085102</v>
      </c>
      <c r="AC27" s="40"/>
      <c r="AD27" s="40">
        <f t="shared" si="6"/>
        <v>8.8904908554544387E-2</v>
      </c>
      <c r="AE27" s="41">
        <f t="shared" si="7"/>
        <v>-0.71523651520820364</v>
      </c>
      <c r="AF27" s="39">
        <f t="shared" si="8"/>
        <v>5</v>
      </c>
      <c r="AG27" s="39">
        <f t="shared" si="9"/>
        <v>0.43581749049429652</v>
      </c>
      <c r="AH27" s="39"/>
      <c r="AI27" s="40">
        <f t="shared" si="10"/>
        <v>0.64085638205578854</v>
      </c>
      <c r="AJ27" s="41">
        <f t="shared" si="11"/>
        <v>0.52684713754670365</v>
      </c>
    </row>
    <row r="28" spans="2:36" ht="15.95" customHeight="1">
      <c r="K28" s="59">
        <v>-0.5</v>
      </c>
      <c r="L28" s="60">
        <v>-0.5</v>
      </c>
      <c r="M28" s="54">
        <f>(H$27*$H$13+K28*$I$13+L28*$J$13+$D$27)*$C$27</f>
        <v>-0.29883623873011983</v>
      </c>
      <c r="N28" s="51">
        <f>(H$27*$H$14+K28*$I$14+L28*$J$14+$E$27)*$C$27</f>
        <v>-0.11258451086432519</v>
      </c>
      <c r="O28" s="54">
        <f>(K28*$H$13+I$27*$I$13+L28*$J$13+$D$27)*$C$27</f>
        <v>-0.29883623873011983</v>
      </c>
      <c r="P28" s="51">
        <f>(K28*$H$14+I$27*$I$14+L28*$J$14+$E$27)*$C$27</f>
        <v>-0.11258451086432519</v>
      </c>
      <c r="Q28" s="54">
        <f>(K28*$H$13+L28*$I$13+J$27*$J$13+$D$27)*$C$27</f>
        <v>-0.29883623873011983</v>
      </c>
      <c r="R28" s="51">
        <f>(K28*$H$14+L28*$I$14+J$27*$J$14+$E$27)*$C$27</f>
        <v>-0.11258451086432519</v>
      </c>
      <c r="S28" s="69">
        <v>6</v>
      </c>
      <c r="T28" s="70">
        <v>0.6</v>
      </c>
      <c r="U28" s="71">
        <v>-0.5</v>
      </c>
      <c r="V28" s="39">
        <f t="shared" si="0"/>
        <v>4</v>
      </c>
      <c r="W28" s="39">
        <f t="shared" si="1"/>
        <v>0.3888888888888889</v>
      </c>
      <c r="X28" s="40">
        <f>H$22+V28*H$21</f>
        <v>35</v>
      </c>
      <c r="Y28" s="40">
        <f t="shared" si="2"/>
        <v>0.43080773895600705</v>
      </c>
      <c r="Z28" s="41">
        <f t="shared" si="3"/>
        <v>-0.71833675448717993</v>
      </c>
      <c r="AA28" s="39">
        <f t="shared" si="4"/>
        <v>2</v>
      </c>
      <c r="AB28" s="39">
        <f t="shared" si="5"/>
        <v>0.27659574468085102</v>
      </c>
      <c r="AC28" s="40">
        <f>I$22+AA28*I$21</f>
        <v>600</v>
      </c>
      <c r="AD28" s="40">
        <f t="shared" si="6"/>
        <v>5.4702894221977515E-2</v>
      </c>
      <c r="AE28" s="41">
        <f t="shared" si="7"/>
        <v>-0.76222114624749904</v>
      </c>
      <c r="AF28" s="39">
        <f t="shared" si="8"/>
        <v>5</v>
      </c>
      <c r="AG28" s="39">
        <f t="shared" si="9"/>
        <v>0.43581749049429652</v>
      </c>
      <c r="AH28" s="39">
        <f>J$22+AF28*J$21</f>
        <v>1.8</v>
      </c>
      <c r="AI28" s="40">
        <f t="shared" si="10"/>
        <v>0.73482564413437945</v>
      </c>
      <c r="AJ28" s="41">
        <f t="shared" si="11"/>
        <v>0.50974613038042027</v>
      </c>
    </row>
    <row r="29" spans="2:36">
      <c r="K29" s="5"/>
      <c r="M29" s="1"/>
      <c r="N29" s="5"/>
      <c r="O29" s="1"/>
      <c r="P29" s="22"/>
      <c r="Q29" s="16"/>
      <c r="R29" s="22"/>
      <c r="S29" s="72">
        <v>6</v>
      </c>
      <c r="T29" s="73">
        <v>0.5</v>
      </c>
      <c r="U29" s="74">
        <v>-0.5</v>
      </c>
      <c r="V29" s="42">
        <f t="shared" si="0"/>
        <v>4</v>
      </c>
      <c r="W29" s="42">
        <f t="shared" si="1"/>
        <v>0.3888888888888889</v>
      </c>
      <c r="X29" s="42"/>
      <c r="Y29" s="42">
        <f t="shared" si="2"/>
        <v>0.33683847687741625</v>
      </c>
      <c r="Z29" s="43">
        <f t="shared" si="3"/>
        <v>-0.70123574732089633</v>
      </c>
      <c r="AA29" s="42">
        <f t="shared" si="4"/>
        <v>2</v>
      </c>
      <c r="AB29" s="42">
        <f t="shared" si="5"/>
        <v>0.27659574468085102</v>
      </c>
      <c r="AC29" s="42"/>
      <c r="AD29" s="42">
        <f t="shared" si="6"/>
        <v>8.8904908554544387E-2</v>
      </c>
      <c r="AE29" s="43">
        <f t="shared" si="7"/>
        <v>-0.71523651520820364</v>
      </c>
      <c r="AF29" s="42">
        <f t="shared" si="8"/>
        <v>5</v>
      </c>
      <c r="AG29" s="42">
        <f t="shared" si="9"/>
        <v>0.43581749049429652</v>
      </c>
      <c r="AH29" s="42"/>
      <c r="AI29" s="42">
        <f t="shared" si="10"/>
        <v>0.64085638205578854</v>
      </c>
      <c r="AJ29" s="43">
        <f t="shared" si="11"/>
        <v>0.52684713754670365</v>
      </c>
    </row>
    <row r="30" spans="2:36">
      <c r="F30"/>
      <c r="G30" s="1"/>
      <c r="K30" s="5"/>
      <c r="M30" s="1"/>
      <c r="N30" s="5"/>
      <c r="O30" s="1"/>
      <c r="P30" s="22"/>
      <c r="Q30" s="16"/>
      <c r="R30" s="22"/>
      <c r="S30"/>
      <c r="T30"/>
      <c r="U30"/>
      <c r="V30" s="10"/>
      <c r="W30" s="10"/>
      <c r="X30" s="10"/>
      <c r="AI30" s="5"/>
    </row>
    <row r="31" spans="2:36">
      <c r="F31"/>
      <c r="G31" s="1"/>
      <c r="H31" s="2" t="s">
        <v>52</v>
      </c>
      <c r="I31" s="3"/>
      <c r="J31" s="3"/>
      <c r="K31" s="18" t="s">
        <v>53</v>
      </c>
      <c r="L31" s="3"/>
      <c r="M31" s="2" t="s">
        <v>28</v>
      </c>
      <c r="N31" s="18"/>
      <c r="O31" s="2" t="s">
        <v>31</v>
      </c>
      <c r="P31" s="24"/>
      <c r="Q31" s="18" t="s">
        <v>30</v>
      </c>
      <c r="R31" s="22"/>
      <c r="AI31" s="5"/>
    </row>
    <row r="32" spans="2:36" ht="18">
      <c r="B32" s="55" t="s">
        <v>34</v>
      </c>
      <c r="C32" s="56" t="s">
        <v>86</v>
      </c>
      <c r="D32" s="56" t="s">
        <v>87</v>
      </c>
      <c r="E32" s="56" t="s">
        <v>85</v>
      </c>
      <c r="F32" s="55" t="s">
        <v>23</v>
      </c>
      <c r="G32" s="10" t="s">
        <v>0</v>
      </c>
      <c r="H32" s="33" t="s">
        <v>82</v>
      </c>
      <c r="I32" s="33" t="s">
        <v>83</v>
      </c>
      <c r="J32" s="33" t="s">
        <v>84</v>
      </c>
      <c r="K32" s="5" t="s">
        <v>54</v>
      </c>
      <c r="L32" t="s">
        <v>55</v>
      </c>
      <c r="M32" s="8" t="s">
        <v>27</v>
      </c>
      <c r="N32" s="9" t="s">
        <v>29</v>
      </c>
      <c r="O32" s="34" t="s">
        <v>1</v>
      </c>
      <c r="P32" s="35" t="s">
        <v>2</v>
      </c>
      <c r="Q32" s="34" t="s">
        <v>3</v>
      </c>
      <c r="R32" s="35" t="s">
        <v>4</v>
      </c>
      <c r="AI32" s="5"/>
    </row>
    <row r="33" spans="2:35">
      <c r="B33" s="79"/>
      <c r="C33">
        <v>3</v>
      </c>
      <c r="D33">
        <v>16</v>
      </c>
      <c r="E33">
        <v>0.43725000000000003</v>
      </c>
      <c r="F33" s="78"/>
      <c r="G33" s="76">
        <f t="shared" ref="G33:G39" si="14">D$19*(L33-R33)</f>
        <v>9.2463852997213103E-2</v>
      </c>
      <c r="H33" s="76">
        <f t="shared" ref="H33:J39" si="15">(C33-H$16)/H$17-0.5</f>
        <v>-0.5</v>
      </c>
      <c r="I33" s="75">
        <f t="shared" si="15"/>
        <v>-0.5</v>
      </c>
      <c r="J33" s="75">
        <f t="shared" si="15"/>
        <v>-0.39323193916349808</v>
      </c>
      <c r="K33" s="76">
        <f t="shared" ref="K33:K39" si="16">(H33*$H$13+I33*$I$13+J33*$J$13+$D$27)*$C$27</f>
        <v>-0.29883623873011983</v>
      </c>
      <c r="L33" s="77">
        <f t="shared" ref="L33:L39" si="17">(H33*$H$14+I33*$I$14+J33*$J$14+$E$27)*$C$27</f>
        <v>-2.0120657867112091E-2</v>
      </c>
      <c r="M33" s="76">
        <f t="shared" ref="M33:M39" si="18">(H$27*$H$13+I33*$I$13+J33*$J$13+$D$27)*$C$27</f>
        <v>-0.29883623873011983</v>
      </c>
      <c r="N33" s="77">
        <f t="shared" ref="N33:N39" si="19">(H$27*$H$14+I33*$I$14+J33*$J$14+$E$27)*$C$27</f>
        <v>-2.0120657867112091E-2</v>
      </c>
      <c r="O33" s="76">
        <f t="shared" ref="O33:O39" si="20">(H33*$H$13+I$27*$I$13+J33*$J$13+$D$27)*$C$27</f>
        <v>-0.29883623873011983</v>
      </c>
      <c r="P33" s="77">
        <f t="shared" ref="P33:P39" si="21">(H33*$H$14+I$27*$I$14+J33*$J$14+$E$27)*$C$27</f>
        <v>-2.0120657867112091E-2</v>
      </c>
      <c r="Q33" s="76">
        <f t="shared" ref="Q33:Q39" si="22">(H33*$H$13+I33*$I$13+J$27*$J$13+$D$27)*$C$27</f>
        <v>-0.29883623873011983</v>
      </c>
      <c r="R33" s="77">
        <f t="shared" ref="R33:R39" si="23">(H33*$H$14+I33*$I$14+J$27*$J$14+$E$27)*$C$27</f>
        <v>-0.11258451086432519</v>
      </c>
      <c r="AI33" s="5"/>
    </row>
    <row r="34" spans="2:35">
      <c r="B34" s="79"/>
      <c r="C34">
        <v>3</v>
      </c>
      <c r="D34">
        <v>32</v>
      </c>
      <c r="E34">
        <v>0.3155</v>
      </c>
      <c r="F34" s="78"/>
      <c r="G34" s="76">
        <f t="shared" si="14"/>
        <v>2.8318701416525371E-2</v>
      </c>
      <c r="H34" s="76">
        <f t="shared" si="15"/>
        <v>-0.5</v>
      </c>
      <c r="I34" s="75">
        <f t="shared" si="15"/>
        <v>-0.47872340425531917</v>
      </c>
      <c r="J34" s="75">
        <f t="shared" si="15"/>
        <v>-0.46730038022813686</v>
      </c>
      <c r="K34" s="76">
        <f t="shared" si="16"/>
        <v>-0.27884277871339841</v>
      </c>
      <c r="L34" s="77">
        <f t="shared" si="17"/>
        <v>-8.7904321610838831E-2</v>
      </c>
      <c r="M34" s="76">
        <f t="shared" si="18"/>
        <v>-0.27884277871339841</v>
      </c>
      <c r="N34" s="77">
        <f t="shared" si="19"/>
        <v>-8.7904321610838831E-2</v>
      </c>
      <c r="O34" s="76">
        <f t="shared" si="20"/>
        <v>-0.29883623873011983</v>
      </c>
      <c r="P34" s="77">
        <f t="shared" si="21"/>
        <v>-8.4265809447799822E-2</v>
      </c>
      <c r="Q34" s="76">
        <f t="shared" si="22"/>
        <v>-0.27884277871339841</v>
      </c>
      <c r="R34" s="77">
        <f t="shared" si="23"/>
        <v>-0.1162230230273642</v>
      </c>
    </row>
    <row r="35" spans="2:35">
      <c r="B35" s="79"/>
      <c r="C35">
        <v>3</v>
      </c>
      <c r="D35">
        <v>48</v>
      </c>
      <c r="E35">
        <v>0.26974999999999999</v>
      </c>
      <c r="F35" s="78"/>
      <c r="G35" s="75">
        <f t="shared" si="14"/>
        <v>4.2148764899014868E-3</v>
      </c>
      <c r="H35" s="76">
        <f t="shared" si="15"/>
        <v>-0.5</v>
      </c>
      <c r="I35" s="75">
        <f t="shared" si="15"/>
        <v>-0.45744680851063829</v>
      </c>
      <c r="J35" s="75">
        <f t="shared" si="15"/>
        <v>-0.49513307984790872</v>
      </c>
      <c r="K35" s="76">
        <f t="shared" si="16"/>
        <v>-0.25884931869667688</v>
      </c>
      <c r="L35" s="77">
        <f t="shared" si="17"/>
        <v>-0.11564665870050178</v>
      </c>
      <c r="M35" s="76">
        <f t="shared" si="18"/>
        <v>-0.25884931869667688</v>
      </c>
      <c r="N35" s="77">
        <f t="shared" si="19"/>
        <v>-0.11564665870050178</v>
      </c>
      <c r="O35" s="76">
        <f t="shared" si="20"/>
        <v>-0.29883623873011983</v>
      </c>
      <c r="P35" s="77">
        <f t="shared" si="21"/>
        <v>-0.10836963437442371</v>
      </c>
      <c r="Q35" s="76">
        <f t="shared" si="22"/>
        <v>-0.25884931869667688</v>
      </c>
      <c r="R35" s="77">
        <f t="shared" si="23"/>
        <v>-0.11986153519040327</v>
      </c>
    </row>
    <row r="36" spans="2:35">
      <c r="B36" s="79"/>
      <c r="C36">
        <v>3</v>
      </c>
      <c r="D36">
        <v>64</v>
      </c>
      <c r="E36">
        <v>0.26500000000000001</v>
      </c>
      <c r="F36" s="78"/>
      <c r="G36" s="75">
        <f t="shared" si="14"/>
        <v>1.7122935740225276E-3</v>
      </c>
      <c r="H36" s="76">
        <f t="shared" si="15"/>
        <v>-0.5</v>
      </c>
      <c r="I36" s="75">
        <f t="shared" si="15"/>
        <v>-0.43617021276595747</v>
      </c>
      <c r="J36" s="75">
        <f t="shared" si="15"/>
        <v>-0.49802281368821288</v>
      </c>
      <c r="K36" s="76">
        <f t="shared" si="16"/>
        <v>-0.23885585867995549</v>
      </c>
      <c r="L36" s="77">
        <f t="shared" si="17"/>
        <v>-0.12178775377941975</v>
      </c>
      <c r="M36" s="76">
        <f t="shared" si="18"/>
        <v>-0.23885585867995549</v>
      </c>
      <c r="N36" s="77">
        <f t="shared" si="19"/>
        <v>-0.12178775377941975</v>
      </c>
      <c r="O36" s="76">
        <f t="shared" si="20"/>
        <v>-0.29883623873011983</v>
      </c>
      <c r="P36" s="77">
        <f t="shared" si="21"/>
        <v>-0.11087221729030267</v>
      </c>
      <c r="Q36" s="76">
        <f t="shared" si="22"/>
        <v>-0.23885585867995549</v>
      </c>
      <c r="R36" s="77">
        <f t="shared" si="23"/>
        <v>-0.12350004735344228</v>
      </c>
    </row>
    <row r="37" spans="2:35">
      <c r="B37" s="79"/>
      <c r="C37">
        <v>3</v>
      </c>
      <c r="D37">
        <v>80</v>
      </c>
      <c r="E37">
        <v>0.26774999999999999</v>
      </c>
      <c r="F37" s="78"/>
      <c r="G37" s="75">
        <f t="shared" si="14"/>
        <v>3.1611573674260596E-3</v>
      </c>
      <c r="H37" s="76">
        <f t="shared" si="15"/>
        <v>-0.5</v>
      </c>
      <c r="I37" s="75">
        <f t="shared" si="15"/>
        <v>-0.41489361702127658</v>
      </c>
      <c r="J37" s="75">
        <f t="shared" si="15"/>
        <v>-0.49634980988593158</v>
      </c>
      <c r="K37" s="76">
        <f t="shared" si="16"/>
        <v>-0.21886239866323395</v>
      </c>
      <c r="L37" s="77">
        <f t="shared" si="17"/>
        <v>-0.12397740214905523</v>
      </c>
      <c r="M37" s="76">
        <f t="shared" si="18"/>
        <v>-0.21886239866323395</v>
      </c>
      <c r="N37" s="77">
        <f t="shared" si="19"/>
        <v>-0.12397740214905523</v>
      </c>
      <c r="O37" s="76">
        <f t="shared" si="20"/>
        <v>-0.29883623873011983</v>
      </c>
      <c r="P37" s="77">
        <f t="shared" si="21"/>
        <v>-0.10942335349689913</v>
      </c>
      <c r="Q37" s="76">
        <f t="shared" si="22"/>
        <v>-0.21886239866323395</v>
      </c>
      <c r="R37" s="77">
        <f t="shared" si="23"/>
        <v>-0.12713855951648129</v>
      </c>
    </row>
    <row r="38" spans="2:35">
      <c r="B38" s="79"/>
      <c r="C38">
        <v>3</v>
      </c>
      <c r="D38">
        <v>96</v>
      </c>
      <c r="E38">
        <v>0.27274999999999999</v>
      </c>
      <c r="F38" s="78"/>
      <c r="G38" s="75">
        <f t="shared" si="14"/>
        <v>5.7954551736145166E-3</v>
      </c>
      <c r="H38" s="76">
        <f t="shared" si="15"/>
        <v>-0.5</v>
      </c>
      <c r="I38" s="75">
        <f t="shared" si="15"/>
        <v>-0.39361702127659576</v>
      </c>
      <c r="J38" s="75">
        <f t="shared" si="15"/>
        <v>-0.49330798479087451</v>
      </c>
      <c r="K38" s="76">
        <f t="shared" si="16"/>
        <v>-0.19886893864651253</v>
      </c>
      <c r="L38" s="77">
        <f t="shared" si="17"/>
        <v>-0.12498161650590583</v>
      </c>
      <c r="M38" s="76">
        <f t="shared" si="18"/>
        <v>-0.19886893864651253</v>
      </c>
      <c r="N38" s="77">
        <f t="shared" si="19"/>
        <v>-0.12498161650590583</v>
      </c>
      <c r="O38" s="76">
        <f t="shared" si="20"/>
        <v>-0.29883623873011983</v>
      </c>
      <c r="P38" s="77">
        <f t="shared" si="21"/>
        <v>-0.10678905569071068</v>
      </c>
      <c r="Q38" s="76">
        <f t="shared" si="22"/>
        <v>-0.19886893864651253</v>
      </c>
      <c r="R38" s="77">
        <f t="shared" si="23"/>
        <v>-0.13077707167952035</v>
      </c>
    </row>
    <row r="39" spans="2:35">
      <c r="B39" s="79"/>
      <c r="C39">
        <v>3</v>
      </c>
      <c r="D39">
        <v>112</v>
      </c>
      <c r="E39">
        <v>0.29349999999999998</v>
      </c>
      <c r="F39" s="78"/>
      <c r="G39" s="75">
        <f t="shared" si="14"/>
        <v>1.6727791069296394E-2</v>
      </c>
      <c r="H39" s="75">
        <f t="shared" si="15"/>
        <v>-0.5</v>
      </c>
      <c r="I39" s="75">
        <f t="shared" si="15"/>
        <v>-0.37234042553191493</v>
      </c>
      <c r="J39" s="75">
        <f t="shared" si="15"/>
        <v>-0.48068441064638784</v>
      </c>
      <c r="K39" s="75">
        <f t="shared" si="16"/>
        <v>-0.17887547862979111</v>
      </c>
      <c r="L39" s="75">
        <f t="shared" si="17"/>
        <v>-0.11768779277326297</v>
      </c>
      <c r="M39" s="75">
        <f t="shared" si="18"/>
        <v>-0.17887547862979111</v>
      </c>
      <c r="N39" s="75">
        <f t="shared" si="19"/>
        <v>-0.11768779277326297</v>
      </c>
      <c r="O39" s="75">
        <f t="shared" si="20"/>
        <v>-0.29883623873011983</v>
      </c>
      <c r="P39" s="75">
        <f t="shared" si="21"/>
        <v>-9.58567197950288E-2</v>
      </c>
      <c r="Q39" s="75">
        <f t="shared" si="22"/>
        <v>-0.17887547862979111</v>
      </c>
      <c r="R39" s="75">
        <f t="shared" si="23"/>
        <v>-0.13441558384255936</v>
      </c>
    </row>
    <row r="40" spans="2:35">
      <c r="B40" s="81"/>
      <c r="C40">
        <v>3</v>
      </c>
      <c r="D40">
        <v>128</v>
      </c>
      <c r="E40">
        <v>0.30299999999999999</v>
      </c>
      <c r="F40" s="78"/>
      <c r="G40" s="75">
        <f t="shared" ref="G40:G71" si="24">D$19*(L40-R40)</f>
        <v>2.1732956901054368E-2</v>
      </c>
      <c r="H40" s="76">
        <f t="shared" ref="H40:H71" si="25">(C40-H$16)/H$17-0.5</f>
        <v>-0.5</v>
      </c>
      <c r="I40" s="75">
        <f t="shared" ref="I40:I71" si="26">(D40-I$16)/I$17-0.5</f>
        <v>-0.35106382978723405</v>
      </c>
      <c r="J40" s="75">
        <f t="shared" ref="J40:J71" si="27">(E40-J$16)/J$17-0.5</f>
        <v>-0.47490494296577945</v>
      </c>
      <c r="K40" s="76">
        <f t="shared" ref="K40:K71" si="28">(H40*$H$13+I40*$I$13+J40*$J$13+$D$27)*$C$27</f>
        <v>-0.15888201861306964</v>
      </c>
      <c r="L40" s="77">
        <f t="shared" ref="L40:L71" si="29">(H40*$H$14+I40*$I$14+J40*$J$14+$E$27)*$C$27</f>
        <v>-0.11632113910454406</v>
      </c>
      <c r="M40" s="76">
        <f t="shared" ref="M40:M71" si="30">(H$27*$H$13+I40*$I$13+J40*$J$13+$D$27)*$C$27</f>
        <v>-0.15888201861306964</v>
      </c>
      <c r="N40" s="77">
        <f t="shared" ref="N40:N71" si="31">(H$27*$H$14+I40*$I$14+J40*$J$14+$E$27)*$C$27</f>
        <v>-0.11632113910454406</v>
      </c>
      <c r="O40" s="76">
        <f t="shared" ref="O40:O71" si="32">(H40*$H$13+I$27*$I$13+J40*$J$13+$D$27)*$C$27</f>
        <v>-0.29883623873011983</v>
      </c>
      <c r="P40" s="77">
        <f t="shared" ref="P40:P71" si="33">(H40*$H$14+I$27*$I$14+J40*$J$14+$E$27)*$C$27</f>
        <v>-9.0851553963270826E-2</v>
      </c>
      <c r="Q40" s="76">
        <f t="shared" ref="Q40:Q71" si="34">(H40*$H$13+I40*$I$13+J$27*$J$13+$D$27)*$C$27</f>
        <v>-0.15888201861306964</v>
      </c>
      <c r="R40" s="75">
        <f t="shared" ref="R40:R71" si="35">(H40*$H$14+I40*$I$14+J$27*$J$14+$E$27)*$C$27</f>
        <v>-0.13805409600559843</v>
      </c>
    </row>
    <row r="41" spans="2:35">
      <c r="B41" s="81"/>
      <c r="C41">
        <v>3</v>
      </c>
      <c r="D41">
        <v>144</v>
      </c>
      <c r="E41">
        <v>0.32624999999999998</v>
      </c>
      <c r="F41" s="78"/>
      <c r="G41" s="75">
        <f t="shared" si="24"/>
        <v>3.3982441699830446E-2</v>
      </c>
      <c r="H41" s="76">
        <f t="shared" si="25"/>
        <v>-0.5</v>
      </c>
      <c r="I41" s="75">
        <f t="shared" si="26"/>
        <v>-0.32978723404255317</v>
      </c>
      <c r="J41" s="75">
        <f t="shared" si="27"/>
        <v>-0.46076045627376427</v>
      </c>
      <c r="K41" s="76">
        <f t="shared" si="28"/>
        <v>-0.13888855859634816</v>
      </c>
      <c r="L41" s="77">
        <f t="shared" si="29"/>
        <v>-0.10771016646880699</v>
      </c>
      <c r="M41" s="76">
        <f t="shared" si="30"/>
        <v>-0.13888855859634816</v>
      </c>
      <c r="N41" s="77">
        <f t="shared" si="31"/>
        <v>-0.10771016646880699</v>
      </c>
      <c r="O41" s="76">
        <f t="shared" si="32"/>
        <v>-0.29883623873011983</v>
      </c>
      <c r="P41" s="77">
        <f t="shared" si="33"/>
        <v>-7.8602069164494748E-2</v>
      </c>
      <c r="Q41" s="76">
        <f t="shared" si="34"/>
        <v>-0.13888855859634816</v>
      </c>
      <c r="R41" s="75">
        <f t="shared" si="35"/>
        <v>-0.14169260816863744</v>
      </c>
    </row>
    <row r="42" spans="2:35">
      <c r="B42" s="81"/>
      <c r="C42">
        <v>3</v>
      </c>
      <c r="D42">
        <v>160</v>
      </c>
      <c r="E42">
        <v>0.34</v>
      </c>
      <c r="F42" s="78"/>
      <c r="G42" s="75">
        <f t="shared" si="24"/>
        <v>4.1226760666848605E-2</v>
      </c>
      <c r="H42" s="76">
        <f t="shared" si="25"/>
        <v>-0.5</v>
      </c>
      <c r="I42" s="75">
        <f t="shared" si="26"/>
        <v>-0.30851063829787234</v>
      </c>
      <c r="J42" s="75">
        <f t="shared" si="27"/>
        <v>-0.45239543726235737</v>
      </c>
      <c r="K42" s="76">
        <f t="shared" si="28"/>
        <v>-0.11889509857962674</v>
      </c>
      <c r="L42" s="77">
        <f t="shared" si="29"/>
        <v>-0.10410435966482784</v>
      </c>
      <c r="M42" s="76">
        <f t="shared" si="30"/>
        <v>-0.11889509857962674</v>
      </c>
      <c r="N42" s="77">
        <f t="shared" si="31"/>
        <v>-0.10410435966482784</v>
      </c>
      <c r="O42" s="76">
        <f t="shared" si="32"/>
        <v>-0.29883623873011983</v>
      </c>
      <c r="P42" s="77">
        <f t="shared" si="33"/>
        <v>-7.1357750197476588E-2</v>
      </c>
      <c r="Q42" s="76">
        <f t="shared" si="34"/>
        <v>-0.11889509857962674</v>
      </c>
      <c r="R42" s="75">
        <f t="shared" si="35"/>
        <v>-0.14533112033167644</v>
      </c>
    </row>
    <row r="43" spans="2:35">
      <c r="B43" s="81"/>
      <c r="C43">
        <v>3</v>
      </c>
      <c r="D43">
        <v>176</v>
      </c>
      <c r="E43">
        <v>0.37574999999999997</v>
      </c>
      <c r="F43" s="78"/>
      <c r="G43" s="75">
        <f t="shared" si="24"/>
        <v>6.0061989981095687E-2</v>
      </c>
      <c r="H43" s="76">
        <f t="shared" si="25"/>
        <v>-0.5</v>
      </c>
      <c r="I43" s="75">
        <f t="shared" si="26"/>
        <v>-0.28723404255319152</v>
      </c>
      <c r="J43" s="75">
        <f t="shared" si="27"/>
        <v>-0.4306463878326996</v>
      </c>
      <c r="K43" s="76">
        <f t="shared" si="28"/>
        <v>-9.8901638562905264E-2</v>
      </c>
      <c r="L43" s="77">
        <f t="shared" si="29"/>
        <v>-8.8907642513619822E-2</v>
      </c>
      <c r="M43" s="76">
        <f t="shared" si="30"/>
        <v>-9.8901638562905264E-2</v>
      </c>
      <c r="N43" s="77">
        <f t="shared" si="31"/>
        <v>-8.8907642513619822E-2</v>
      </c>
      <c r="O43" s="76">
        <f t="shared" si="32"/>
        <v>-0.29883623873011983</v>
      </c>
      <c r="P43" s="77">
        <f t="shared" si="33"/>
        <v>-5.2522520883229507E-2</v>
      </c>
      <c r="Q43" s="76">
        <f t="shared" si="34"/>
        <v>-9.8901638562905264E-2</v>
      </c>
      <c r="R43" s="75">
        <f t="shared" si="35"/>
        <v>-0.14896963249471551</v>
      </c>
    </row>
    <row r="44" spans="2:35">
      <c r="B44" s="81"/>
      <c r="C44">
        <v>3</v>
      </c>
      <c r="D44">
        <v>192</v>
      </c>
      <c r="E44">
        <v>0.40749999999999997</v>
      </c>
      <c r="F44" s="78"/>
      <c r="G44" s="75">
        <f t="shared" si="24"/>
        <v>7.6789781050392025E-2</v>
      </c>
      <c r="H44" s="76">
        <f t="shared" si="25"/>
        <v>-0.5</v>
      </c>
      <c r="I44" s="75">
        <f t="shared" si="26"/>
        <v>-0.26595744680851063</v>
      </c>
      <c r="J44" s="75">
        <f t="shared" si="27"/>
        <v>-0.41133079847908749</v>
      </c>
      <c r="K44" s="76">
        <f t="shared" si="28"/>
        <v>-7.8908178546183816E-2</v>
      </c>
      <c r="L44" s="77">
        <f t="shared" si="29"/>
        <v>-7.5818363607362493E-2</v>
      </c>
      <c r="M44" s="76">
        <f t="shared" si="30"/>
        <v>-7.8908178546183816E-2</v>
      </c>
      <c r="N44" s="77">
        <f t="shared" si="31"/>
        <v>-7.5818363607362493E-2</v>
      </c>
      <c r="O44" s="76">
        <f t="shared" si="32"/>
        <v>-0.29883623873011983</v>
      </c>
      <c r="P44" s="77">
        <f t="shared" si="33"/>
        <v>-3.5794729813933168E-2</v>
      </c>
      <c r="Q44" s="76">
        <f t="shared" si="34"/>
        <v>-7.8908178546183816E-2</v>
      </c>
      <c r="R44" s="75">
        <f t="shared" si="35"/>
        <v>-0.15260814465775452</v>
      </c>
    </row>
    <row r="45" spans="2:35">
      <c r="B45" s="81"/>
      <c r="C45">
        <v>3</v>
      </c>
      <c r="D45">
        <v>208</v>
      </c>
      <c r="E45">
        <v>0.42175000000000001</v>
      </c>
      <c r="F45" s="78"/>
      <c r="G45" s="75">
        <f t="shared" si="24"/>
        <v>8.4297529798029014E-2</v>
      </c>
      <c r="H45" s="76">
        <f t="shared" si="25"/>
        <v>-0.5</v>
      </c>
      <c r="I45" s="75">
        <f t="shared" si="26"/>
        <v>-0.24468085106382981</v>
      </c>
      <c r="J45" s="75">
        <f t="shared" si="27"/>
        <v>-0.40266159695817488</v>
      </c>
      <c r="K45" s="76">
        <f t="shared" si="28"/>
        <v>-5.8914718529462361E-2</v>
      </c>
      <c r="L45" s="77">
        <f t="shared" si="29"/>
        <v>-7.194912702276457E-2</v>
      </c>
      <c r="M45" s="76">
        <f t="shared" si="30"/>
        <v>-5.8914718529462361E-2</v>
      </c>
      <c r="N45" s="77">
        <f t="shared" si="31"/>
        <v>-7.194912702276457E-2</v>
      </c>
      <c r="O45" s="76">
        <f t="shared" si="32"/>
        <v>-0.29883623873011983</v>
      </c>
      <c r="P45" s="77">
        <f t="shared" si="33"/>
        <v>-2.828698106629618E-2</v>
      </c>
      <c r="Q45" s="76">
        <f t="shared" si="34"/>
        <v>-5.8914718529462375E-2</v>
      </c>
      <c r="R45" s="75">
        <f t="shared" si="35"/>
        <v>-0.15624665682079358</v>
      </c>
    </row>
    <row r="46" spans="2:35">
      <c r="B46" s="81"/>
      <c r="C46">
        <v>3</v>
      </c>
      <c r="D46">
        <v>224</v>
      </c>
      <c r="E46">
        <v>0.45274999999999999</v>
      </c>
      <c r="F46" s="78"/>
      <c r="G46" s="75">
        <f t="shared" si="24"/>
        <v>0.10063017619639714</v>
      </c>
      <c r="H46" s="76">
        <f t="shared" si="25"/>
        <v>-0.5</v>
      </c>
      <c r="I46" s="75">
        <f t="shared" si="26"/>
        <v>-0.22340425531914893</v>
      </c>
      <c r="J46" s="75">
        <f t="shared" si="27"/>
        <v>-0.38380228136882127</v>
      </c>
      <c r="K46" s="76">
        <f t="shared" si="28"/>
        <v>-3.8921258512740885E-2</v>
      </c>
      <c r="L46" s="77">
        <f t="shared" si="29"/>
        <v>-5.9254992787435457E-2</v>
      </c>
      <c r="M46" s="76">
        <f t="shared" si="30"/>
        <v>-3.8921258512740885E-2</v>
      </c>
      <c r="N46" s="77">
        <f t="shared" si="31"/>
        <v>-5.9254992787435457E-2</v>
      </c>
      <c r="O46" s="76">
        <f t="shared" si="32"/>
        <v>-0.29883623873011983</v>
      </c>
      <c r="P46" s="77">
        <f t="shared" si="33"/>
        <v>-1.1954334667928057E-2</v>
      </c>
      <c r="Q46" s="76">
        <f t="shared" si="34"/>
        <v>-3.8921258512740899E-2</v>
      </c>
      <c r="R46" s="75">
        <f t="shared" si="35"/>
        <v>-0.15988516898383259</v>
      </c>
    </row>
    <row r="47" spans="2:35">
      <c r="B47" s="81"/>
      <c r="C47">
        <v>3</v>
      </c>
      <c r="D47">
        <v>240</v>
      </c>
      <c r="E47">
        <v>0.47575000000000001</v>
      </c>
      <c r="F47" s="78"/>
      <c r="G47" s="75">
        <f t="shared" si="24"/>
        <v>0.11274794610486377</v>
      </c>
      <c r="H47" s="76">
        <f t="shared" si="25"/>
        <v>-0.5</v>
      </c>
      <c r="I47" s="75">
        <f t="shared" si="26"/>
        <v>-0.2021276595744681</v>
      </c>
      <c r="J47" s="75">
        <f t="shared" si="27"/>
        <v>-0.36980988593155895</v>
      </c>
      <c r="K47" s="76">
        <f t="shared" si="28"/>
        <v>-1.8927798496019461E-2</v>
      </c>
      <c r="L47" s="77">
        <f t="shared" si="29"/>
        <v>-5.077573504200783E-2</v>
      </c>
      <c r="M47" s="76">
        <f t="shared" si="30"/>
        <v>-1.8927798496019461E-2</v>
      </c>
      <c r="N47" s="77">
        <f t="shared" si="31"/>
        <v>-5.077573504200783E-2</v>
      </c>
      <c r="O47" s="76">
        <f t="shared" si="32"/>
        <v>-0.29883623873011983</v>
      </c>
      <c r="P47" s="77">
        <f t="shared" si="33"/>
        <v>1.6343524053857861E-4</v>
      </c>
      <c r="Q47" s="76">
        <f t="shared" si="34"/>
        <v>-1.8927798496019478E-2</v>
      </c>
      <c r="R47" s="75">
        <f t="shared" si="35"/>
        <v>-0.1635236811468716</v>
      </c>
    </row>
    <row r="48" spans="2:35">
      <c r="B48" s="81"/>
      <c r="C48">
        <v>3</v>
      </c>
      <c r="D48">
        <v>256</v>
      </c>
      <c r="E48">
        <v>0.50824999999999998</v>
      </c>
      <c r="F48" s="78"/>
      <c r="G48" s="75">
        <f t="shared" si="24"/>
        <v>0.12987088184508844</v>
      </c>
      <c r="H48" s="76">
        <f t="shared" si="25"/>
        <v>-0.5</v>
      </c>
      <c r="I48" s="75">
        <f t="shared" si="26"/>
        <v>-0.18085106382978722</v>
      </c>
      <c r="J48" s="75">
        <f t="shared" si="27"/>
        <v>-0.35003802281368823</v>
      </c>
      <c r="K48" s="76">
        <f t="shared" si="28"/>
        <v>1.0656615207020174E-3</v>
      </c>
      <c r="L48" s="77">
        <f t="shared" si="29"/>
        <v>-3.729131146482223E-2</v>
      </c>
      <c r="M48" s="76">
        <f t="shared" si="30"/>
        <v>1.0656615207020174E-3</v>
      </c>
      <c r="N48" s="77">
        <f t="shared" si="31"/>
        <v>-3.729131146482223E-2</v>
      </c>
      <c r="O48" s="76">
        <f t="shared" si="32"/>
        <v>-0.29883623873011983</v>
      </c>
      <c r="P48" s="77">
        <f t="shared" si="33"/>
        <v>1.7286370980763244E-2</v>
      </c>
      <c r="Q48" s="76">
        <f t="shared" si="34"/>
        <v>1.0656615207019992E-3</v>
      </c>
      <c r="R48" s="75">
        <f t="shared" si="35"/>
        <v>-0.16716219330991067</v>
      </c>
    </row>
    <row r="49" spans="2:18">
      <c r="B49" s="81"/>
      <c r="C49">
        <v>3</v>
      </c>
      <c r="D49">
        <v>272</v>
      </c>
      <c r="E49">
        <v>0.55800000000000005</v>
      </c>
      <c r="F49" s="78"/>
      <c r="G49" s="75">
        <f t="shared" si="24"/>
        <v>0.15608214501666318</v>
      </c>
      <c r="H49" s="76">
        <f t="shared" si="25"/>
        <v>-0.5</v>
      </c>
      <c r="I49" s="75">
        <f t="shared" si="26"/>
        <v>-0.15957446808510639</v>
      </c>
      <c r="J49" s="75">
        <f t="shared" si="27"/>
        <v>-0.31977186311787065</v>
      </c>
      <c r="K49" s="76">
        <f t="shared" si="28"/>
        <v>2.105912153742347E-2</v>
      </c>
      <c r="L49" s="77">
        <f t="shared" si="29"/>
        <v>-1.47185604562865E-2</v>
      </c>
      <c r="M49" s="76">
        <f t="shared" si="30"/>
        <v>2.105912153742347E-2</v>
      </c>
      <c r="N49" s="77">
        <f t="shared" si="31"/>
        <v>-1.47185604562865E-2</v>
      </c>
      <c r="O49" s="76">
        <f t="shared" si="32"/>
        <v>-0.29883623873011983</v>
      </c>
      <c r="P49" s="77">
        <f t="shared" si="33"/>
        <v>4.3497634152337983E-2</v>
      </c>
      <c r="Q49" s="76">
        <f t="shared" si="34"/>
        <v>2.1059121537423446E-2</v>
      </c>
      <c r="R49" s="75">
        <f t="shared" si="35"/>
        <v>-0.17080070547294968</v>
      </c>
    </row>
    <row r="50" spans="2:18">
      <c r="B50" s="81"/>
      <c r="C50">
        <v>3</v>
      </c>
      <c r="D50">
        <v>288</v>
      </c>
      <c r="E50">
        <v>0.58174999999999999</v>
      </c>
      <c r="F50" s="78"/>
      <c r="G50" s="75">
        <f t="shared" si="24"/>
        <v>0.16859505959605803</v>
      </c>
      <c r="H50" s="76">
        <f t="shared" si="25"/>
        <v>-0.5</v>
      </c>
      <c r="I50" s="75">
        <f t="shared" si="26"/>
        <v>-0.13829787234042551</v>
      </c>
      <c r="J50" s="75">
        <f t="shared" si="27"/>
        <v>-0.30532319391634982</v>
      </c>
      <c r="K50" s="76">
        <f t="shared" si="28"/>
        <v>4.105258155414495E-2</v>
      </c>
      <c r="L50" s="77">
        <f t="shared" si="29"/>
        <v>-5.8441580399307136E-3</v>
      </c>
      <c r="M50" s="76">
        <f t="shared" si="30"/>
        <v>4.105258155414495E-2</v>
      </c>
      <c r="N50" s="77">
        <f t="shared" si="31"/>
        <v>-5.8441580399307136E-3</v>
      </c>
      <c r="O50" s="76">
        <f t="shared" si="32"/>
        <v>-0.29883623873011983</v>
      </c>
      <c r="P50" s="77">
        <f t="shared" si="33"/>
        <v>5.6010548731732834E-2</v>
      </c>
      <c r="Q50" s="76">
        <f t="shared" si="34"/>
        <v>4.1052581554144922E-2</v>
      </c>
      <c r="R50" s="75">
        <f t="shared" si="35"/>
        <v>-0.17443921763598874</v>
      </c>
    </row>
    <row r="51" spans="2:18">
      <c r="B51" s="81"/>
      <c r="C51">
        <v>3</v>
      </c>
      <c r="D51">
        <v>304</v>
      </c>
      <c r="E51">
        <v>0.61299999999999999</v>
      </c>
      <c r="F51" s="78"/>
      <c r="G51" s="75">
        <f t="shared" si="24"/>
        <v>0.18505942088473556</v>
      </c>
      <c r="H51" s="76">
        <f t="shared" si="25"/>
        <v>-0.5</v>
      </c>
      <c r="I51" s="75">
        <f t="shared" si="26"/>
        <v>-0.11702127659574468</v>
      </c>
      <c r="J51" s="75">
        <f t="shared" si="27"/>
        <v>-0.28631178707224336</v>
      </c>
      <c r="K51" s="76">
        <f t="shared" si="28"/>
        <v>6.1046041570866384E-2</v>
      </c>
      <c r="L51" s="77">
        <f t="shared" si="29"/>
        <v>6.981691085707814E-3</v>
      </c>
      <c r="M51" s="76">
        <f t="shared" si="30"/>
        <v>6.1046041570866384E-2</v>
      </c>
      <c r="N51" s="77">
        <f t="shared" si="31"/>
        <v>6.981691085707814E-3</v>
      </c>
      <c r="O51" s="76">
        <f t="shared" si="32"/>
        <v>-0.29883623873011983</v>
      </c>
      <c r="P51" s="77">
        <f t="shared" si="33"/>
        <v>7.2474910020410371E-2</v>
      </c>
      <c r="Q51" s="76">
        <f t="shared" si="34"/>
        <v>6.1046041570866356E-2</v>
      </c>
      <c r="R51" s="75">
        <f t="shared" si="35"/>
        <v>-0.17807772979902775</v>
      </c>
    </row>
    <row r="52" spans="2:18">
      <c r="B52" s="81"/>
      <c r="C52">
        <v>3</v>
      </c>
      <c r="D52">
        <v>320</v>
      </c>
      <c r="E52">
        <v>0.65275000000000005</v>
      </c>
      <c r="F52" s="78"/>
      <c r="G52" s="75">
        <f t="shared" si="24"/>
        <v>0.20600208844393342</v>
      </c>
      <c r="H52" s="76">
        <f t="shared" si="25"/>
        <v>-0.5</v>
      </c>
      <c r="I52" s="75">
        <f t="shared" si="26"/>
        <v>-9.5744680851063857E-2</v>
      </c>
      <c r="J52" s="75">
        <f t="shared" si="27"/>
        <v>-0.26212927756653992</v>
      </c>
      <c r="K52" s="76">
        <f t="shared" si="28"/>
        <v>8.1039501587587812E-2</v>
      </c>
      <c r="L52" s="77">
        <f t="shared" si="29"/>
        <v>2.4285846481866658E-2</v>
      </c>
      <c r="M52" s="76">
        <f t="shared" si="30"/>
        <v>8.1039501587587812E-2</v>
      </c>
      <c r="N52" s="77">
        <f t="shared" si="31"/>
        <v>2.4285846481866658E-2</v>
      </c>
      <c r="O52" s="76">
        <f t="shared" si="32"/>
        <v>-0.29883623873011983</v>
      </c>
      <c r="P52" s="77">
        <f t="shared" si="33"/>
        <v>9.3417577579608224E-2</v>
      </c>
      <c r="Q52" s="76">
        <f t="shared" si="34"/>
        <v>8.1039501587587784E-2</v>
      </c>
      <c r="R52" s="75">
        <f t="shared" si="35"/>
        <v>-0.18171624196206676</v>
      </c>
    </row>
    <row r="53" spans="2:18">
      <c r="B53" s="81"/>
      <c r="C53">
        <v>3</v>
      </c>
      <c r="D53">
        <v>336</v>
      </c>
      <c r="E53">
        <v>0.66149999999999998</v>
      </c>
      <c r="F53" s="78"/>
      <c r="G53" s="75">
        <f t="shared" si="24"/>
        <v>0.21061210960476315</v>
      </c>
      <c r="H53" s="76">
        <f t="shared" si="25"/>
        <v>-0.5</v>
      </c>
      <c r="I53" s="75">
        <f t="shared" si="26"/>
        <v>-7.4468085106382975E-2</v>
      </c>
      <c r="J53" s="75">
        <f t="shared" si="27"/>
        <v>-0.25680608365019009</v>
      </c>
      <c r="K53" s="76">
        <f t="shared" si="28"/>
        <v>0.1010329616043093</v>
      </c>
      <c r="L53" s="77">
        <f t="shared" si="29"/>
        <v>2.5257355479657351E-2</v>
      </c>
      <c r="M53" s="76">
        <f t="shared" si="30"/>
        <v>0.1010329616043093</v>
      </c>
      <c r="N53" s="77">
        <f t="shared" si="31"/>
        <v>2.5257355479657351E-2</v>
      </c>
      <c r="O53" s="76">
        <f t="shared" si="32"/>
        <v>-0.29883623873011983</v>
      </c>
      <c r="P53" s="77">
        <f t="shared" si="33"/>
        <v>9.8027598740437955E-2</v>
      </c>
      <c r="Q53" s="76">
        <f t="shared" si="34"/>
        <v>0.10103296160430927</v>
      </c>
      <c r="R53" s="75">
        <f t="shared" si="35"/>
        <v>-0.1853547541251058</v>
      </c>
    </row>
    <row r="54" spans="2:18">
      <c r="B54" s="81"/>
      <c r="C54">
        <v>3</v>
      </c>
      <c r="D54">
        <v>352</v>
      </c>
      <c r="E54">
        <v>0.67174999999999996</v>
      </c>
      <c r="F54" s="78"/>
      <c r="G54" s="75">
        <f t="shared" si="24"/>
        <v>0.21601242010744934</v>
      </c>
      <c r="H54" s="76">
        <f t="shared" si="25"/>
        <v>-0.5</v>
      </c>
      <c r="I54" s="75">
        <f t="shared" si="26"/>
        <v>-5.3191489361702149E-2</v>
      </c>
      <c r="J54" s="75">
        <f t="shared" si="27"/>
        <v>-0.2505703422053232</v>
      </c>
      <c r="K54" s="76">
        <f t="shared" si="28"/>
        <v>0.12102642162103072</v>
      </c>
      <c r="L54" s="77">
        <f t="shared" si="29"/>
        <v>2.7019153819304503E-2</v>
      </c>
      <c r="M54" s="76">
        <f t="shared" si="30"/>
        <v>0.12102642162103072</v>
      </c>
      <c r="N54" s="77">
        <f t="shared" si="31"/>
        <v>2.7019153819304503E-2</v>
      </c>
      <c r="O54" s="76">
        <f t="shared" si="32"/>
        <v>-0.29883623873011983</v>
      </c>
      <c r="P54" s="77">
        <f t="shared" si="33"/>
        <v>0.10342790924312414</v>
      </c>
      <c r="Q54" s="76">
        <f t="shared" si="34"/>
        <v>0.12102642162103069</v>
      </c>
      <c r="R54" s="75">
        <f t="shared" si="35"/>
        <v>-0.18899326628814483</v>
      </c>
    </row>
    <row r="55" spans="2:18">
      <c r="B55" s="81"/>
      <c r="C55">
        <v>3</v>
      </c>
      <c r="D55">
        <v>368</v>
      </c>
      <c r="E55">
        <v>0.68400000000000005</v>
      </c>
      <c r="F55" s="78"/>
      <c r="G55" s="75">
        <f t="shared" si="24"/>
        <v>0.22246644973261098</v>
      </c>
      <c r="H55" s="76">
        <f t="shared" si="25"/>
        <v>-0.5</v>
      </c>
      <c r="I55" s="75">
        <f t="shared" si="26"/>
        <v>-3.1914893617021267E-2</v>
      </c>
      <c r="J55" s="75">
        <f t="shared" si="27"/>
        <v>-0.2431178707224334</v>
      </c>
      <c r="K55" s="76">
        <f t="shared" si="28"/>
        <v>0.14101988163775223</v>
      </c>
      <c r="L55" s="77">
        <f t="shared" si="29"/>
        <v>2.9834671281427111E-2</v>
      </c>
      <c r="M55" s="76">
        <f t="shared" si="30"/>
        <v>0.14101988163775223</v>
      </c>
      <c r="N55" s="77">
        <f t="shared" si="31"/>
        <v>2.9834671281427111E-2</v>
      </c>
      <c r="O55" s="76">
        <f t="shared" si="32"/>
        <v>-0.29883623873011983</v>
      </c>
      <c r="P55" s="77">
        <f t="shared" si="33"/>
        <v>0.10988193886828579</v>
      </c>
      <c r="Q55" s="76">
        <f t="shared" si="34"/>
        <v>0.1410198816377522</v>
      </c>
      <c r="R55" s="75">
        <f t="shared" si="35"/>
        <v>-0.19263177845118387</v>
      </c>
    </row>
    <row r="56" spans="2:18">
      <c r="B56" s="81"/>
      <c r="C56">
        <v>3</v>
      </c>
      <c r="D56">
        <v>384</v>
      </c>
      <c r="E56">
        <v>0.69174999999999998</v>
      </c>
      <c r="F56" s="78"/>
      <c r="G56" s="75">
        <f t="shared" si="24"/>
        <v>0.22654961133220294</v>
      </c>
      <c r="H56" s="76">
        <f t="shared" si="25"/>
        <v>-0.5</v>
      </c>
      <c r="I56" s="75">
        <f t="shared" si="26"/>
        <v>-1.0638297872340441E-2</v>
      </c>
      <c r="J56" s="75">
        <f t="shared" si="27"/>
        <v>-0.23840304182509509</v>
      </c>
      <c r="K56" s="76">
        <f t="shared" si="28"/>
        <v>0.16101334165447365</v>
      </c>
      <c r="L56" s="77">
        <f t="shared" si="29"/>
        <v>3.0279320717980035E-2</v>
      </c>
      <c r="M56" s="76">
        <f t="shared" si="30"/>
        <v>0.16101334165447365</v>
      </c>
      <c r="N56" s="77">
        <f t="shared" si="31"/>
        <v>3.0279320717980035E-2</v>
      </c>
      <c r="O56" s="76">
        <f t="shared" si="32"/>
        <v>-0.29883623873011983</v>
      </c>
      <c r="P56" s="77">
        <f t="shared" si="33"/>
        <v>0.11396510046787775</v>
      </c>
      <c r="Q56" s="76">
        <f t="shared" si="34"/>
        <v>0.16101334165447362</v>
      </c>
      <c r="R56" s="75">
        <f t="shared" si="35"/>
        <v>-0.19627029061422291</v>
      </c>
    </row>
    <row r="57" spans="2:18">
      <c r="B57" s="81"/>
      <c r="C57">
        <v>3</v>
      </c>
      <c r="D57">
        <v>400</v>
      </c>
      <c r="E57">
        <v>0.71274999999999999</v>
      </c>
      <c r="F57" s="78"/>
      <c r="G57" s="75">
        <f t="shared" si="24"/>
        <v>0.23761366211819429</v>
      </c>
      <c r="H57" s="76">
        <f t="shared" si="25"/>
        <v>-0.5</v>
      </c>
      <c r="I57" s="75">
        <f t="shared" si="26"/>
        <v>1.0638297872340385E-2</v>
      </c>
      <c r="J57" s="75">
        <f t="shared" si="27"/>
        <v>-0.22562737642585551</v>
      </c>
      <c r="K57" s="76">
        <f t="shared" si="28"/>
        <v>0.18100680167119507</v>
      </c>
      <c r="L57" s="77">
        <f t="shared" si="29"/>
        <v>3.7704859340932373E-2</v>
      </c>
      <c r="M57" s="76">
        <f t="shared" si="30"/>
        <v>0.18100680167119507</v>
      </c>
      <c r="N57" s="77">
        <f t="shared" si="31"/>
        <v>3.7704859340932373E-2</v>
      </c>
      <c r="O57" s="76">
        <f t="shared" si="32"/>
        <v>-0.29883623873011977</v>
      </c>
      <c r="P57" s="77">
        <f t="shared" si="33"/>
        <v>0.1250291512538691</v>
      </c>
      <c r="Q57" s="76">
        <f t="shared" si="34"/>
        <v>0.18100680167119504</v>
      </c>
      <c r="R57" s="75">
        <f t="shared" si="35"/>
        <v>-0.19990880277726192</v>
      </c>
    </row>
    <row r="58" spans="2:18">
      <c r="B58" s="81"/>
      <c r="C58">
        <v>3</v>
      </c>
      <c r="D58">
        <v>416</v>
      </c>
      <c r="E58">
        <v>0.72750000000000004</v>
      </c>
      <c r="F58" s="78"/>
      <c r="G58" s="75">
        <f t="shared" si="24"/>
        <v>0.24538484064645008</v>
      </c>
      <c r="H58" s="76">
        <f t="shared" si="25"/>
        <v>-0.5</v>
      </c>
      <c r="I58" s="75">
        <f t="shared" si="26"/>
        <v>3.1914893617021267E-2</v>
      </c>
      <c r="J58" s="75">
        <f t="shared" si="27"/>
        <v>-0.21665399239543726</v>
      </c>
      <c r="K58" s="76">
        <f t="shared" si="28"/>
        <v>0.20100026168791654</v>
      </c>
      <c r="L58" s="77">
        <f t="shared" si="29"/>
        <v>4.1837525706149126E-2</v>
      </c>
      <c r="M58" s="76">
        <f t="shared" si="30"/>
        <v>0.20100026168791654</v>
      </c>
      <c r="N58" s="77">
        <f t="shared" si="31"/>
        <v>4.1837525706149126E-2</v>
      </c>
      <c r="O58" s="76">
        <f t="shared" si="32"/>
        <v>-0.29883623873011977</v>
      </c>
      <c r="P58" s="77">
        <f t="shared" si="33"/>
        <v>0.13280032978212489</v>
      </c>
      <c r="Q58" s="76">
        <f t="shared" si="34"/>
        <v>0.20100026168791651</v>
      </c>
      <c r="R58" s="75">
        <f t="shared" si="35"/>
        <v>-0.20354731494030096</v>
      </c>
    </row>
    <row r="59" spans="2:18">
      <c r="B59" s="81"/>
      <c r="C59">
        <v>3</v>
      </c>
      <c r="D59">
        <v>432</v>
      </c>
      <c r="E59">
        <v>0.75</v>
      </c>
      <c r="F59" s="78"/>
      <c r="G59" s="75">
        <f t="shared" si="24"/>
        <v>0.25723918077429786</v>
      </c>
      <c r="H59" s="76">
        <f t="shared" si="25"/>
        <v>-0.5</v>
      </c>
      <c r="I59" s="75">
        <f t="shared" si="26"/>
        <v>5.3191489361702149E-2</v>
      </c>
      <c r="J59" s="75">
        <f t="shared" si="27"/>
        <v>-0.20296577946768063</v>
      </c>
      <c r="K59" s="76">
        <f t="shared" si="28"/>
        <v>0.22099372170463805</v>
      </c>
      <c r="L59" s="77">
        <f t="shared" si="29"/>
        <v>5.0053353670957895E-2</v>
      </c>
      <c r="M59" s="76">
        <f t="shared" si="30"/>
        <v>0.22099372170463805</v>
      </c>
      <c r="N59" s="77">
        <f t="shared" si="31"/>
        <v>5.0053353670957895E-2</v>
      </c>
      <c r="O59" s="76">
        <f t="shared" si="32"/>
        <v>-0.29883623873011977</v>
      </c>
      <c r="P59" s="77">
        <f t="shared" si="33"/>
        <v>0.14465466990997269</v>
      </c>
      <c r="Q59" s="76">
        <f t="shared" si="34"/>
        <v>0.22099372170463802</v>
      </c>
      <c r="R59" s="75">
        <f t="shared" si="35"/>
        <v>-0.20718582710333999</v>
      </c>
    </row>
    <row r="60" spans="2:18">
      <c r="B60" s="81"/>
      <c r="C60">
        <v>3</v>
      </c>
      <c r="D60">
        <v>448</v>
      </c>
      <c r="E60">
        <v>0.76749999999999996</v>
      </c>
      <c r="F60" s="78"/>
      <c r="G60" s="75">
        <f t="shared" si="24"/>
        <v>0.26645922309595732</v>
      </c>
      <c r="H60" s="76">
        <f t="shared" si="25"/>
        <v>-0.5</v>
      </c>
      <c r="I60" s="75">
        <f t="shared" si="26"/>
        <v>7.4468085106383031E-2</v>
      </c>
      <c r="J60" s="75">
        <f t="shared" si="27"/>
        <v>-0.19231939163498102</v>
      </c>
      <c r="K60" s="76">
        <f t="shared" si="28"/>
        <v>0.24098718172135952</v>
      </c>
      <c r="L60" s="77">
        <f t="shared" si="29"/>
        <v>5.5634883829578291E-2</v>
      </c>
      <c r="M60" s="76">
        <f t="shared" si="30"/>
        <v>0.24098718172135952</v>
      </c>
      <c r="N60" s="77">
        <f t="shared" si="31"/>
        <v>5.5634883829578291E-2</v>
      </c>
      <c r="O60" s="76">
        <f t="shared" si="32"/>
        <v>-0.29883623873011977</v>
      </c>
      <c r="P60" s="77">
        <f t="shared" si="33"/>
        <v>0.15387471223163213</v>
      </c>
      <c r="Q60" s="76">
        <f t="shared" si="34"/>
        <v>0.24098718172135949</v>
      </c>
      <c r="R60" s="75">
        <f t="shared" si="35"/>
        <v>-0.21082433926637903</v>
      </c>
    </row>
    <row r="61" spans="2:18">
      <c r="B61" s="81"/>
      <c r="C61">
        <v>3</v>
      </c>
      <c r="D61">
        <v>464</v>
      </c>
      <c r="E61">
        <v>0.81799999999999995</v>
      </c>
      <c r="F61" s="78"/>
      <c r="G61" s="75">
        <f t="shared" si="24"/>
        <v>0.29306563093846016</v>
      </c>
      <c r="H61" s="76">
        <f t="shared" si="25"/>
        <v>-0.5</v>
      </c>
      <c r="I61" s="75">
        <f t="shared" si="26"/>
        <v>9.5744680851063801E-2</v>
      </c>
      <c r="J61" s="75">
        <f t="shared" si="27"/>
        <v>-0.16159695817490499</v>
      </c>
      <c r="K61" s="76">
        <f t="shared" si="28"/>
        <v>0.26098064173808094</v>
      </c>
      <c r="L61" s="77">
        <f t="shared" si="29"/>
        <v>7.8602779509042153E-2</v>
      </c>
      <c r="M61" s="76">
        <f t="shared" si="30"/>
        <v>0.26098064173808094</v>
      </c>
      <c r="N61" s="77">
        <f t="shared" si="31"/>
        <v>7.8602779509042153E-2</v>
      </c>
      <c r="O61" s="76">
        <f t="shared" si="32"/>
        <v>-0.29883623873011977</v>
      </c>
      <c r="P61" s="77">
        <f t="shared" si="33"/>
        <v>0.180481120074135</v>
      </c>
      <c r="Q61" s="76">
        <f t="shared" si="34"/>
        <v>0.26098064173808089</v>
      </c>
      <c r="R61" s="75">
        <f t="shared" si="35"/>
        <v>-0.21446285142941804</v>
      </c>
    </row>
    <row r="62" spans="2:18">
      <c r="B62" s="81"/>
      <c r="C62">
        <v>3</v>
      </c>
      <c r="D62">
        <v>480</v>
      </c>
      <c r="E62">
        <v>0.83650000000000002</v>
      </c>
      <c r="F62" s="78"/>
      <c r="G62" s="75">
        <f t="shared" si="24"/>
        <v>0.30281253282135739</v>
      </c>
      <c r="H62" s="76">
        <f t="shared" si="25"/>
        <v>-0.5</v>
      </c>
      <c r="I62" s="75">
        <f t="shared" si="26"/>
        <v>0.11702127659574468</v>
      </c>
      <c r="J62" s="75">
        <f t="shared" si="27"/>
        <v>-0.15034220532319387</v>
      </c>
      <c r="K62" s="76">
        <f t="shared" si="28"/>
        <v>0.28097410175480242</v>
      </c>
      <c r="L62" s="77">
        <f t="shared" si="29"/>
        <v>8.4711169228900318E-2</v>
      </c>
      <c r="M62" s="76">
        <f t="shared" si="30"/>
        <v>0.28097410175480242</v>
      </c>
      <c r="N62" s="77">
        <f t="shared" si="31"/>
        <v>8.4711169228900318E-2</v>
      </c>
      <c r="O62" s="76">
        <f t="shared" si="32"/>
        <v>-0.29883623873011977</v>
      </c>
      <c r="P62" s="77">
        <f t="shared" si="33"/>
        <v>0.1902280219570322</v>
      </c>
      <c r="Q62" s="76">
        <f t="shared" si="34"/>
        <v>0.28097410175480236</v>
      </c>
      <c r="R62" s="75">
        <f t="shared" si="35"/>
        <v>-0.21810136359245708</v>
      </c>
    </row>
    <row r="63" spans="2:18">
      <c r="B63" s="81"/>
      <c r="C63">
        <v>3</v>
      </c>
      <c r="D63">
        <v>496</v>
      </c>
      <c r="E63">
        <v>0.84950000000000003</v>
      </c>
      <c r="F63" s="78"/>
      <c r="G63" s="75">
        <f t="shared" si="24"/>
        <v>0.30966170711744723</v>
      </c>
      <c r="H63" s="76">
        <f t="shared" si="25"/>
        <v>-0.5</v>
      </c>
      <c r="I63" s="75">
        <f t="shared" si="26"/>
        <v>0.13829787234042556</v>
      </c>
      <c r="J63" s="75">
        <f t="shared" si="27"/>
        <v>-0.14243346007604563</v>
      </c>
      <c r="K63" s="76">
        <f t="shared" si="28"/>
        <v>0.30096756177152389</v>
      </c>
      <c r="L63" s="77">
        <f t="shared" si="29"/>
        <v>8.79218313619511E-2</v>
      </c>
      <c r="M63" s="76">
        <f t="shared" si="30"/>
        <v>0.30096756177152389</v>
      </c>
      <c r="N63" s="77">
        <f t="shared" si="31"/>
        <v>8.79218313619511E-2</v>
      </c>
      <c r="O63" s="76">
        <f t="shared" si="32"/>
        <v>-0.29883623873011977</v>
      </c>
      <c r="P63" s="77">
        <f t="shared" si="33"/>
        <v>0.19707719625312203</v>
      </c>
      <c r="Q63" s="76">
        <f t="shared" si="34"/>
        <v>0.30096756177152384</v>
      </c>
      <c r="R63" s="75">
        <f t="shared" si="35"/>
        <v>-0.22173987575549611</v>
      </c>
    </row>
    <row r="64" spans="2:18">
      <c r="B64" s="81"/>
      <c r="C64">
        <v>3</v>
      </c>
      <c r="D64">
        <v>512</v>
      </c>
      <c r="E64">
        <v>0.86699999999999999</v>
      </c>
      <c r="F64" s="78"/>
      <c r="G64" s="75">
        <f t="shared" si="24"/>
        <v>0.31888174943910669</v>
      </c>
      <c r="H64" s="76">
        <f t="shared" si="25"/>
        <v>-0.5</v>
      </c>
      <c r="I64" s="75">
        <f t="shared" si="26"/>
        <v>0.15957446808510634</v>
      </c>
      <c r="J64" s="75">
        <f t="shared" si="27"/>
        <v>-0.13178707224334596</v>
      </c>
      <c r="K64" s="76">
        <f t="shared" si="28"/>
        <v>0.32096102178824526</v>
      </c>
      <c r="L64" s="77">
        <f t="shared" si="29"/>
        <v>9.3503361520571524E-2</v>
      </c>
      <c r="M64" s="76">
        <f t="shared" si="30"/>
        <v>0.32096102178824526</v>
      </c>
      <c r="N64" s="77">
        <f t="shared" si="31"/>
        <v>9.3503361520571524E-2</v>
      </c>
      <c r="O64" s="76">
        <f t="shared" si="32"/>
        <v>-0.29883623873011977</v>
      </c>
      <c r="P64" s="77">
        <f t="shared" si="33"/>
        <v>0.20629723857478149</v>
      </c>
      <c r="Q64" s="76">
        <f t="shared" si="34"/>
        <v>0.3209610217882452</v>
      </c>
      <c r="R64" s="75">
        <f t="shared" si="35"/>
        <v>-0.22537838791853515</v>
      </c>
    </row>
    <row r="65" spans="2:18">
      <c r="B65" s="81"/>
      <c r="C65">
        <v>3</v>
      </c>
      <c r="D65">
        <v>528</v>
      </c>
      <c r="E65">
        <v>0.92874999999999996</v>
      </c>
      <c r="F65" s="78"/>
      <c r="G65" s="75">
        <f t="shared" si="24"/>
        <v>0.35141532734553343</v>
      </c>
      <c r="H65" s="76">
        <f t="shared" si="25"/>
        <v>-0.5</v>
      </c>
      <c r="I65" s="75">
        <f t="shared" si="26"/>
        <v>0.18085106382978722</v>
      </c>
      <c r="J65" s="75">
        <f t="shared" si="27"/>
        <v>-9.4220532319391648E-2</v>
      </c>
      <c r="K65" s="76">
        <f t="shared" si="28"/>
        <v>0.34095448180496679</v>
      </c>
      <c r="L65" s="77">
        <f t="shared" si="29"/>
        <v>0.12239842726395929</v>
      </c>
      <c r="M65" s="76">
        <f t="shared" si="30"/>
        <v>0.34095448180496679</v>
      </c>
      <c r="N65" s="77">
        <f t="shared" si="31"/>
        <v>0.12239842726395929</v>
      </c>
      <c r="O65" s="76">
        <f t="shared" si="32"/>
        <v>-0.29883623873011977</v>
      </c>
      <c r="P65" s="77">
        <f t="shared" si="33"/>
        <v>0.23883081648120824</v>
      </c>
      <c r="Q65" s="76">
        <f t="shared" si="34"/>
        <v>0.34095448180496674</v>
      </c>
      <c r="R65" s="75">
        <f t="shared" si="35"/>
        <v>-0.22901690008157416</v>
      </c>
    </row>
    <row r="66" spans="2:18">
      <c r="B66" s="81"/>
      <c r="C66">
        <v>3</v>
      </c>
      <c r="D66">
        <v>544</v>
      </c>
      <c r="E66">
        <v>0.94099999999999995</v>
      </c>
      <c r="F66" s="78"/>
      <c r="G66" s="75">
        <f t="shared" si="24"/>
        <v>0.357869356970695</v>
      </c>
      <c r="H66" s="76">
        <f t="shared" si="25"/>
        <v>-0.5</v>
      </c>
      <c r="I66" s="75">
        <f t="shared" si="26"/>
        <v>0.2021276595744681</v>
      </c>
      <c r="J66" s="75">
        <f t="shared" si="27"/>
        <v>-8.6768060836501959E-2</v>
      </c>
      <c r="K66" s="76">
        <f t="shared" si="28"/>
        <v>0.36094794182168821</v>
      </c>
      <c r="L66" s="77">
        <f t="shared" si="29"/>
        <v>0.1252139447260818</v>
      </c>
      <c r="M66" s="76">
        <f t="shared" si="30"/>
        <v>0.36094794182168821</v>
      </c>
      <c r="N66" s="77">
        <f t="shared" si="31"/>
        <v>0.1252139447260818</v>
      </c>
      <c r="O66" s="76">
        <f t="shared" si="32"/>
        <v>-0.29883623873011977</v>
      </c>
      <c r="P66" s="77">
        <f t="shared" si="33"/>
        <v>0.2452848461063698</v>
      </c>
      <c r="Q66" s="76">
        <f t="shared" si="34"/>
        <v>0.36094794182168816</v>
      </c>
      <c r="R66" s="75">
        <f t="shared" si="35"/>
        <v>-0.2326554122446132</v>
      </c>
    </row>
    <row r="67" spans="2:18">
      <c r="B67" s="81"/>
      <c r="C67">
        <v>3</v>
      </c>
      <c r="D67">
        <v>560</v>
      </c>
      <c r="E67">
        <v>0.94425000000000003</v>
      </c>
      <c r="F67" s="78"/>
      <c r="G67" s="75">
        <f t="shared" si="24"/>
        <v>0.35958165054471758</v>
      </c>
      <c r="H67" s="76">
        <f t="shared" si="25"/>
        <v>-0.5</v>
      </c>
      <c r="I67" s="75">
        <f t="shared" si="26"/>
        <v>0.22340425531914898</v>
      </c>
      <c r="J67" s="75">
        <f t="shared" si="27"/>
        <v>-8.4790874524714788E-2</v>
      </c>
      <c r="K67" s="76">
        <f t="shared" si="28"/>
        <v>0.38094140183840974</v>
      </c>
      <c r="L67" s="77">
        <f t="shared" si="29"/>
        <v>0.12328772613706532</v>
      </c>
      <c r="M67" s="76">
        <f t="shared" si="30"/>
        <v>0.38094140183840974</v>
      </c>
      <c r="N67" s="77">
        <f t="shared" si="31"/>
        <v>0.12328772613706532</v>
      </c>
      <c r="O67" s="76">
        <f t="shared" si="32"/>
        <v>-0.29883623873011977</v>
      </c>
      <c r="P67" s="77">
        <f t="shared" si="33"/>
        <v>0.24699713968039236</v>
      </c>
      <c r="Q67" s="76">
        <f t="shared" si="34"/>
        <v>0.38094140183840969</v>
      </c>
      <c r="R67" s="75">
        <f t="shared" si="35"/>
        <v>-0.23629392440765223</v>
      </c>
    </row>
    <row r="68" spans="2:18">
      <c r="B68" s="81"/>
      <c r="C68">
        <v>3</v>
      </c>
      <c r="D68">
        <v>576</v>
      </c>
      <c r="E68">
        <v>0.95399999999999996</v>
      </c>
      <c r="F68" s="78"/>
      <c r="G68" s="75">
        <f t="shared" si="24"/>
        <v>0.36471853126678488</v>
      </c>
      <c r="H68" s="76">
        <f t="shared" si="25"/>
        <v>-0.5</v>
      </c>
      <c r="I68" s="75">
        <f t="shared" si="26"/>
        <v>0.24468085106382975</v>
      </c>
      <c r="J68" s="75">
        <f t="shared" si="27"/>
        <v>-7.8859315589353607E-2</v>
      </c>
      <c r="K68" s="76">
        <f t="shared" si="28"/>
        <v>0.40093486185513111</v>
      </c>
      <c r="L68" s="77">
        <f t="shared" si="29"/>
        <v>0.12478609469609367</v>
      </c>
      <c r="M68" s="76">
        <f t="shared" si="30"/>
        <v>0.40093486185513111</v>
      </c>
      <c r="N68" s="77">
        <f t="shared" si="31"/>
        <v>0.12478609469609367</v>
      </c>
      <c r="O68" s="76">
        <f t="shared" si="32"/>
        <v>-0.29883623873011977</v>
      </c>
      <c r="P68" s="77">
        <f t="shared" si="33"/>
        <v>0.25213402040245969</v>
      </c>
      <c r="Q68" s="76">
        <f t="shared" si="34"/>
        <v>0.40093486185513105</v>
      </c>
      <c r="R68" s="75">
        <f t="shared" si="35"/>
        <v>-0.23993243657069124</v>
      </c>
    </row>
    <row r="69" spans="2:18">
      <c r="B69" s="81"/>
      <c r="C69">
        <v>3</v>
      </c>
      <c r="D69">
        <v>592</v>
      </c>
      <c r="E69">
        <v>0.97399999999999998</v>
      </c>
      <c r="F69" s="78"/>
      <c r="G69" s="75">
        <f t="shared" si="24"/>
        <v>0.3752557224915386</v>
      </c>
      <c r="H69" s="76">
        <f t="shared" si="25"/>
        <v>-0.5</v>
      </c>
      <c r="I69" s="75">
        <f t="shared" si="26"/>
        <v>0.26595744680851063</v>
      </c>
      <c r="J69" s="75">
        <f t="shared" si="27"/>
        <v>-6.6692015209125433E-2</v>
      </c>
      <c r="K69" s="76">
        <f t="shared" si="28"/>
        <v>0.42092832187185258</v>
      </c>
      <c r="L69" s="77">
        <f t="shared" si="29"/>
        <v>0.13168477375780827</v>
      </c>
      <c r="M69" s="76">
        <f t="shared" si="30"/>
        <v>0.42092832187185258</v>
      </c>
      <c r="N69" s="77">
        <f t="shared" si="31"/>
        <v>0.13168477375780827</v>
      </c>
      <c r="O69" s="76">
        <f t="shared" si="32"/>
        <v>-0.29883623873011977</v>
      </c>
      <c r="P69" s="77">
        <f t="shared" si="33"/>
        <v>0.26267121162721341</v>
      </c>
      <c r="Q69" s="76">
        <f t="shared" si="34"/>
        <v>0.42092832187185253</v>
      </c>
      <c r="R69" s="75">
        <f t="shared" si="35"/>
        <v>-0.24357094873373031</v>
      </c>
    </row>
    <row r="70" spans="2:18">
      <c r="B70" s="81"/>
      <c r="C70">
        <v>3</v>
      </c>
      <c r="D70">
        <v>608</v>
      </c>
      <c r="E70">
        <v>0.98199999999999998</v>
      </c>
      <c r="F70" s="78"/>
      <c r="G70" s="75">
        <f t="shared" si="24"/>
        <v>0.37947059898143998</v>
      </c>
      <c r="H70" s="76">
        <f t="shared" si="25"/>
        <v>-0.5</v>
      </c>
      <c r="I70" s="75">
        <f t="shared" si="26"/>
        <v>0.28723404255319152</v>
      </c>
      <c r="J70" s="75">
        <f t="shared" si="27"/>
        <v>-6.1825095057034207E-2</v>
      </c>
      <c r="K70" s="76">
        <f t="shared" si="28"/>
        <v>0.440921781888574</v>
      </c>
      <c r="L70" s="77">
        <f t="shared" si="29"/>
        <v>0.13226113808467069</v>
      </c>
      <c r="M70" s="76">
        <f t="shared" si="30"/>
        <v>0.440921781888574</v>
      </c>
      <c r="N70" s="77">
        <f t="shared" si="31"/>
        <v>0.13226113808467069</v>
      </c>
      <c r="O70" s="76">
        <f t="shared" si="32"/>
        <v>-0.29883623873011977</v>
      </c>
      <c r="P70" s="77">
        <f t="shared" si="33"/>
        <v>0.26688608811711478</v>
      </c>
      <c r="Q70" s="76">
        <f t="shared" si="34"/>
        <v>0.44092178188857395</v>
      </c>
      <c r="R70" s="75">
        <f t="shared" si="35"/>
        <v>-0.24720946089676932</v>
      </c>
    </row>
    <row r="71" spans="2:18">
      <c r="B71" s="81"/>
      <c r="C71">
        <v>3</v>
      </c>
      <c r="D71">
        <v>624</v>
      </c>
      <c r="E71">
        <v>0.99475000000000002</v>
      </c>
      <c r="F71" s="78"/>
      <c r="G71" s="75">
        <f t="shared" si="24"/>
        <v>0.38618805838722042</v>
      </c>
      <c r="H71" s="76">
        <f t="shared" si="25"/>
        <v>-0.5</v>
      </c>
      <c r="I71" s="75">
        <f t="shared" si="26"/>
        <v>0.30851063829787229</v>
      </c>
      <c r="J71" s="75">
        <f t="shared" si="27"/>
        <v>-5.4068441064638761E-2</v>
      </c>
      <c r="K71" s="76">
        <f t="shared" si="28"/>
        <v>0.46091524190529543</v>
      </c>
      <c r="L71" s="77">
        <f t="shared" si="29"/>
        <v>0.1353400853274121</v>
      </c>
      <c r="M71" s="76">
        <f t="shared" si="30"/>
        <v>0.46091524190529543</v>
      </c>
      <c r="N71" s="77">
        <f t="shared" si="31"/>
        <v>0.1353400853274121</v>
      </c>
      <c r="O71" s="76">
        <f t="shared" si="32"/>
        <v>-0.29883623873011977</v>
      </c>
      <c r="P71" s="77">
        <f t="shared" si="33"/>
        <v>0.27360354752289523</v>
      </c>
      <c r="Q71" s="76">
        <f t="shared" si="34"/>
        <v>0.46091524190529537</v>
      </c>
      <c r="R71" s="75">
        <f t="shared" si="35"/>
        <v>-0.25084797305980833</v>
      </c>
    </row>
    <row r="72" spans="2:18">
      <c r="B72" s="81"/>
      <c r="C72">
        <v>3</v>
      </c>
      <c r="D72">
        <v>640</v>
      </c>
      <c r="E72">
        <v>1.0042500000000001</v>
      </c>
      <c r="F72" s="78"/>
      <c r="G72" s="75">
        <f t="shared" ref="G72:G103" si="36">D$19*(L72-R72)</f>
        <v>0.39119322421897851</v>
      </c>
      <c r="H72" s="76">
        <f t="shared" ref="H72:H103" si="37">(C72-H$16)/H$17-0.5</f>
        <v>-0.5</v>
      </c>
      <c r="I72" s="75">
        <f t="shared" ref="I72:I103" si="38">(D72-I$16)/I$17-0.5</f>
        <v>0.32978723404255317</v>
      </c>
      <c r="J72" s="75">
        <f t="shared" ref="J72:J103" si="39">(E72-J$16)/J$17-0.5</f>
        <v>-4.828897338403032E-2</v>
      </c>
      <c r="K72" s="76">
        <f t="shared" ref="K72:K103" si="40">(H72*$H$13+I72*$I$13+J72*$J$13+$D$27)*$C$27</f>
        <v>0.48090870192201696</v>
      </c>
      <c r="L72" s="77">
        <f t="shared" ref="L72:L103" si="41">(H72*$H$14+I72*$I$14+J72*$J$14+$E$27)*$C$27</f>
        <v>0.13670673899613109</v>
      </c>
      <c r="M72" s="76">
        <f t="shared" ref="M72:M103" si="42">(H$27*$H$13+I72*$I$13+J72*$J$13+$D$27)*$C$27</f>
        <v>0.48090870192201696</v>
      </c>
      <c r="N72" s="77">
        <f t="shared" ref="N72:N103" si="43">(H$27*$H$14+I72*$I$14+J72*$J$14+$E$27)*$C$27</f>
        <v>0.13670673899613109</v>
      </c>
      <c r="O72" s="76">
        <f t="shared" ref="O72:O103" si="44">(H72*$H$13+I$27*$I$13+J72*$J$13+$D$27)*$C$27</f>
        <v>-0.29883623873011977</v>
      </c>
      <c r="P72" s="77">
        <f t="shared" ref="P72:P103" si="45">(H72*$H$14+I$27*$I$14+J72*$J$14+$E$27)*$C$27</f>
        <v>0.27860871335465331</v>
      </c>
      <c r="Q72" s="76">
        <f t="shared" ref="Q72:Q103" si="46">(H72*$H$13+I72*$I$13+J$27*$J$13+$D$27)*$C$27</f>
        <v>0.4809087019220169</v>
      </c>
      <c r="R72" s="75">
        <f t="shared" ref="R72:R103" si="47">(H72*$H$14+I72*$I$14+J$27*$J$14+$E$27)*$C$27</f>
        <v>-0.25448648522284739</v>
      </c>
    </row>
    <row r="73" spans="2:18">
      <c r="B73" s="81"/>
      <c r="C73">
        <v>3</v>
      </c>
      <c r="D73">
        <v>656</v>
      </c>
      <c r="E73">
        <v>1.0245</v>
      </c>
      <c r="F73" s="78"/>
      <c r="G73" s="75">
        <f t="shared" si="36"/>
        <v>0.4018621303340415</v>
      </c>
      <c r="H73" s="76">
        <f t="shared" si="37"/>
        <v>-0.5</v>
      </c>
      <c r="I73" s="75">
        <f t="shared" si="38"/>
        <v>0.35106382978723405</v>
      </c>
      <c r="J73" s="75">
        <f t="shared" si="39"/>
        <v>-3.5969581749049406E-2</v>
      </c>
      <c r="K73" s="76">
        <f t="shared" si="40"/>
        <v>0.50090216193873838</v>
      </c>
      <c r="L73" s="77">
        <f t="shared" si="41"/>
        <v>0.14373713294815504</v>
      </c>
      <c r="M73" s="76">
        <f t="shared" si="42"/>
        <v>0.50090216193873838</v>
      </c>
      <c r="N73" s="77">
        <f t="shared" si="43"/>
        <v>0.14373713294815504</v>
      </c>
      <c r="O73" s="76">
        <f t="shared" si="44"/>
        <v>-0.29883623873011977</v>
      </c>
      <c r="P73" s="77">
        <f t="shared" si="45"/>
        <v>0.28927761946971625</v>
      </c>
      <c r="Q73" s="76">
        <f t="shared" si="46"/>
        <v>0.50090216193873827</v>
      </c>
      <c r="R73" s="75">
        <f t="shared" si="47"/>
        <v>-0.25812499738588646</v>
      </c>
    </row>
    <row r="74" spans="2:18">
      <c r="B74" s="81"/>
      <c r="C74">
        <v>3</v>
      </c>
      <c r="D74">
        <v>672</v>
      </c>
      <c r="E74">
        <v>1.0305</v>
      </c>
      <c r="F74" s="78"/>
      <c r="G74" s="75">
        <f t="shared" si="36"/>
        <v>0.40502328770146756</v>
      </c>
      <c r="H74" s="76">
        <f t="shared" si="37"/>
        <v>-0.5</v>
      </c>
      <c r="I74" s="75">
        <f t="shared" si="38"/>
        <v>0.37234042553191493</v>
      </c>
      <c r="J74" s="75">
        <f t="shared" si="39"/>
        <v>-3.2319391634980987E-2</v>
      </c>
      <c r="K74" s="76">
        <f t="shared" si="40"/>
        <v>0.52089562195545991</v>
      </c>
      <c r="L74" s="77">
        <f t="shared" si="41"/>
        <v>0.14325977815254207</v>
      </c>
      <c r="M74" s="76">
        <f t="shared" si="42"/>
        <v>0.52089562195545991</v>
      </c>
      <c r="N74" s="77">
        <f t="shared" si="43"/>
        <v>0.14325977815254207</v>
      </c>
      <c r="O74" s="76">
        <f t="shared" si="44"/>
        <v>-0.29883623873011977</v>
      </c>
      <c r="P74" s="77">
        <f t="shared" si="45"/>
        <v>0.29243877683714237</v>
      </c>
      <c r="Q74" s="76">
        <f t="shared" si="46"/>
        <v>0.5208956219554598</v>
      </c>
      <c r="R74" s="75">
        <f t="shared" si="47"/>
        <v>-0.26176350954892547</v>
      </c>
    </row>
    <row r="75" spans="2:18">
      <c r="B75" s="81"/>
      <c r="C75">
        <v>3</v>
      </c>
      <c r="D75">
        <v>688</v>
      </c>
      <c r="E75">
        <v>1.0402499999999999</v>
      </c>
      <c r="F75" s="78"/>
      <c r="G75" s="75">
        <f t="shared" si="36"/>
        <v>0.41016016842353487</v>
      </c>
      <c r="H75" s="76">
        <f t="shared" si="37"/>
        <v>-0.5</v>
      </c>
      <c r="I75" s="75">
        <f t="shared" si="38"/>
        <v>0.3936170212765957</v>
      </c>
      <c r="J75" s="75">
        <f t="shared" si="39"/>
        <v>-2.6387832699619806E-2</v>
      </c>
      <c r="K75" s="76">
        <f t="shared" si="40"/>
        <v>0.54088908197218122</v>
      </c>
      <c r="L75" s="77">
        <f t="shared" si="41"/>
        <v>0.14475814671157042</v>
      </c>
      <c r="M75" s="76">
        <f t="shared" si="42"/>
        <v>0.54088908197218122</v>
      </c>
      <c r="N75" s="77">
        <f t="shared" si="43"/>
        <v>0.14475814671157042</v>
      </c>
      <c r="O75" s="76">
        <f t="shared" si="44"/>
        <v>-0.29883623873011977</v>
      </c>
      <c r="P75" s="77">
        <f t="shared" si="45"/>
        <v>0.29757565755920973</v>
      </c>
      <c r="Q75" s="76">
        <f t="shared" si="46"/>
        <v>0.54088908197218111</v>
      </c>
      <c r="R75" s="75">
        <f t="shared" si="47"/>
        <v>-0.26540202171196448</v>
      </c>
    </row>
    <row r="76" spans="2:18">
      <c r="B76" s="81"/>
      <c r="C76">
        <v>3</v>
      </c>
      <c r="D76">
        <v>704</v>
      </c>
      <c r="E76">
        <v>1.04975</v>
      </c>
      <c r="F76" s="78"/>
      <c r="G76" s="75">
        <f t="shared" si="36"/>
        <v>0.41516533425529289</v>
      </c>
      <c r="H76" s="76">
        <f t="shared" si="37"/>
        <v>-0.5</v>
      </c>
      <c r="I76" s="75">
        <f t="shared" si="38"/>
        <v>0.41489361702127658</v>
      </c>
      <c r="J76" s="75">
        <f t="shared" si="39"/>
        <v>-2.0608365019011421E-2</v>
      </c>
      <c r="K76" s="76">
        <f t="shared" si="40"/>
        <v>0.56088254198890275</v>
      </c>
      <c r="L76" s="77">
        <f t="shared" si="41"/>
        <v>0.14612480038028938</v>
      </c>
      <c r="M76" s="76">
        <f t="shared" si="42"/>
        <v>0.56088254198890275</v>
      </c>
      <c r="N76" s="77">
        <f t="shared" si="43"/>
        <v>0.14612480038028938</v>
      </c>
      <c r="O76" s="76">
        <f t="shared" si="44"/>
        <v>-0.29883623873011977</v>
      </c>
      <c r="P76" s="77">
        <f t="shared" si="45"/>
        <v>0.3025808233909677</v>
      </c>
      <c r="Q76" s="76">
        <f t="shared" si="46"/>
        <v>0.56088254198890264</v>
      </c>
      <c r="R76" s="75">
        <f t="shared" si="47"/>
        <v>-0.26904053387500348</v>
      </c>
    </row>
    <row r="77" spans="2:18">
      <c r="B77" s="81"/>
      <c r="C77">
        <v>3</v>
      </c>
      <c r="D77">
        <v>720</v>
      </c>
      <c r="E77">
        <v>1.0762499999999999</v>
      </c>
      <c r="F77" s="78"/>
      <c r="G77" s="75">
        <f t="shared" si="36"/>
        <v>0.42912711262809144</v>
      </c>
      <c r="H77" s="76">
        <f t="shared" si="37"/>
        <v>-0.5</v>
      </c>
      <c r="I77" s="75">
        <f t="shared" si="38"/>
        <v>0.43617021276595747</v>
      </c>
      <c r="J77" s="75">
        <f t="shared" si="39"/>
        <v>-4.4866920152091261E-3</v>
      </c>
      <c r="K77" s="76">
        <f t="shared" si="40"/>
        <v>0.58087600200562428</v>
      </c>
      <c r="L77" s="77">
        <f t="shared" si="41"/>
        <v>0.1564480665900489</v>
      </c>
      <c r="M77" s="76">
        <f t="shared" si="42"/>
        <v>0.58087600200562428</v>
      </c>
      <c r="N77" s="77">
        <f t="shared" si="43"/>
        <v>0.1564480665900489</v>
      </c>
      <c r="O77" s="76">
        <f t="shared" si="44"/>
        <v>-0.29883623873011977</v>
      </c>
      <c r="P77" s="77">
        <f t="shared" si="45"/>
        <v>0.31654260176376625</v>
      </c>
      <c r="Q77" s="76">
        <f t="shared" si="46"/>
        <v>0.58087600200562417</v>
      </c>
      <c r="R77" s="75">
        <f t="shared" si="47"/>
        <v>-0.27267904603804255</v>
      </c>
    </row>
    <row r="78" spans="2:18">
      <c r="B78" s="81"/>
      <c r="C78">
        <v>3</v>
      </c>
      <c r="D78">
        <v>736</v>
      </c>
      <c r="E78">
        <v>1.0925</v>
      </c>
      <c r="F78" s="78"/>
      <c r="G78" s="75">
        <f t="shared" si="36"/>
        <v>0.43768858049820381</v>
      </c>
      <c r="H78" s="76">
        <f t="shared" si="37"/>
        <v>-0.5</v>
      </c>
      <c r="I78" s="75">
        <f t="shared" si="38"/>
        <v>0.45744680851063835</v>
      </c>
      <c r="J78" s="75">
        <f t="shared" si="39"/>
        <v>5.3992395437262308E-3</v>
      </c>
      <c r="K78" s="76">
        <f t="shared" si="40"/>
        <v>0.6008694620223457</v>
      </c>
      <c r="L78" s="77">
        <f t="shared" si="41"/>
        <v>0.16137102229712219</v>
      </c>
      <c r="M78" s="76">
        <f t="shared" si="42"/>
        <v>0.6008694620223457</v>
      </c>
      <c r="N78" s="77">
        <f t="shared" si="43"/>
        <v>0.16137102229712219</v>
      </c>
      <c r="O78" s="76">
        <f t="shared" si="44"/>
        <v>-0.29883623873011977</v>
      </c>
      <c r="P78" s="77">
        <f t="shared" si="45"/>
        <v>0.32510406963387856</v>
      </c>
      <c r="Q78" s="76">
        <f t="shared" si="46"/>
        <v>0.60086946202234559</v>
      </c>
      <c r="R78" s="75">
        <f t="shared" si="47"/>
        <v>-0.27631755820108161</v>
      </c>
    </row>
    <row r="79" spans="2:18">
      <c r="B79" s="81"/>
      <c r="C79">
        <v>3</v>
      </c>
      <c r="D79">
        <v>752</v>
      </c>
      <c r="E79">
        <v>1.1034999999999999</v>
      </c>
      <c r="F79" s="78"/>
      <c r="G79" s="75">
        <f t="shared" si="36"/>
        <v>0.44348403567181827</v>
      </c>
      <c r="H79" s="76">
        <f t="shared" si="37"/>
        <v>-0.5</v>
      </c>
      <c r="I79" s="75">
        <f t="shared" si="38"/>
        <v>0.47872340425531912</v>
      </c>
      <c r="J79" s="75">
        <f t="shared" si="39"/>
        <v>1.2091254752851666E-2</v>
      </c>
      <c r="K79" s="76">
        <f t="shared" si="40"/>
        <v>0.62086292203906712</v>
      </c>
      <c r="L79" s="77">
        <f t="shared" si="41"/>
        <v>0.16352796530769764</v>
      </c>
      <c r="M79" s="76">
        <f t="shared" si="42"/>
        <v>0.62086292203906712</v>
      </c>
      <c r="N79" s="77">
        <f t="shared" si="43"/>
        <v>0.16352796530769764</v>
      </c>
      <c r="O79" s="76">
        <f t="shared" si="44"/>
        <v>-0.29883623873011977</v>
      </c>
      <c r="P79" s="77">
        <f t="shared" si="45"/>
        <v>0.33089952480749302</v>
      </c>
      <c r="Q79" s="76">
        <f t="shared" si="46"/>
        <v>0.62086292203906701</v>
      </c>
      <c r="R79" s="75">
        <f t="shared" si="47"/>
        <v>-0.27995607036412062</v>
      </c>
    </row>
    <row r="80" spans="2:18">
      <c r="B80" s="81"/>
      <c r="C80">
        <v>3</v>
      </c>
      <c r="D80">
        <v>768</v>
      </c>
      <c r="E80">
        <v>1.11375</v>
      </c>
      <c r="F80" s="78"/>
      <c r="G80" s="75">
        <f t="shared" si="36"/>
        <v>0.44888434617450457</v>
      </c>
      <c r="H80" s="76">
        <f t="shared" si="37"/>
        <v>-0.5</v>
      </c>
      <c r="I80" s="75">
        <f t="shared" si="38"/>
        <v>0.5</v>
      </c>
      <c r="J80" s="75">
        <f t="shared" si="39"/>
        <v>1.8326996197718715E-2</v>
      </c>
      <c r="K80" s="76">
        <f t="shared" si="40"/>
        <v>0.64085638205578854</v>
      </c>
      <c r="L80" s="77">
        <f t="shared" si="41"/>
        <v>0.16528976364734493</v>
      </c>
      <c r="M80" s="76">
        <f t="shared" si="42"/>
        <v>0.64085638205578854</v>
      </c>
      <c r="N80" s="77">
        <f t="shared" si="43"/>
        <v>0.16528976364734493</v>
      </c>
      <c r="O80" s="76">
        <f t="shared" si="44"/>
        <v>-0.29883623873011977</v>
      </c>
      <c r="P80" s="77">
        <f t="shared" si="45"/>
        <v>0.33629983531017937</v>
      </c>
      <c r="Q80" s="76">
        <f t="shared" si="46"/>
        <v>0.64085638205578843</v>
      </c>
      <c r="R80" s="75">
        <f t="shared" si="47"/>
        <v>-0.28359458252715963</v>
      </c>
    </row>
    <row r="81" spans="2:18">
      <c r="B81" s="81"/>
      <c r="C81">
        <v>6</v>
      </c>
      <c r="D81">
        <v>16</v>
      </c>
      <c r="E81">
        <v>0.30225000000000002</v>
      </c>
      <c r="F81" s="78"/>
      <c r="G81" s="75">
        <f t="shared" si="36"/>
        <v>2.1337812230126096E-2</v>
      </c>
      <c r="H81" s="76">
        <f t="shared" si="37"/>
        <v>-0.41666666666666669</v>
      </c>
      <c r="I81" s="75">
        <f t="shared" si="38"/>
        <v>-0.5</v>
      </c>
      <c r="J81" s="75">
        <f t="shared" si="39"/>
        <v>-0.47536121673003801</v>
      </c>
      <c r="K81" s="76">
        <f t="shared" si="40"/>
        <v>-0.3273379173405922</v>
      </c>
      <c r="L81" s="77">
        <f t="shared" si="41"/>
        <v>-0.13040055783361187</v>
      </c>
      <c r="M81" s="76">
        <f t="shared" si="42"/>
        <v>-0.29883623873011983</v>
      </c>
      <c r="N81" s="77">
        <f t="shared" si="43"/>
        <v>-9.1246698634199097E-2</v>
      </c>
      <c r="O81" s="76">
        <f t="shared" si="44"/>
        <v>-0.3273379173405922</v>
      </c>
      <c r="P81" s="77">
        <f t="shared" si="45"/>
        <v>-0.13040055783361187</v>
      </c>
      <c r="Q81" s="76">
        <f t="shared" si="46"/>
        <v>-0.3273379173405922</v>
      </c>
      <c r="R81" s="75">
        <f t="shared" si="47"/>
        <v>-0.15173837006373797</v>
      </c>
    </row>
    <row r="82" spans="2:18">
      <c r="B82" s="81"/>
      <c r="C82">
        <v>6</v>
      </c>
      <c r="D82">
        <v>32</v>
      </c>
      <c r="E82">
        <v>0.26500000000000001</v>
      </c>
      <c r="F82" s="78"/>
      <c r="G82" s="75">
        <f t="shared" si="36"/>
        <v>1.7122935740225276E-3</v>
      </c>
      <c r="H82" s="76">
        <f t="shared" si="37"/>
        <v>-0.41666666666666669</v>
      </c>
      <c r="I82" s="75">
        <f t="shared" si="38"/>
        <v>-0.47872340425531917</v>
      </c>
      <c r="J82" s="75">
        <f t="shared" si="39"/>
        <v>-0.49802281368821288</v>
      </c>
      <c r="K82" s="76">
        <f t="shared" si="40"/>
        <v>-0.30734445732387078</v>
      </c>
      <c r="L82" s="77">
        <f t="shared" si="41"/>
        <v>-0.15366458865275451</v>
      </c>
      <c r="M82" s="76">
        <f t="shared" si="42"/>
        <v>-0.27884277871339841</v>
      </c>
      <c r="N82" s="77">
        <f t="shared" si="43"/>
        <v>-0.11451072945334168</v>
      </c>
      <c r="O82" s="76">
        <f t="shared" si="44"/>
        <v>-0.3273379173405922</v>
      </c>
      <c r="P82" s="77">
        <f t="shared" si="45"/>
        <v>-0.15002607648971544</v>
      </c>
      <c r="Q82" s="76">
        <f t="shared" si="46"/>
        <v>-0.30734445732387078</v>
      </c>
      <c r="R82" s="75">
        <f t="shared" si="47"/>
        <v>-0.15537688222677704</v>
      </c>
    </row>
    <row r="83" spans="2:18">
      <c r="B83" s="81"/>
      <c r="C83">
        <v>6</v>
      </c>
      <c r="D83">
        <v>48</v>
      </c>
      <c r="E83">
        <v>0.27250000000000002</v>
      </c>
      <c r="F83" s="78"/>
      <c r="G83" s="75">
        <f t="shared" si="36"/>
        <v>5.6637402833050743E-3</v>
      </c>
      <c r="H83" s="76">
        <f t="shared" si="37"/>
        <v>-0.41666666666666669</v>
      </c>
      <c r="I83" s="75">
        <f t="shared" si="38"/>
        <v>-0.45744680851063829</v>
      </c>
      <c r="J83" s="75">
        <f t="shared" si="39"/>
        <v>-0.49346007604562736</v>
      </c>
      <c r="K83" s="76">
        <f t="shared" si="40"/>
        <v>-0.2873509973071493</v>
      </c>
      <c r="L83" s="77">
        <f t="shared" si="41"/>
        <v>-0.15335165410651097</v>
      </c>
      <c r="M83" s="76">
        <f t="shared" si="42"/>
        <v>-0.25884931869667688</v>
      </c>
      <c r="N83" s="77">
        <f t="shared" si="43"/>
        <v>-0.11419779490709819</v>
      </c>
      <c r="O83" s="76">
        <f t="shared" si="44"/>
        <v>-0.3273379173405922</v>
      </c>
      <c r="P83" s="77">
        <f t="shared" si="45"/>
        <v>-0.1460746297804329</v>
      </c>
      <c r="Q83" s="76">
        <f t="shared" si="46"/>
        <v>-0.2873509973071493</v>
      </c>
      <c r="R83" s="75">
        <f t="shared" si="47"/>
        <v>-0.15901539438981604</v>
      </c>
    </row>
    <row r="84" spans="2:18">
      <c r="B84" s="81"/>
      <c r="C84">
        <v>6</v>
      </c>
      <c r="D84">
        <v>64</v>
      </c>
      <c r="E84">
        <v>0.30399999999999999</v>
      </c>
      <c r="F84" s="78"/>
      <c r="G84" s="75">
        <f t="shared" si="36"/>
        <v>2.2259816462292026E-2</v>
      </c>
      <c r="H84" s="76">
        <f t="shared" si="37"/>
        <v>-0.41666666666666669</v>
      </c>
      <c r="I84" s="75">
        <f t="shared" si="38"/>
        <v>-0.43617021276595747</v>
      </c>
      <c r="J84" s="75">
        <f t="shared" si="39"/>
        <v>-0.47429657794676805</v>
      </c>
      <c r="K84" s="76">
        <f t="shared" si="40"/>
        <v>-0.26735753729042788</v>
      </c>
      <c r="L84" s="77">
        <f t="shared" si="41"/>
        <v>-0.14039409009056308</v>
      </c>
      <c r="M84" s="76">
        <f t="shared" si="42"/>
        <v>-0.23885585867995549</v>
      </c>
      <c r="N84" s="77">
        <f t="shared" si="43"/>
        <v>-0.10124023089115025</v>
      </c>
      <c r="O84" s="76">
        <f t="shared" si="44"/>
        <v>-0.3273379173405922</v>
      </c>
      <c r="P84" s="77">
        <f t="shared" si="45"/>
        <v>-0.12947855360144594</v>
      </c>
      <c r="Q84" s="76">
        <f t="shared" si="46"/>
        <v>-0.26735753729042788</v>
      </c>
      <c r="R84" s="75">
        <f t="shared" si="47"/>
        <v>-0.16265390655285511</v>
      </c>
    </row>
    <row r="85" spans="2:18">
      <c r="B85" s="81"/>
      <c r="C85">
        <v>6</v>
      </c>
      <c r="D85">
        <v>80</v>
      </c>
      <c r="E85">
        <v>0.34575</v>
      </c>
      <c r="F85" s="78"/>
      <c r="G85" s="75">
        <f t="shared" si="36"/>
        <v>4.4256203143965278E-2</v>
      </c>
      <c r="H85" s="76">
        <f t="shared" si="37"/>
        <v>-0.41666666666666669</v>
      </c>
      <c r="I85" s="75">
        <f t="shared" si="38"/>
        <v>-0.41489361702127658</v>
      </c>
      <c r="J85" s="75">
        <f t="shared" si="39"/>
        <v>-0.4488973384030418</v>
      </c>
      <c r="K85" s="76">
        <f t="shared" si="40"/>
        <v>-0.24736407727370635</v>
      </c>
      <c r="L85" s="77">
        <f t="shared" si="41"/>
        <v>-0.12203621557192884</v>
      </c>
      <c r="M85" s="76">
        <f t="shared" si="42"/>
        <v>-0.21886239866323395</v>
      </c>
      <c r="N85" s="77">
        <f t="shared" si="43"/>
        <v>-8.2882356372516008E-2</v>
      </c>
      <c r="O85" s="76">
        <f t="shared" si="44"/>
        <v>-0.3273379173405922</v>
      </c>
      <c r="P85" s="77">
        <f t="shared" si="45"/>
        <v>-0.10748216691977269</v>
      </c>
      <c r="Q85" s="76">
        <f t="shared" si="46"/>
        <v>-0.24736407727370635</v>
      </c>
      <c r="R85" s="75">
        <f t="shared" si="47"/>
        <v>-0.16629241871589412</v>
      </c>
    </row>
    <row r="86" spans="2:18">
      <c r="B86" s="81"/>
      <c r="C86">
        <v>6</v>
      </c>
      <c r="D86">
        <v>96</v>
      </c>
      <c r="E86">
        <v>0.40225</v>
      </c>
      <c r="F86" s="78"/>
      <c r="G86" s="75">
        <f t="shared" si="36"/>
        <v>7.4023768353894237E-2</v>
      </c>
      <c r="H86" s="76">
        <f t="shared" si="37"/>
        <v>-0.41666666666666669</v>
      </c>
      <c r="I86" s="75">
        <f t="shared" si="38"/>
        <v>-0.39361702127659576</v>
      </c>
      <c r="J86" s="75">
        <f t="shared" si="39"/>
        <v>-0.4145247148288973</v>
      </c>
      <c r="K86" s="76">
        <f t="shared" si="40"/>
        <v>-0.22737061725698493</v>
      </c>
      <c r="L86" s="77">
        <f t="shared" si="41"/>
        <v>-9.5907162525038891E-2</v>
      </c>
      <c r="M86" s="76">
        <f t="shared" si="42"/>
        <v>-0.19886893864651253</v>
      </c>
      <c r="N86" s="77">
        <f t="shared" si="43"/>
        <v>-5.6753303325626114E-2</v>
      </c>
      <c r="O86" s="76">
        <f t="shared" si="44"/>
        <v>-0.3273379173405922</v>
      </c>
      <c r="P86" s="77">
        <f t="shared" si="45"/>
        <v>-7.7714601709843734E-2</v>
      </c>
      <c r="Q86" s="76">
        <f t="shared" si="46"/>
        <v>-0.22737061725698493</v>
      </c>
      <c r="R86" s="75">
        <f t="shared" si="47"/>
        <v>-0.16993093087893313</v>
      </c>
    </row>
    <row r="87" spans="2:18">
      <c r="B87" s="81"/>
      <c r="C87">
        <v>6</v>
      </c>
      <c r="D87">
        <v>112</v>
      </c>
      <c r="E87">
        <v>0.46050000000000002</v>
      </c>
      <c r="F87" s="78"/>
      <c r="G87" s="75">
        <f t="shared" si="36"/>
        <v>0.10471333779598918</v>
      </c>
      <c r="H87" s="76">
        <f t="shared" si="37"/>
        <v>-0.41666666666666669</v>
      </c>
      <c r="I87" s="75">
        <f t="shared" si="38"/>
        <v>-0.37234042553191493</v>
      </c>
      <c r="J87" s="75">
        <f t="shared" si="39"/>
        <v>-0.3790874524714829</v>
      </c>
      <c r="K87" s="76">
        <f t="shared" si="40"/>
        <v>-0.20737715724026351</v>
      </c>
      <c r="L87" s="77">
        <f t="shared" si="41"/>
        <v>-6.8856105245983013E-2</v>
      </c>
      <c r="M87" s="76">
        <f t="shared" si="42"/>
        <v>-0.17887547862979111</v>
      </c>
      <c r="N87" s="77">
        <f t="shared" si="43"/>
        <v>-2.970224604657018E-2</v>
      </c>
      <c r="O87" s="76">
        <f t="shared" si="44"/>
        <v>-0.3273379173405922</v>
      </c>
      <c r="P87" s="77">
        <f t="shared" si="45"/>
        <v>-4.702503226774879E-2</v>
      </c>
      <c r="Q87" s="76">
        <f t="shared" si="46"/>
        <v>-0.20737715724026351</v>
      </c>
      <c r="R87" s="75">
        <f t="shared" si="47"/>
        <v>-0.17356944304197219</v>
      </c>
    </row>
    <row r="88" spans="2:18">
      <c r="B88" s="81"/>
      <c r="C88">
        <v>6</v>
      </c>
      <c r="D88">
        <v>128</v>
      </c>
      <c r="E88">
        <v>0.50824999999999998</v>
      </c>
      <c r="F88" s="78"/>
      <c r="G88" s="75">
        <f t="shared" si="36"/>
        <v>0.12987088184508844</v>
      </c>
      <c r="H88" s="76">
        <f t="shared" si="37"/>
        <v>-0.41666666666666669</v>
      </c>
      <c r="I88" s="75">
        <f t="shared" si="38"/>
        <v>-0.35106382978723405</v>
      </c>
      <c r="J88" s="75">
        <f t="shared" si="39"/>
        <v>-0.35003802281368823</v>
      </c>
      <c r="K88" s="76">
        <f t="shared" si="40"/>
        <v>-0.18738369722354203</v>
      </c>
      <c r="L88" s="77">
        <f t="shared" si="41"/>
        <v>-4.7337073359922766E-2</v>
      </c>
      <c r="M88" s="76">
        <f t="shared" si="42"/>
        <v>-0.15888201861306964</v>
      </c>
      <c r="N88" s="77">
        <f t="shared" si="43"/>
        <v>-8.1832141605099884E-3</v>
      </c>
      <c r="O88" s="76">
        <f t="shared" si="44"/>
        <v>-0.3273379173405922</v>
      </c>
      <c r="P88" s="77">
        <f t="shared" si="45"/>
        <v>-2.1867488218649533E-2</v>
      </c>
      <c r="Q88" s="76">
        <f t="shared" si="46"/>
        <v>-0.18738369722354203</v>
      </c>
      <c r="R88" s="75">
        <f t="shared" si="47"/>
        <v>-0.1772079552050112</v>
      </c>
    </row>
    <row r="89" spans="2:18">
      <c r="B89" s="81"/>
      <c r="C89">
        <v>6</v>
      </c>
      <c r="D89">
        <v>144</v>
      </c>
      <c r="E89">
        <v>0.57525000000000004</v>
      </c>
      <c r="F89" s="78"/>
      <c r="G89" s="75">
        <f t="shared" si="36"/>
        <v>0.16517047244801314</v>
      </c>
      <c r="H89" s="76">
        <f t="shared" si="37"/>
        <v>-0.41666666666666669</v>
      </c>
      <c r="I89" s="75">
        <f t="shared" si="38"/>
        <v>-0.32978723404255317</v>
      </c>
      <c r="J89" s="75">
        <f t="shared" si="39"/>
        <v>-0.30927756653992389</v>
      </c>
      <c r="K89" s="76">
        <f t="shared" si="40"/>
        <v>-0.16739023720682053</v>
      </c>
      <c r="L89" s="77">
        <f t="shared" si="41"/>
        <v>-1.5675994920037128E-2</v>
      </c>
      <c r="M89" s="76">
        <f t="shared" si="42"/>
        <v>-0.13888855859634813</v>
      </c>
      <c r="N89" s="77">
        <f t="shared" si="43"/>
        <v>2.3477864279375704E-2</v>
      </c>
      <c r="O89" s="76">
        <f t="shared" si="44"/>
        <v>-0.3273379173405922</v>
      </c>
      <c r="P89" s="77">
        <f t="shared" si="45"/>
        <v>1.3432102384275169E-2</v>
      </c>
      <c r="Q89" s="76">
        <f t="shared" si="46"/>
        <v>-0.16739023720682056</v>
      </c>
      <c r="R89" s="75">
        <f t="shared" si="47"/>
        <v>-0.18084646736805027</v>
      </c>
    </row>
    <row r="90" spans="2:18">
      <c r="B90" s="81"/>
      <c r="C90">
        <v>6</v>
      </c>
      <c r="D90">
        <v>160</v>
      </c>
      <c r="E90">
        <v>0.64</v>
      </c>
      <c r="F90" s="78"/>
      <c r="G90" s="75">
        <f t="shared" si="36"/>
        <v>0.19928462903815297</v>
      </c>
      <c r="H90" s="76">
        <f t="shared" si="37"/>
        <v>-0.41666666666666669</v>
      </c>
      <c r="I90" s="75">
        <f t="shared" si="38"/>
        <v>-0.30851063829787234</v>
      </c>
      <c r="J90" s="75">
        <f t="shared" si="39"/>
        <v>-0.26988593155893537</v>
      </c>
      <c r="K90" s="76">
        <f t="shared" si="40"/>
        <v>-0.14739677719009911</v>
      </c>
      <c r="L90" s="77">
        <f t="shared" si="41"/>
        <v>1.4799649507063695E-2</v>
      </c>
      <c r="M90" s="76">
        <f t="shared" si="42"/>
        <v>-0.11889509857962671</v>
      </c>
      <c r="N90" s="77">
        <f t="shared" si="43"/>
        <v>5.3953508706476527E-2</v>
      </c>
      <c r="O90" s="76">
        <f t="shared" si="44"/>
        <v>-0.3273379173405922</v>
      </c>
      <c r="P90" s="77">
        <f t="shared" si="45"/>
        <v>4.7546258974415001E-2</v>
      </c>
      <c r="Q90" s="76">
        <f t="shared" si="46"/>
        <v>-0.14739677719009914</v>
      </c>
      <c r="R90" s="75">
        <f t="shared" si="47"/>
        <v>-0.18448497953108928</v>
      </c>
    </row>
    <row r="91" spans="2:18">
      <c r="B91" s="81"/>
      <c r="C91">
        <v>6</v>
      </c>
      <c r="D91">
        <v>176</v>
      </c>
      <c r="E91">
        <v>0.68225000000000002</v>
      </c>
      <c r="F91" s="78"/>
      <c r="G91" s="75">
        <f t="shared" si="36"/>
        <v>0.221544445500445</v>
      </c>
      <c r="H91" s="76">
        <f t="shared" si="37"/>
        <v>-0.41666666666666669</v>
      </c>
      <c r="I91" s="75">
        <f t="shared" si="38"/>
        <v>-0.28723404255319152</v>
      </c>
      <c r="J91" s="75">
        <f t="shared" si="39"/>
        <v>-0.24418250950570342</v>
      </c>
      <c r="K91" s="76">
        <f t="shared" si="40"/>
        <v>-0.12740331717337763</v>
      </c>
      <c r="L91" s="77">
        <f t="shared" si="41"/>
        <v>3.3420953806316711E-2</v>
      </c>
      <c r="M91" s="76">
        <f t="shared" si="42"/>
        <v>-9.8901638562905236E-2</v>
      </c>
      <c r="N91" s="77">
        <f t="shared" si="43"/>
        <v>7.2574813005729488E-2</v>
      </c>
      <c r="O91" s="76">
        <f t="shared" si="44"/>
        <v>-0.3273379173405922</v>
      </c>
      <c r="P91" s="77">
        <f t="shared" si="45"/>
        <v>6.9806075436707027E-2</v>
      </c>
      <c r="Q91" s="76">
        <f t="shared" si="46"/>
        <v>-0.12740331717337766</v>
      </c>
      <c r="R91" s="75">
        <f t="shared" si="47"/>
        <v>-0.18812349169412829</v>
      </c>
    </row>
    <row r="92" spans="2:18">
      <c r="B92" s="81"/>
      <c r="C92">
        <v>6</v>
      </c>
      <c r="D92">
        <v>192</v>
      </c>
      <c r="E92">
        <v>0.70125000000000004</v>
      </c>
      <c r="F92" s="78"/>
      <c r="G92" s="75">
        <f t="shared" si="36"/>
        <v>0.231554777163961</v>
      </c>
      <c r="H92" s="76">
        <f t="shared" si="37"/>
        <v>-0.41666666666666669</v>
      </c>
      <c r="I92" s="75">
        <f t="shared" si="38"/>
        <v>-0.26595744680851063</v>
      </c>
      <c r="J92" s="75">
        <f t="shared" si="39"/>
        <v>-0.23262357414448664</v>
      </c>
      <c r="K92" s="76">
        <f t="shared" si="40"/>
        <v>-0.10740985715665619</v>
      </c>
      <c r="L92" s="77">
        <f t="shared" si="41"/>
        <v>3.979277330679365E-2</v>
      </c>
      <c r="M92" s="76">
        <f t="shared" si="42"/>
        <v>-7.8908178546183788E-2</v>
      </c>
      <c r="N92" s="77">
        <f t="shared" si="43"/>
        <v>7.8946632506206482E-2</v>
      </c>
      <c r="O92" s="76">
        <f t="shared" si="44"/>
        <v>-0.3273379173405922</v>
      </c>
      <c r="P92" s="77">
        <f t="shared" si="45"/>
        <v>7.981640710022303E-2</v>
      </c>
      <c r="Q92" s="76">
        <f t="shared" si="46"/>
        <v>-0.10740985715665621</v>
      </c>
      <c r="R92" s="75">
        <f t="shared" si="47"/>
        <v>-0.19176200385716735</v>
      </c>
    </row>
    <row r="93" spans="2:18">
      <c r="B93" s="81"/>
      <c r="C93">
        <v>6</v>
      </c>
      <c r="D93">
        <v>208</v>
      </c>
      <c r="E93">
        <v>0.70925000000000005</v>
      </c>
      <c r="F93" s="78"/>
      <c r="G93" s="75">
        <f t="shared" si="36"/>
        <v>0.2357696536538624</v>
      </c>
      <c r="H93" s="76">
        <f t="shared" si="37"/>
        <v>-0.41666666666666669</v>
      </c>
      <c r="I93" s="75">
        <f t="shared" si="38"/>
        <v>-0.24468085106382981</v>
      </c>
      <c r="J93" s="75">
        <f t="shared" si="39"/>
        <v>-0.22775665399239542</v>
      </c>
      <c r="K93" s="76">
        <f t="shared" si="40"/>
        <v>-8.7416397139934737E-2</v>
      </c>
      <c r="L93" s="77">
        <f t="shared" si="41"/>
        <v>4.0369137633656044E-2</v>
      </c>
      <c r="M93" s="76">
        <f t="shared" si="42"/>
        <v>-5.891471852946234E-2</v>
      </c>
      <c r="N93" s="77">
        <f t="shared" si="43"/>
        <v>7.9522996833068821E-2</v>
      </c>
      <c r="O93" s="76">
        <f t="shared" si="44"/>
        <v>-0.3273379173405922</v>
      </c>
      <c r="P93" s="77">
        <f t="shared" si="45"/>
        <v>8.4031283590124434E-2</v>
      </c>
      <c r="Q93" s="76">
        <f t="shared" si="46"/>
        <v>-8.7416397139934765E-2</v>
      </c>
      <c r="R93" s="75">
        <f t="shared" si="47"/>
        <v>-0.19540051602020636</v>
      </c>
    </row>
    <row r="94" spans="2:18">
      <c r="B94" s="81"/>
      <c r="C94">
        <v>6</v>
      </c>
      <c r="D94">
        <v>224</v>
      </c>
      <c r="E94">
        <v>0.71850000000000003</v>
      </c>
      <c r="F94" s="78"/>
      <c r="G94" s="75">
        <f t="shared" si="36"/>
        <v>0.24064310459531099</v>
      </c>
      <c r="H94" s="76">
        <f t="shared" si="37"/>
        <v>-0.41666666666666669</v>
      </c>
      <c r="I94" s="75">
        <f t="shared" si="38"/>
        <v>-0.22340425531914893</v>
      </c>
      <c r="J94" s="75">
        <f t="shared" si="39"/>
        <v>-0.22212927756653988</v>
      </c>
      <c r="K94" s="76">
        <f t="shared" si="40"/>
        <v>-6.7422937123213261E-2</v>
      </c>
      <c r="L94" s="77">
        <f t="shared" si="41"/>
        <v>4.1604076412065594E-2</v>
      </c>
      <c r="M94" s="76">
        <f t="shared" si="42"/>
        <v>-3.8921258512740864E-2</v>
      </c>
      <c r="N94" s="77">
        <f t="shared" si="43"/>
        <v>8.0757935611478399E-2</v>
      </c>
      <c r="O94" s="76">
        <f t="shared" si="44"/>
        <v>-0.32733791734059214</v>
      </c>
      <c r="P94" s="77">
        <f t="shared" si="45"/>
        <v>8.8904734531573021E-2</v>
      </c>
      <c r="Q94" s="76">
        <f t="shared" si="46"/>
        <v>-6.7422937123213289E-2</v>
      </c>
      <c r="R94" s="75">
        <f t="shared" si="47"/>
        <v>-0.1990390281832454</v>
      </c>
    </row>
    <row r="95" spans="2:18">
      <c r="B95" s="81"/>
      <c r="C95">
        <v>6</v>
      </c>
      <c r="D95">
        <v>240</v>
      </c>
      <c r="E95">
        <v>0.752</v>
      </c>
      <c r="F95" s="78"/>
      <c r="G95" s="75">
        <f t="shared" si="36"/>
        <v>0.25829289989677329</v>
      </c>
      <c r="H95" s="76">
        <f t="shared" si="37"/>
        <v>-0.41666666666666669</v>
      </c>
      <c r="I95" s="75">
        <f t="shared" si="38"/>
        <v>-0.2021276595744681</v>
      </c>
      <c r="J95" s="75">
        <f t="shared" si="39"/>
        <v>-0.20174904942965777</v>
      </c>
      <c r="K95" s="76">
        <f t="shared" si="40"/>
        <v>-4.7429477106491841E-2</v>
      </c>
      <c r="L95" s="77">
        <f t="shared" si="41"/>
        <v>5.561535955048888E-2</v>
      </c>
      <c r="M95" s="76">
        <f t="shared" si="42"/>
        <v>-1.892779849601944E-2</v>
      </c>
      <c r="N95" s="77">
        <f t="shared" si="43"/>
        <v>9.4769218749901712E-2</v>
      </c>
      <c r="O95" s="76">
        <f t="shared" si="44"/>
        <v>-0.32733791734059214</v>
      </c>
      <c r="P95" s="77">
        <f t="shared" si="45"/>
        <v>0.10655452983303534</v>
      </c>
      <c r="Q95" s="76">
        <f t="shared" si="46"/>
        <v>-4.7429477106491875E-2</v>
      </c>
      <c r="R95" s="75">
        <f t="shared" si="47"/>
        <v>-0.20267754034628443</v>
      </c>
    </row>
    <row r="96" spans="2:18">
      <c r="B96" s="81"/>
      <c r="C96">
        <v>6</v>
      </c>
      <c r="D96">
        <v>256</v>
      </c>
      <c r="E96">
        <v>0.78374999999999995</v>
      </c>
      <c r="F96" s="78"/>
      <c r="G96" s="75">
        <f t="shared" si="36"/>
        <v>0.27502069096606968</v>
      </c>
      <c r="H96" s="76">
        <f t="shared" si="37"/>
        <v>-0.41666666666666669</v>
      </c>
      <c r="I96" s="75">
        <f t="shared" si="38"/>
        <v>-0.18085106382978722</v>
      </c>
      <c r="J96" s="75">
        <f t="shared" si="39"/>
        <v>-0.18243346007604561</v>
      </c>
      <c r="K96" s="76">
        <f t="shared" si="40"/>
        <v>-2.7436017089770358E-2</v>
      </c>
      <c r="L96" s="77">
        <f t="shared" si="41"/>
        <v>6.8704638456746209E-2</v>
      </c>
      <c r="M96" s="76">
        <f t="shared" si="42"/>
        <v>1.065661520702038E-3</v>
      </c>
      <c r="N96" s="77">
        <f t="shared" si="43"/>
        <v>0.10785849765615901</v>
      </c>
      <c r="O96" s="76">
        <f t="shared" si="44"/>
        <v>-0.32733791734059214</v>
      </c>
      <c r="P96" s="77">
        <f t="shared" si="45"/>
        <v>0.12328232090233171</v>
      </c>
      <c r="Q96" s="76">
        <f t="shared" si="46"/>
        <v>-2.7436017089770399E-2</v>
      </c>
      <c r="R96" s="75">
        <f t="shared" si="47"/>
        <v>-0.20631605250932347</v>
      </c>
    </row>
    <row r="97" spans="2:18">
      <c r="B97" s="81"/>
      <c r="C97">
        <v>6</v>
      </c>
      <c r="D97">
        <v>272</v>
      </c>
      <c r="E97">
        <v>0.82350000000000001</v>
      </c>
      <c r="F97" s="78"/>
      <c r="G97" s="75">
        <f t="shared" si="36"/>
        <v>0.29596335852526745</v>
      </c>
      <c r="H97" s="76">
        <f t="shared" si="37"/>
        <v>-0.41666666666666669</v>
      </c>
      <c r="I97" s="75">
        <f t="shared" si="38"/>
        <v>-0.15957446808510639</v>
      </c>
      <c r="J97" s="75">
        <f t="shared" si="39"/>
        <v>-0.15825095057034222</v>
      </c>
      <c r="K97" s="76">
        <f t="shared" si="40"/>
        <v>-7.4425570730489079E-3</v>
      </c>
      <c r="L97" s="77">
        <f t="shared" si="41"/>
        <v>8.6008793852904997E-2</v>
      </c>
      <c r="M97" s="76">
        <f t="shared" si="42"/>
        <v>2.1059121537423488E-2</v>
      </c>
      <c r="N97" s="77">
        <f t="shared" si="43"/>
        <v>0.1251626530523178</v>
      </c>
      <c r="O97" s="76">
        <f t="shared" si="44"/>
        <v>-0.32733791734059214</v>
      </c>
      <c r="P97" s="77">
        <f t="shared" si="45"/>
        <v>0.14422498846152951</v>
      </c>
      <c r="Q97" s="76">
        <f t="shared" si="46"/>
        <v>-7.4425570730489504E-3</v>
      </c>
      <c r="R97" s="75">
        <f t="shared" si="47"/>
        <v>-0.20995456467236248</v>
      </c>
    </row>
    <row r="98" spans="2:18">
      <c r="B98" s="81"/>
      <c r="C98">
        <v>6</v>
      </c>
      <c r="D98">
        <v>288</v>
      </c>
      <c r="E98">
        <v>0.84250000000000003</v>
      </c>
      <c r="F98" s="78"/>
      <c r="G98" s="75">
        <f t="shared" si="36"/>
        <v>0.30597369018878345</v>
      </c>
      <c r="H98" s="76">
        <f t="shared" si="37"/>
        <v>-0.41666666666666669</v>
      </c>
      <c r="I98" s="75">
        <f t="shared" si="38"/>
        <v>-0.13829787234042551</v>
      </c>
      <c r="J98" s="75">
        <f t="shared" si="39"/>
        <v>-0.14669201520912545</v>
      </c>
      <c r="K98" s="76">
        <f t="shared" si="40"/>
        <v>1.255090294367257E-2</v>
      </c>
      <c r="L98" s="77">
        <f t="shared" si="41"/>
        <v>9.2380613353381935E-2</v>
      </c>
      <c r="M98" s="76">
        <f t="shared" si="42"/>
        <v>4.1052581554144964E-2</v>
      </c>
      <c r="N98" s="77">
        <f t="shared" si="43"/>
        <v>0.13153447255279471</v>
      </c>
      <c r="O98" s="76">
        <f t="shared" si="44"/>
        <v>-0.32733791734059214</v>
      </c>
      <c r="P98" s="77">
        <f t="shared" si="45"/>
        <v>0.15423532012504548</v>
      </c>
      <c r="Q98" s="76">
        <f t="shared" si="46"/>
        <v>1.2550902943672526E-2</v>
      </c>
      <c r="R98" s="75">
        <f t="shared" si="47"/>
        <v>-0.21359307683540152</v>
      </c>
    </row>
    <row r="99" spans="2:18">
      <c r="B99" s="81"/>
      <c r="C99">
        <v>6</v>
      </c>
      <c r="D99">
        <v>304</v>
      </c>
      <c r="E99">
        <v>0.86750000000000005</v>
      </c>
      <c r="F99" s="78"/>
      <c r="G99" s="75">
        <f t="shared" si="36"/>
        <v>0.31914517921972546</v>
      </c>
      <c r="H99" s="76">
        <f t="shared" si="37"/>
        <v>-0.41666666666666669</v>
      </c>
      <c r="I99" s="75">
        <f t="shared" si="38"/>
        <v>-0.11702127659574468</v>
      </c>
      <c r="J99" s="75">
        <f t="shared" si="39"/>
        <v>-0.13148288973384031</v>
      </c>
      <c r="K99" s="76">
        <f t="shared" si="40"/>
        <v>3.2544362960394008E-2</v>
      </c>
      <c r="L99" s="77">
        <f t="shared" si="41"/>
        <v>0.10191359022128491</v>
      </c>
      <c r="M99" s="76">
        <f t="shared" si="42"/>
        <v>6.1046041570866405E-2</v>
      </c>
      <c r="N99" s="77">
        <f t="shared" si="43"/>
        <v>0.14106744942069771</v>
      </c>
      <c r="O99" s="76">
        <f t="shared" si="44"/>
        <v>-0.32733791734059214</v>
      </c>
      <c r="P99" s="77">
        <f t="shared" si="45"/>
        <v>0.16740680915598749</v>
      </c>
      <c r="Q99" s="76">
        <f t="shared" si="46"/>
        <v>3.2544362960393959E-2</v>
      </c>
      <c r="R99" s="75">
        <f t="shared" si="47"/>
        <v>-0.21723158899844056</v>
      </c>
    </row>
    <row r="100" spans="2:18">
      <c r="B100" s="81"/>
      <c r="C100">
        <v>6</v>
      </c>
      <c r="D100">
        <v>320</v>
      </c>
      <c r="E100">
        <v>0.89500000000000002</v>
      </c>
      <c r="F100" s="78"/>
      <c r="G100" s="75">
        <f t="shared" si="36"/>
        <v>0.33363381715376172</v>
      </c>
      <c r="H100" s="76">
        <f t="shared" si="37"/>
        <v>-0.41666666666666669</v>
      </c>
      <c r="I100" s="75">
        <f t="shared" si="38"/>
        <v>-9.5744680851063857E-2</v>
      </c>
      <c r="J100" s="75">
        <f t="shared" si="39"/>
        <v>-0.11475285171102656</v>
      </c>
      <c r="K100" s="76">
        <f t="shared" si="40"/>
        <v>5.2537822977115428E-2</v>
      </c>
      <c r="L100" s="77">
        <f t="shared" si="41"/>
        <v>0.11276371599228219</v>
      </c>
      <c r="M100" s="76">
        <f t="shared" si="42"/>
        <v>8.1039501587587826E-2</v>
      </c>
      <c r="N100" s="77">
        <f t="shared" si="43"/>
        <v>0.15191757519169499</v>
      </c>
      <c r="O100" s="76">
        <f t="shared" si="44"/>
        <v>-0.32733791734059214</v>
      </c>
      <c r="P100" s="77">
        <f t="shared" si="45"/>
        <v>0.18189544709002378</v>
      </c>
      <c r="Q100" s="76">
        <f t="shared" si="46"/>
        <v>5.253782297711538E-2</v>
      </c>
      <c r="R100" s="75">
        <f t="shared" si="47"/>
        <v>-0.22087010116147957</v>
      </c>
    </row>
    <row r="101" spans="2:18">
      <c r="B101" s="81"/>
      <c r="C101">
        <v>6</v>
      </c>
      <c r="D101">
        <v>336</v>
      </c>
      <c r="E101">
        <v>0.90024999999999999</v>
      </c>
      <c r="F101" s="78"/>
      <c r="G101" s="75">
        <f t="shared" si="36"/>
        <v>0.33639982985025957</v>
      </c>
      <c r="H101" s="76">
        <f t="shared" si="37"/>
        <v>-0.41666666666666669</v>
      </c>
      <c r="I101" s="75">
        <f t="shared" si="38"/>
        <v>-7.4468085106382975E-2</v>
      </c>
      <c r="J101" s="75">
        <f t="shared" si="39"/>
        <v>-0.11155893536121669</v>
      </c>
      <c r="K101" s="76">
        <f t="shared" si="40"/>
        <v>7.2531282993836918E-2</v>
      </c>
      <c r="L101" s="77">
        <f t="shared" si="41"/>
        <v>0.11189121652574097</v>
      </c>
      <c r="M101" s="76">
        <f t="shared" si="42"/>
        <v>0.10103296160430932</v>
      </c>
      <c r="N101" s="77">
        <f t="shared" si="43"/>
        <v>0.15104507572515377</v>
      </c>
      <c r="O101" s="76">
        <f t="shared" si="44"/>
        <v>-0.32733791734059214</v>
      </c>
      <c r="P101" s="77">
        <f t="shared" si="45"/>
        <v>0.1846614597865216</v>
      </c>
      <c r="Q101" s="76">
        <f t="shared" si="46"/>
        <v>7.2531282993836876E-2</v>
      </c>
      <c r="R101" s="75">
        <f t="shared" si="47"/>
        <v>-0.2245086133245186</v>
      </c>
    </row>
    <row r="102" spans="2:18">
      <c r="B102" s="81"/>
      <c r="C102">
        <v>6</v>
      </c>
      <c r="D102">
        <v>352</v>
      </c>
      <c r="E102">
        <v>0.92300000000000004</v>
      </c>
      <c r="F102" s="78"/>
      <c r="G102" s="75">
        <f t="shared" si="36"/>
        <v>0.34838588486841682</v>
      </c>
      <c r="H102" s="76">
        <f t="shared" si="37"/>
        <v>-0.41666666666666669</v>
      </c>
      <c r="I102" s="75">
        <f t="shared" si="38"/>
        <v>-5.3191489361702149E-2</v>
      </c>
      <c r="J102" s="75">
        <f t="shared" si="39"/>
        <v>-9.771863117870716E-2</v>
      </c>
      <c r="K102" s="76">
        <f t="shared" si="40"/>
        <v>9.2524743010558338E-2</v>
      </c>
      <c r="L102" s="77">
        <f t="shared" si="41"/>
        <v>0.12023875938085921</v>
      </c>
      <c r="M102" s="76">
        <f t="shared" si="42"/>
        <v>0.12102642162103074</v>
      </c>
      <c r="N102" s="77">
        <f t="shared" si="43"/>
        <v>0.15939261858027201</v>
      </c>
      <c r="O102" s="76">
        <f t="shared" si="44"/>
        <v>-0.32733791734059214</v>
      </c>
      <c r="P102" s="77">
        <f t="shared" si="45"/>
        <v>0.19664751480467887</v>
      </c>
      <c r="Q102" s="76">
        <f t="shared" si="46"/>
        <v>9.2524743010558297E-2</v>
      </c>
      <c r="R102" s="75">
        <f t="shared" si="47"/>
        <v>-0.22814712548755764</v>
      </c>
    </row>
    <row r="103" spans="2:18">
      <c r="B103" s="81"/>
      <c r="C103">
        <v>6</v>
      </c>
      <c r="D103">
        <v>368</v>
      </c>
      <c r="E103">
        <v>1.032</v>
      </c>
      <c r="F103" s="78"/>
      <c r="G103" s="75">
        <f t="shared" si="36"/>
        <v>0.4058135770433241</v>
      </c>
      <c r="H103" s="76">
        <f t="shared" si="37"/>
        <v>-0.41666666666666669</v>
      </c>
      <c r="I103" s="75">
        <f t="shared" si="38"/>
        <v>-3.1914893617021267E-2</v>
      </c>
      <c r="J103" s="75">
        <f t="shared" si="39"/>
        <v>-3.1406844106463827E-2</v>
      </c>
      <c r="K103" s="76">
        <f t="shared" si="40"/>
        <v>0.11251820302727984</v>
      </c>
      <c r="L103" s="77">
        <f t="shared" si="41"/>
        <v>0.17402793939272743</v>
      </c>
      <c r="M103" s="76">
        <f t="shared" si="42"/>
        <v>0.14101988163775225</v>
      </c>
      <c r="N103" s="77">
        <f t="shared" si="43"/>
        <v>0.21318179859214023</v>
      </c>
      <c r="O103" s="76">
        <f t="shared" si="44"/>
        <v>-0.32733791734059214</v>
      </c>
      <c r="P103" s="77">
        <f t="shared" si="45"/>
        <v>0.25407520697958613</v>
      </c>
      <c r="Q103" s="76">
        <f t="shared" si="46"/>
        <v>0.11251820302727979</v>
      </c>
      <c r="R103" s="75">
        <f t="shared" si="47"/>
        <v>-0.23178563765059668</v>
      </c>
    </row>
    <row r="104" spans="2:18">
      <c r="B104" s="81"/>
      <c r="C104">
        <v>6</v>
      </c>
      <c r="D104">
        <v>384</v>
      </c>
      <c r="E104">
        <v>1.0720000000000001</v>
      </c>
      <c r="F104" s="78"/>
      <c r="G104" s="75">
        <f t="shared" ref="G104:G135" si="48">D$19*(L104-R104)</f>
        <v>0.42688795949283137</v>
      </c>
      <c r="H104" s="76">
        <f t="shared" ref="H104:H135" si="49">(C104-H$16)/H$17-0.5</f>
        <v>-0.41666666666666669</v>
      </c>
      <c r="I104" s="75">
        <f t="shared" ref="I104:I135" si="50">(D104-I$16)/I$17-0.5</f>
        <v>-1.0638297872340441E-2</v>
      </c>
      <c r="J104" s="75">
        <f t="shared" ref="J104:J135" si="51">(E104-J$16)/J$17-0.5</f>
        <v>-7.072243346007534E-3</v>
      </c>
      <c r="K104" s="76">
        <f t="shared" ref="K104:K135" si="52">(H104*$H$13+I104*$I$13+J104*$J$13+$D$27)*$C$27</f>
        <v>0.13251166304400128</v>
      </c>
      <c r="L104" s="77">
        <f t="shared" ref="L104:L135" si="53">(H104*$H$14+I104*$I$14+J104*$J$14+$E$27)*$C$27</f>
        <v>0.19146380967919566</v>
      </c>
      <c r="M104" s="76">
        <f t="shared" ref="M104:M135" si="54">(H$27*$H$13+I104*$I$13+J104*$J$13+$D$27)*$C$27</f>
        <v>0.16101334165447367</v>
      </c>
      <c r="N104" s="77">
        <f t="shared" ref="N104:N135" si="55">(H$27*$H$14+I104*$I$14+J104*$J$14+$E$27)*$C$27</f>
        <v>0.23061766887860846</v>
      </c>
      <c r="O104" s="76">
        <f t="shared" ref="O104:O135" si="56">(H104*$H$13+I$27*$I$13+J104*$J$13+$D$27)*$C$27</f>
        <v>-0.32733791734059214</v>
      </c>
      <c r="P104" s="77">
        <f t="shared" ref="P104:P135" si="57">(H104*$H$14+I$27*$I$14+J104*$J$14+$E$27)*$C$27</f>
        <v>0.2751495894290934</v>
      </c>
      <c r="Q104" s="76">
        <f t="shared" ref="Q104:Q135" si="58">(H104*$H$13+I104*$I$13+J$27*$J$13+$D$27)*$C$27</f>
        <v>0.13251166304400122</v>
      </c>
      <c r="R104" s="75">
        <f t="shared" ref="R104:R135" si="59">(H104*$H$14+I104*$I$14+J$27*$J$14+$E$27)*$C$27</f>
        <v>-0.23542414981363571</v>
      </c>
    </row>
    <row r="105" spans="2:18">
      <c r="B105" s="81"/>
      <c r="C105">
        <v>6</v>
      </c>
      <c r="D105">
        <v>400</v>
      </c>
      <c r="E105">
        <v>0.94025000000000003</v>
      </c>
      <c r="F105" s="78"/>
      <c r="G105" s="75">
        <f t="shared" si="48"/>
        <v>0.35747421229976684</v>
      </c>
      <c r="H105" s="76">
        <f t="shared" si="49"/>
        <v>-0.41666666666666669</v>
      </c>
      <c r="I105" s="75">
        <f t="shared" si="50"/>
        <v>1.0638297872340385E-2</v>
      </c>
      <c r="J105" s="75">
        <f t="shared" si="51"/>
        <v>-8.72243346007604E-2</v>
      </c>
      <c r="K105" s="76">
        <f t="shared" si="52"/>
        <v>0.1525051230607227</v>
      </c>
      <c r="L105" s="77">
        <f t="shared" si="53"/>
        <v>0.11841155032309211</v>
      </c>
      <c r="M105" s="76">
        <f t="shared" si="54"/>
        <v>0.18100680167119509</v>
      </c>
      <c r="N105" s="77">
        <f t="shared" si="55"/>
        <v>0.15756540952250492</v>
      </c>
      <c r="O105" s="76">
        <f t="shared" si="56"/>
        <v>-0.32733791734059214</v>
      </c>
      <c r="P105" s="77">
        <f t="shared" si="57"/>
        <v>0.20573584223602887</v>
      </c>
      <c r="Q105" s="76">
        <f t="shared" si="58"/>
        <v>0.15250512306072264</v>
      </c>
      <c r="R105" s="75">
        <f t="shared" si="59"/>
        <v>-0.23906266197667472</v>
      </c>
    </row>
    <row r="106" spans="2:18">
      <c r="B106" s="81"/>
      <c r="C106">
        <v>6</v>
      </c>
      <c r="D106">
        <v>416</v>
      </c>
      <c r="E106">
        <v>0.96299999999999997</v>
      </c>
      <c r="F106" s="78"/>
      <c r="G106" s="75">
        <f t="shared" si="48"/>
        <v>0.36946026731792403</v>
      </c>
      <c r="H106" s="76">
        <f t="shared" si="49"/>
        <v>-0.41666666666666669</v>
      </c>
      <c r="I106" s="75">
        <f t="shared" si="50"/>
        <v>3.1914893617021267E-2</v>
      </c>
      <c r="J106" s="75">
        <f t="shared" si="51"/>
        <v>-7.3384030418250978E-2</v>
      </c>
      <c r="K106" s="76">
        <f t="shared" si="52"/>
        <v>0.1724985830774442</v>
      </c>
      <c r="L106" s="77">
        <f t="shared" si="53"/>
        <v>0.12675909317821027</v>
      </c>
      <c r="M106" s="76">
        <f t="shared" si="54"/>
        <v>0.20100026168791657</v>
      </c>
      <c r="N106" s="77">
        <f t="shared" si="55"/>
        <v>0.16591295237762305</v>
      </c>
      <c r="O106" s="76">
        <f t="shared" si="56"/>
        <v>-0.32733791734059214</v>
      </c>
      <c r="P106" s="77">
        <f t="shared" si="57"/>
        <v>0.21772189725418606</v>
      </c>
      <c r="Q106" s="76">
        <f t="shared" si="58"/>
        <v>0.17249858307744415</v>
      </c>
      <c r="R106" s="75">
        <f t="shared" si="59"/>
        <v>-0.24270117413971376</v>
      </c>
    </row>
    <row r="107" spans="2:18">
      <c r="B107" s="81"/>
      <c r="C107">
        <v>6</v>
      </c>
      <c r="D107">
        <v>432</v>
      </c>
      <c r="E107">
        <v>0.99350000000000005</v>
      </c>
      <c r="F107" s="78"/>
      <c r="G107" s="75">
        <f t="shared" si="48"/>
        <v>0.38552948393567343</v>
      </c>
      <c r="H107" s="76">
        <f t="shared" si="49"/>
        <v>-0.41666666666666669</v>
      </c>
      <c r="I107" s="75">
        <f t="shared" si="50"/>
        <v>5.3191489361702149E-2</v>
      </c>
      <c r="J107" s="75">
        <f t="shared" si="51"/>
        <v>-5.482889733840296E-2</v>
      </c>
      <c r="K107" s="76">
        <f t="shared" si="52"/>
        <v>0.19249204309416568</v>
      </c>
      <c r="L107" s="77">
        <f t="shared" si="53"/>
        <v>0.13918979763292061</v>
      </c>
      <c r="M107" s="76">
        <f t="shared" si="54"/>
        <v>0.22099372170463807</v>
      </c>
      <c r="N107" s="77">
        <f t="shared" si="55"/>
        <v>0.17834365683233339</v>
      </c>
      <c r="O107" s="76">
        <f t="shared" si="56"/>
        <v>-0.32733791734059214</v>
      </c>
      <c r="P107" s="77">
        <f t="shared" si="57"/>
        <v>0.23379111387193541</v>
      </c>
      <c r="Q107" s="76">
        <f t="shared" si="58"/>
        <v>0.19249204309416562</v>
      </c>
      <c r="R107" s="75">
        <f t="shared" si="59"/>
        <v>-0.2463396863027528</v>
      </c>
    </row>
    <row r="108" spans="2:18">
      <c r="B108" s="81"/>
      <c r="C108">
        <v>6</v>
      </c>
      <c r="D108">
        <v>448</v>
      </c>
      <c r="E108">
        <v>1.0195000000000001</v>
      </c>
      <c r="F108" s="78"/>
      <c r="G108" s="75">
        <f t="shared" si="48"/>
        <v>0.3992278325278531</v>
      </c>
      <c r="H108" s="76">
        <f t="shared" si="49"/>
        <v>-0.41666666666666669</v>
      </c>
      <c r="I108" s="75">
        <f t="shared" si="50"/>
        <v>7.4468085106383031E-2</v>
      </c>
      <c r="J108" s="75">
        <f t="shared" si="51"/>
        <v>-3.9011406844106367E-2</v>
      </c>
      <c r="K108" s="76">
        <f t="shared" si="52"/>
        <v>0.21248550311088715</v>
      </c>
      <c r="L108" s="77">
        <f t="shared" si="53"/>
        <v>0.14924963406206129</v>
      </c>
      <c r="M108" s="76">
        <f t="shared" si="54"/>
        <v>0.24098718172135955</v>
      </c>
      <c r="N108" s="77">
        <f t="shared" si="55"/>
        <v>0.1884034932614741</v>
      </c>
      <c r="O108" s="76">
        <f t="shared" si="56"/>
        <v>-0.32733791734059214</v>
      </c>
      <c r="P108" s="77">
        <f t="shared" si="57"/>
        <v>0.24748946246411516</v>
      </c>
      <c r="Q108" s="76">
        <f t="shared" si="58"/>
        <v>0.2124855031108871</v>
      </c>
      <c r="R108" s="75">
        <f t="shared" si="59"/>
        <v>-0.24997819846579183</v>
      </c>
    </row>
    <row r="109" spans="2:18">
      <c r="B109" s="81"/>
      <c r="C109">
        <v>6</v>
      </c>
      <c r="D109">
        <v>464</v>
      </c>
      <c r="E109">
        <v>1.0900000000000001</v>
      </c>
      <c r="F109" s="78"/>
      <c r="G109" s="75">
        <f t="shared" si="48"/>
        <v>0.43637143159510966</v>
      </c>
      <c r="H109" s="76">
        <f t="shared" si="49"/>
        <v>-0.41666666666666669</v>
      </c>
      <c r="I109" s="75">
        <f t="shared" si="50"/>
        <v>9.5744680851063801E-2</v>
      </c>
      <c r="J109" s="75">
        <f t="shared" si="51"/>
        <v>3.8783269961978339E-3</v>
      </c>
      <c r="K109" s="76">
        <f t="shared" si="52"/>
        <v>0.23247896312760852</v>
      </c>
      <c r="L109" s="77">
        <f t="shared" si="53"/>
        <v>0.18275472096627882</v>
      </c>
      <c r="M109" s="76">
        <f t="shared" si="54"/>
        <v>0.26098064173808094</v>
      </c>
      <c r="N109" s="77">
        <f t="shared" si="55"/>
        <v>0.22190858016569162</v>
      </c>
      <c r="O109" s="76">
        <f t="shared" si="56"/>
        <v>-0.32733791734059214</v>
      </c>
      <c r="P109" s="77">
        <f t="shared" si="57"/>
        <v>0.28463306153137169</v>
      </c>
      <c r="Q109" s="76">
        <f t="shared" si="58"/>
        <v>0.23247896312760846</v>
      </c>
      <c r="R109" s="75">
        <f t="shared" si="59"/>
        <v>-0.25361671062883084</v>
      </c>
    </row>
    <row r="110" spans="2:18">
      <c r="B110" s="81"/>
      <c r="C110">
        <v>6</v>
      </c>
      <c r="D110">
        <v>480</v>
      </c>
      <c r="E110">
        <v>1.1267499999999999</v>
      </c>
      <c r="F110" s="78"/>
      <c r="G110" s="75">
        <f t="shared" si="48"/>
        <v>0.45573352047059434</v>
      </c>
      <c r="H110" s="76">
        <f t="shared" si="49"/>
        <v>-0.41666666666666669</v>
      </c>
      <c r="I110" s="75">
        <f t="shared" si="50"/>
        <v>0.11702127659574468</v>
      </c>
      <c r="J110" s="75">
        <f t="shared" si="51"/>
        <v>2.6235741444866956E-2</v>
      </c>
      <c r="K110" s="76">
        <f t="shared" si="52"/>
        <v>0.25247242314432999</v>
      </c>
      <c r="L110" s="77">
        <f t="shared" si="53"/>
        <v>0.19847829767872452</v>
      </c>
      <c r="M110" s="76">
        <f t="shared" si="54"/>
        <v>0.28097410175480242</v>
      </c>
      <c r="N110" s="77">
        <f t="shared" si="55"/>
        <v>0.23763215687813732</v>
      </c>
      <c r="O110" s="76">
        <f t="shared" si="56"/>
        <v>-0.32733791734059214</v>
      </c>
      <c r="P110" s="77">
        <f t="shared" si="57"/>
        <v>0.30399515040685643</v>
      </c>
      <c r="Q110" s="76">
        <f t="shared" si="58"/>
        <v>0.25247242314432994</v>
      </c>
      <c r="R110" s="75">
        <f t="shared" si="59"/>
        <v>-0.25725522279186985</v>
      </c>
    </row>
    <row r="111" spans="2:18">
      <c r="B111" s="81"/>
      <c r="C111">
        <v>6</v>
      </c>
      <c r="D111">
        <v>496</v>
      </c>
      <c r="E111">
        <v>1.1579999999999999</v>
      </c>
      <c r="F111" s="78"/>
      <c r="G111" s="75">
        <f t="shared" si="48"/>
        <v>0.47219788175927191</v>
      </c>
      <c r="H111" s="76">
        <f t="shared" si="49"/>
        <v>-0.41666666666666669</v>
      </c>
      <c r="I111" s="75">
        <f t="shared" si="50"/>
        <v>0.13829787234042556</v>
      </c>
      <c r="J111" s="75">
        <f t="shared" si="51"/>
        <v>4.524714828897336E-2</v>
      </c>
      <c r="K111" s="76">
        <f t="shared" si="52"/>
        <v>0.27246588316105147</v>
      </c>
      <c r="L111" s="77">
        <f t="shared" si="53"/>
        <v>0.21130414680436296</v>
      </c>
      <c r="M111" s="76">
        <f t="shared" si="54"/>
        <v>0.30096756177152389</v>
      </c>
      <c r="N111" s="77">
        <f t="shared" si="55"/>
        <v>0.25045800600377577</v>
      </c>
      <c r="O111" s="76">
        <f t="shared" si="56"/>
        <v>-0.32733791734059214</v>
      </c>
      <c r="P111" s="77">
        <f t="shared" si="57"/>
        <v>0.32045951169553388</v>
      </c>
      <c r="Q111" s="76">
        <f t="shared" si="58"/>
        <v>0.27246588316105141</v>
      </c>
      <c r="R111" s="75">
        <f t="shared" si="59"/>
        <v>-0.26089373495490892</v>
      </c>
    </row>
    <row r="112" spans="2:18">
      <c r="B112" s="81"/>
      <c r="C112">
        <v>6</v>
      </c>
      <c r="D112">
        <v>512</v>
      </c>
      <c r="E112">
        <v>1.1950000000000001</v>
      </c>
      <c r="F112" s="78"/>
      <c r="G112" s="75">
        <f t="shared" si="48"/>
        <v>0.49169168552506615</v>
      </c>
      <c r="H112" s="76">
        <f t="shared" si="49"/>
        <v>-0.41666666666666669</v>
      </c>
      <c r="I112" s="75">
        <f t="shared" si="50"/>
        <v>0.15957446808510634</v>
      </c>
      <c r="J112" s="75">
        <f t="shared" si="51"/>
        <v>6.7756653992395499E-2</v>
      </c>
      <c r="K112" s="76">
        <f t="shared" si="52"/>
        <v>0.29245934317777289</v>
      </c>
      <c r="L112" s="77">
        <f t="shared" si="53"/>
        <v>0.22715943840711825</v>
      </c>
      <c r="M112" s="76">
        <f t="shared" si="54"/>
        <v>0.32096102178824526</v>
      </c>
      <c r="N112" s="77">
        <f t="shared" si="55"/>
        <v>0.266313297606531</v>
      </c>
      <c r="O112" s="76">
        <f t="shared" si="56"/>
        <v>-0.32733791734059214</v>
      </c>
      <c r="P112" s="77">
        <f t="shared" si="57"/>
        <v>0.33995331546132818</v>
      </c>
      <c r="Q112" s="76">
        <f t="shared" si="58"/>
        <v>0.29245934317777283</v>
      </c>
      <c r="R112" s="75">
        <f t="shared" si="59"/>
        <v>-0.26453224711794793</v>
      </c>
    </row>
    <row r="113" spans="2:18">
      <c r="B113" s="81"/>
      <c r="C113">
        <v>6</v>
      </c>
      <c r="D113">
        <v>528</v>
      </c>
      <c r="E113">
        <v>1.2827500000000001</v>
      </c>
      <c r="F113" s="78"/>
      <c r="G113" s="75">
        <f t="shared" si="48"/>
        <v>0.53792361202367267</v>
      </c>
      <c r="H113" s="76">
        <f t="shared" si="49"/>
        <v>-0.41666666666666669</v>
      </c>
      <c r="I113" s="75">
        <f t="shared" si="50"/>
        <v>0.18085106382978722</v>
      </c>
      <c r="J113" s="75">
        <f t="shared" si="51"/>
        <v>0.1211406844106464</v>
      </c>
      <c r="K113" s="76">
        <f t="shared" si="52"/>
        <v>0.31245280319449437</v>
      </c>
      <c r="L113" s="77">
        <f t="shared" si="53"/>
        <v>0.26975285274268568</v>
      </c>
      <c r="M113" s="76">
        <f t="shared" si="54"/>
        <v>0.34095448180496679</v>
      </c>
      <c r="N113" s="77">
        <f t="shared" si="55"/>
        <v>0.30890671194209851</v>
      </c>
      <c r="O113" s="76">
        <f t="shared" si="56"/>
        <v>-0.32733791734059214</v>
      </c>
      <c r="P113" s="77">
        <f t="shared" si="57"/>
        <v>0.3861852419599347</v>
      </c>
      <c r="Q113" s="76">
        <f t="shared" si="58"/>
        <v>0.31245280319449431</v>
      </c>
      <c r="R113" s="75">
        <f t="shared" si="59"/>
        <v>-0.26817075928098699</v>
      </c>
    </row>
    <row r="114" spans="2:18">
      <c r="B114" s="81"/>
      <c r="C114">
        <v>6</v>
      </c>
      <c r="D114">
        <v>544</v>
      </c>
      <c r="E114">
        <v>1.3120000000000001</v>
      </c>
      <c r="F114" s="78"/>
      <c r="G114" s="75">
        <f t="shared" si="48"/>
        <v>0.55333425418987492</v>
      </c>
      <c r="H114" s="76">
        <f t="shared" si="49"/>
        <v>-0.41666666666666669</v>
      </c>
      <c r="I114" s="75">
        <f t="shared" si="50"/>
        <v>0.2021276595744681</v>
      </c>
      <c r="J114" s="75">
        <f t="shared" si="51"/>
        <v>0.13893536121673011</v>
      </c>
      <c r="K114" s="76">
        <f t="shared" si="52"/>
        <v>0.33244626321121584</v>
      </c>
      <c r="L114" s="77">
        <f t="shared" si="53"/>
        <v>0.28152498274584892</v>
      </c>
      <c r="M114" s="76">
        <f t="shared" si="54"/>
        <v>0.36094794182168821</v>
      </c>
      <c r="N114" s="77">
        <f t="shared" si="55"/>
        <v>0.32067884194526169</v>
      </c>
      <c r="O114" s="76">
        <f t="shared" si="56"/>
        <v>-0.32733791734059214</v>
      </c>
      <c r="P114" s="77">
        <f t="shared" si="57"/>
        <v>0.40159588412613689</v>
      </c>
      <c r="Q114" s="76">
        <f t="shared" si="58"/>
        <v>0.33244626321121579</v>
      </c>
      <c r="R114" s="75">
        <f t="shared" si="59"/>
        <v>-0.271809271444026</v>
      </c>
    </row>
    <row r="115" spans="2:18">
      <c r="B115" s="81"/>
      <c r="C115">
        <v>6</v>
      </c>
      <c r="D115">
        <v>560</v>
      </c>
      <c r="E115">
        <v>1.341</v>
      </c>
      <c r="F115" s="78"/>
      <c r="G115" s="75">
        <f t="shared" si="48"/>
        <v>0.56861318146576756</v>
      </c>
      <c r="H115" s="76">
        <f t="shared" si="49"/>
        <v>-0.41666666666666669</v>
      </c>
      <c r="I115" s="75">
        <f t="shared" si="50"/>
        <v>0.22340425531914898</v>
      </c>
      <c r="J115" s="75">
        <f t="shared" si="51"/>
        <v>0.15657794676806081</v>
      </c>
      <c r="K115" s="76">
        <f t="shared" si="52"/>
        <v>0.35243972322793732</v>
      </c>
      <c r="L115" s="77">
        <f t="shared" si="53"/>
        <v>0.29316539785870255</v>
      </c>
      <c r="M115" s="76">
        <f t="shared" si="54"/>
        <v>0.38094140183840974</v>
      </c>
      <c r="N115" s="77">
        <f t="shared" si="55"/>
        <v>0.33231925705811532</v>
      </c>
      <c r="O115" s="76">
        <f t="shared" si="56"/>
        <v>-0.32733791734059214</v>
      </c>
      <c r="P115" s="77">
        <f t="shared" si="57"/>
        <v>0.41687481140202959</v>
      </c>
      <c r="Q115" s="76">
        <f t="shared" si="58"/>
        <v>0.35243972322793726</v>
      </c>
      <c r="R115" s="75">
        <f t="shared" si="59"/>
        <v>-0.27544778360706501</v>
      </c>
    </row>
    <row r="116" spans="2:18">
      <c r="B116" s="81"/>
      <c r="C116">
        <v>6</v>
      </c>
      <c r="D116">
        <v>576</v>
      </c>
      <c r="E116">
        <v>1.36825</v>
      </c>
      <c r="F116" s="78"/>
      <c r="G116" s="75">
        <f t="shared" si="48"/>
        <v>0.58297010450949438</v>
      </c>
      <c r="H116" s="76">
        <f t="shared" si="49"/>
        <v>-0.41666666666666669</v>
      </c>
      <c r="I116" s="75">
        <f t="shared" si="50"/>
        <v>0.24468085106382975</v>
      </c>
      <c r="J116" s="75">
        <f t="shared" si="51"/>
        <v>0.17315589353612171</v>
      </c>
      <c r="K116" s="76">
        <f t="shared" si="52"/>
        <v>0.37243318324465868</v>
      </c>
      <c r="L116" s="77">
        <f t="shared" si="53"/>
        <v>0.30388380873939036</v>
      </c>
      <c r="M116" s="76">
        <f t="shared" si="54"/>
        <v>0.40093486185513111</v>
      </c>
      <c r="N116" s="77">
        <f t="shared" si="55"/>
        <v>0.34303766793880319</v>
      </c>
      <c r="O116" s="76">
        <f t="shared" si="56"/>
        <v>-0.32733791734059214</v>
      </c>
      <c r="P116" s="77">
        <f t="shared" si="57"/>
        <v>0.43123173444575646</v>
      </c>
      <c r="Q116" s="76">
        <f t="shared" si="58"/>
        <v>0.37243318324465863</v>
      </c>
      <c r="R116" s="75">
        <f t="shared" si="59"/>
        <v>-0.27908629577010408</v>
      </c>
    </row>
    <row r="117" spans="2:18">
      <c r="B117" s="81"/>
      <c r="C117">
        <v>6</v>
      </c>
      <c r="D117">
        <v>592</v>
      </c>
      <c r="E117">
        <v>1.407</v>
      </c>
      <c r="F117" s="78"/>
      <c r="G117" s="75">
        <f t="shared" si="48"/>
        <v>0.60338591250745455</v>
      </c>
      <c r="H117" s="76">
        <f t="shared" si="49"/>
        <v>-0.41666666666666669</v>
      </c>
      <c r="I117" s="75">
        <f t="shared" si="50"/>
        <v>0.26595744680851063</v>
      </c>
      <c r="J117" s="75">
        <f t="shared" si="51"/>
        <v>0.19673003802281375</v>
      </c>
      <c r="K117" s="76">
        <f t="shared" si="52"/>
        <v>0.39242664326138021</v>
      </c>
      <c r="L117" s="77">
        <f t="shared" si="53"/>
        <v>0.32066110457431152</v>
      </c>
      <c r="M117" s="76">
        <f t="shared" si="54"/>
        <v>0.42092832187185258</v>
      </c>
      <c r="N117" s="77">
        <f t="shared" si="55"/>
        <v>0.35981496377372429</v>
      </c>
      <c r="O117" s="76">
        <f t="shared" si="56"/>
        <v>-0.32733791734059214</v>
      </c>
      <c r="P117" s="77">
        <f t="shared" si="57"/>
        <v>0.45164754244371663</v>
      </c>
      <c r="Q117" s="76">
        <f t="shared" si="58"/>
        <v>0.39242664326138016</v>
      </c>
      <c r="R117" s="75">
        <f t="shared" si="59"/>
        <v>-0.28272480793314309</v>
      </c>
    </row>
    <row r="118" spans="2:18">
      <c r="B118" s="81"/>
      <c r="C118">
        <v>6</v>
      </c>
      <c r="D118">
        <v>608</v>
      </c>
      <c r="E118">
        <v>1.4392499999999999</v>
      </c>
      <c r="F118" s="78"/>
      <c r="G118" s="75">
        <f t="shared" si="48"/>
        <v>0.62037713335736977</v>
      </c>
      <c r="H118" s="76">
        <f t="shared" si="49"/>
        <v>-0.41666666666666669</v>
      </c>
      <c r="I118" s="75">
        <f t="shared" si="50"/>
        <v>0.28723404255319152</v>
      </c>
      <c r="J118" s="75">
        <f t="shared" si="51"/>
        <v>0.21634980988593155</v>
      </c>
      <c r="K118" s="76">
        <f t="shared" si="52"/>
        <v>0.41242010327810164</v>
      </c>
      <c r="L118" s="77">
        <f t="shared" si="53"/>
        <v>0.33401381326118762</v>
      </c>
      <c r="M118" s="76">
        <f t="shared" si="54"/>
        <v>0.440921781888574</v>
      </c>
      <c r="N118" s="77">
        <f t="shared" si="55"/>
        <v>0.37316767246060045</v>
      </c>
      <c r="O118" s="76">
        <f t="shared" si="56"/>
        <v>-0.32733791734059214</v>
      </c>
      <c r="P118" s="77">
        <f t="shared" si="57"/>
        <v>0.4686387632936318</v>
      </c>
      <c r="Q118" s="76">
        <f t="shared" si="58"/>
        <v>0.41242010327810158</v>
      </c>
      <c r="R118" s="75">
        <f t="shared" si="59"/>
        <v>-0.28636332009618215</v>
      </c>
    </row>
    <row r="119" spans="2:18">
      <c r="B119" s="81"/>
      <c r="C119">
        <v>6</v>
      </c>
      <c r="D119">
        <v>624</v>
      </c>
      <c r="E119">
        <v>1.4704999999999999</v>
      </c>
      <c r="F119" s="78"/>
      <c r="G119" s="75">
        <f t="shared" si="48"/>
        <v>0.63684149464604722</v>
      </c>
      <c r="H119" s="76">
        <f t="shared" si="49"/>
        <v>-0.41666666666666669</v>
      </c>
      <c r="I119" s="75">
        <f t="shared" si="50"/>
        <v>0.30851063829787229</v>
      </c>
      <c r="J119" s="75">
        <f t="shared" si="51"/>
        <v>0.23536121673003796</v>
      </c>
      <c r="K119" s="76">
        <f t="shared" si="52"/>
        <v>0.43241356329482311</v>
      </c>
      <c r="L119" s="77">
        <f t="shared" si="53"/>
        <v>0.34683966238682612</v>
      </c>
      <c r="M119" s="76">
        <f t="shared" si="54"/>
        <v>0.46091524190529548</v>
      </c>
      <c r="N119" s="77">
        <f t="shared" si="55"/>
        <v>0.3859935215862389</v>
      </c>
      <c r="O119" s="76">
        <f t="shared" si="56"/>
        <v>-0.32733791734059209</v>
      </c>
      <c r="P119" s="77">
        <f t="shared" si="57"/>
        <v>0.48510312458230931</v>
      </c>
      <c r="Q119" s="76">
        <f t="shared" si="58"/>
        <v>0.432413563294823</v>
      </c>
      <c r="R119" s="75">
        <f t="shared" si="59"/>
        <v>-0.29000183225922116</v>
      </c>
    </row>
    <row r="120" spans="2:18">
      <c r="B120" s="81"/>
      <c r="C120">
        <v>6</v>
      </c>
      <c r="D120">
        <v>640</v>
      </c>
      <c r="E120">
        <v>1.498</v>
      </c>
      <c r="F120" s="78"/>
      <c r="G120" s="75">
        <f t="shared" si="48"/>
        <v>0.65133013258008354</v>
      </c>
      <c r="H120" s="76">
        <f t="shared" si="49"/>
        <v>-0.41666666666666669</v>
      </c>
      <c r="I120" s="75">
        <f t="shared" si="50"/>
        <v>0.32978723404255317</v>
      </c>
      <c r="J120" s="75">
        <f t="shared" si="51"/>
        <v>0.25209125475285177</v>
      </c>
      <c r="K120" s="76">
        <f t="shared" si="52"/>
        <v>0.45240702331154459</v>
      </c>
      <c r="L120" s="77">
        <f t="shared" si="53"/>
        <v>0.35768978815782337</v>
      </c>
      <c r="M120" s="76">
        <f t="shared" si="54"/>
        <v>0.48090870192201701</v>
      </c>
      <c r="N120" s="77">
        <f t="shared" si="55"/>
        <v>0.39684364735723621</v>
      </c>
      <c r="O120" s="76">
        <f t="shared" si="56"/>
        <v>-0.32733791734059209</v>
      </c>
      <c r="P120" s="77">
        <f t="shared" si="57"/>
        <v>0.49959176251634563</v>
      </c>
      <c r="Q120" s="76">
        <f t="shared" si="58"/>
        <v>0.45240702331154448</v>
      </c>
      <c r="R120" s="75">
        <f t="shared" si="59"/>
        <v>-0.29364034442226017</v>
      </c>
    </row>
    <row r="121" spans="2:18">
      <c r="B121" s="81"/>
      <c r="C121">
        <v>6</v>
      </c>
      <c r="D121">
        <v>656</v>
      </c>
      <c r="E121">
        <v>1.542</v>
      </c>
      <c r="F121" s="78"/>
      <c r="G121" s="75">
        <f t="shared" si="48"/>
        <v>0.67451195327454161</v>
      </c>
      <c r="H121" s="76">
        <f t="shared" si="49"/>
        <v>-0.41666666666666669</v>
      </c>
      <c r="I121" s="75">
        <f t="shared" si="50"/>
        <v>0.35106382978723405</v>
      </c>
      <c r="J121" s="75">
        <f t="shared" si="51"/>
        <v>0.27885931558935362</v>
      </c>
      <c r="K121" s="76">
        <f t="shared" si="52"/>
        <v>0.47240048332826606</v>
      </c>
      <c r="L121" s="77">
        <f t="shared" si="53"/>
        <v>0.37723309668924232</v>
      </c>
      <c r="M121" s="76">
        <f t="shared" si="54"/>
        <v>0.50090216193873838</v>
      </c>
      <c r="N121" s="77">
        <f t="shared" si="55"/>
        <v>0.41638695588865515</v>
      </c>
      <c r="O121" s="76">
        <f t="shared" si="56"/>
        <v>-0.32733791734059209</v>
      </c>
      <c r="P121" s="77">
        <f t="shared" si="57"/>
        <v>0.52277358321080358</v>
      </c>
      <c r="Q121" s="76">
        <f t="shared" si="58"/>
        <v>0.47240048332826595</v>
      </c>
      <c r="R121" s="75">
        <f t="shared" si="59"/>
        <v>-0.29727885658529923</v>
      </c>
    </row>
    <row r="122" spans="2:18">
      <c r="B122" s="81"/>
      <c r="C122">
        <v>6</v>
      </c>
      <c r="D122">
        <v>672</v>
      </c>
      <c r="E122">
        <v>1.573</v>
      </c>
      <c r="F122" s="78"/>
      <c r="G122" s="75">
        <f t="shared" si="48"/>
        <v>0.69084459967290968</v>
      </c>
      <c r="H122" s="76">
        <f t="shared" si="49"/>
        <v>-0.41666666666666669</v>
      </c>
      <c r="I122" s="75">
        <f t="shared" si="50"/>
        <v>0.37234042553191493</v>
      </c>
      <c r="J122" s="75">
        <f t="shared" si="51"/>
        <v>0.29771863117870723</v>
      </c>
      <c r="K122" s="76">
        <f t="shared" si="52"/>
        <v>0.49239394334498754</v>
      </c>
      <c r="L122" s="77">
        <f t="shared" si="53"/>
        <v>0.38992723092457143</v>
      </c>
      <c r="M122" s="76">
        <f t="shared" si="54"/>
        <v>0.52089562195545991</v>
      </c>
      <c r="N122" s="77">
        <f t="shared" si="55"/>
        <v>0.42908109012398421</v>
      </c>
      <c r="O122" s="76">
        <f t="shared" si="56"/>
        <v>-0.32733791734059209</v>
      </c>
      <c r="P122" s="77">
        <f t="shared" si="57"/>
        <v>0.53910622960917176</v>
      </c>
      <c r="Q122" s="76">
        <f t="shared" si="58"/>
        <v>0.49239394334498743</v>
      </c>
      <c r="R122" s="75">
        <f t="shared" si="59"/>
        <v>-0.30091736874833824</v>
      </c>
    </row>
    <row r="123" spans="2:18">
      <c r="B123" s="81"/>
      <c r="C123">
        <v>6</v>
      </c>
      <c r="D123">
        <v>688</v>
      </c>
      <c r="E123">
        <v>1.60425</v>
      </c>
      <c r="F123" s="78"/>
      <c r="G123" s="75">
        <f t="shared" si="48"/>
        <v>0.70730896096158713</v>
      </c>
      <c r="H123" s="76">
        <f t="shared" si="49"/>
        <v>-0.41666666666666669</v>
      </c>
      <c r="I123" s="75">
        <f t="shared" si="50"/>
        <v>0.3936170212765957</v>
      </c>
      <c r="J123" s="75">
        <f t="shared" si="51"/>
        <v>0.31673003802281363</v>
      </c>
      <c r="K123" s="76">
        <f t="shared" si="52"/>
        <v>0.51238740336170885</v>
      </c>
      <c r="L123" s="77">
        <f t="shared" si="53"/>
        <v>0.40275308005020982</v>
      </c>
      <c r="M123" s="76">
        <f t="shared" si="54"/>
        <v>0.54088908197218122</v>
      </c>
      <c r="N123" s="77">
        <f t="shared" si="55"/>
        <v>0.44190693924962265</v>
      </c>
      <c r="O123" s="76">
        <f t="shared" si="56"/>
        <v>-0.32733791734059209</v>
      </c>
      <c r="P123" s="77">
        <f t="shared" si="57"/>
        <v>0.55557059089784921</v>
      </c>
      <c r="Q123" s="76">
        <f t="shared" si="58"/>
        <v>0.51238740336170874</v>
      </c>
      <c r="R123" s="75">
        <f t="shared" si="59"/>
        <v>-0.30455588091137731</v>
      </c>
    </row>
    <row r="124" spans="2:18">
      <c r="B124" s="81"/>
      <c r="C124">
        <v>6</v>
      </c>
      <c r="D124">
        <v>704</v>
      </c>
      <c r="E124">
        <v>1.6367499999999999</v>
      </c>
      <c r="F124" s="78"/>
      <c r="G124" s="75">
        <f t="shared" si="48"/>
        <v>0.72443189670181174</v>
      </c>
      <c r="H124" s="76">
        <f t="shared" si="49"/>
        <v>-0.41666666666666669</v>
      </c>
      <c r="I124" s="75">
        <f t="shared" si="50"/>
        <v>0.41489361702127658</v>
      </c>
      <c r="J124" s="75">
        <f t="shared" si="51"/>
        <v>0.33650190114068435</v>
      </c>
      <c r="K124" s="76">
        <f t="shared" si="52"/>
        <v>0.53238086337843038</v>
      </c>
      <c r="L124" s="77">
        <f t="shared" si="53"/>
        <v>0.41623750362739548</v>
      </c>
      <c r="M124" s="76">
        <f t="shared" si="54"/>
        <v>0.56088254198890275</v>
      </c>
      <c r="N124" s="77">
        <f t="shared" si="55"/>
        <v>0.45539136282680825</v>
      </c>
      <c r="O124" s="76">
        <f t="shared" si="56"/>
        <v>-0.32733791734059209</v>
      </c>
      <c r="P124" s="77">
        <f t="shared" si="57"/>
        <v>0.57269352663807382</v>
      </c>
      <c r="Q124" s="76">
        <f t="shared" si="58"/>
        <v>0.53238086337843027</v>
      </c>
      <c r="R124" s="75">
        <f t="shared" si="59"/>
        <v>-0.30819439307441632</v>
      </c>
    </row>
    <row r="125" spans="2:18">
      <c r="B125" s="81"/>
      <c r="C125">
        <v>6</v>
      </c>
      <c r="D125">
        <v>720</v>
      </c>
      <c r="E125">
        <v>1.68625</v>
      </c>
      <c r="F125" s="78"/>
      <c r="G125" s="75">
        <f t="shared" si="48"/>
        <v>0.75051144498307709</v>
      </c>
      <c r="H125" s="76">
        <f t="shared" si="49"/>
        <v>-0.41666666666666669</v>
      </c>
      <c r="I125" s="75">
        <f t="shared" si="50"/>
        <v>0.43617021276595747</v>
      </c>
      <c r="J125" s="75">
        <f t="shared" si="51"/>
        <v>0.36661596958174913</v>
      </c>
      <c r="K125" s="76">
        <f t="shared" si="52"/>
        <v>0.55237432339515191</v>
      </c>
      <c r="L125" s="77">
        <f t="shared" si="53"/>
        <v>0.43867853974562177</v>
      </c>
      <c r="M125" s="76">
        <f t="shared" si="54"/>
        <v>0.58087600200562428</v>
      </c>
      <c r="N125" s="77">
        <f t="shared" si="55"/>
        <v>0.4778323989450346</v>
      </c>
      <c r="O125" s="76">
        <f t="shared" si="56"/>
        <v>-0.32733791734059209</v>
      </c>
      <c r="P125" s="77">
        <f t="shared" si="57"/>
        <v>0.59877307491933918</v>
      </c>
      <c r="Q125" s="76">
        <f t="shared" si="58"/>
        <v>0.5523743233951518</v>
      </c>
      <c r="R125" s="75">
        <f t="shared" si="59"/>
        <v>-0.31183290523745533</v>
      </c>
    </row>
    <row r="126" spans="2:18">
      <c r="B126" s="81"/>
      <c r="C126">
        <v>6</v>
      </c>
      <c r="D126">
        <v>736</v>
      </c>
      <c r="E126">
        <v>1.7177500000000001</v>
      </c>
      <c r="F126" s="78"/>
      <c r="G126" s="75">
        <f t="shared" si="48"/>
        <v>0.76710752116206415</v>
      </c>
      <c r="H126" s="76">
        <f t="shared" si="49"/>
        <v>-0.41666666666666669</v>
      </c>
      <c r="I126" s="75">
        <f t="shared" si="50"/>
        <v>0.45744680851063835</v>
      </c>
      <c r="J126" s="75">
        <f t="shared" si="51"/>
        <v>0.38577946768060845</v>
      </c>
      <c r="K126" s="76">
        <f t="shared" si="52"/>
        <v>0.57236778341187333</v>
      </c>
      <c r="L126" s="77">
        <f t="shared" si="53"/>
        <v>0.45163610376156971</v>
      </c>
      <c r="M126" s="76">
        <f t="shared" si="54"/>
        <v>0.6008694620223457</v>
      </c>
      <c r="N126" s="77">
        <f t="shared" si="55"/>
        <v>0.49078996296098254</v>
      </c>
      <c r="O126" s="76">
        <f t="shared" si="56"/>
        <v>-0.32733791734059209</v>
      </c>
      <c r="P126" s="77">
        <f t="shared" si="57"/>
        <v>0.61536915109832613</v>
      </c>
      <c r="Q126" s="76">
        <f t="shared" si="58"/>
        <v>0.57236778341187322</v>
      </c>
      <c r="R126" s="75">
        <f t="shared" si="59"/>
        <v>-0.31547141740049439</v>
      </c>
    </row>
    <row r="127" spans="2:18">
      <c r="B127" s="81"/>
      <c r="C127">
        <v>6</v>
      </c>
      <c r="D127">
        <v>752</v>
      </c>
      <c r="E127">
        <v>1.76075</v>
      </c>
      <c r="F127" s="78"/>
      <c r="G127" s="75">
        <f t="shared" si="48"/>
        <v>0.78976248229528434</v>
      </c>
      <c r="H127" s="76">
        <f t="shared" si="49"/>
        <v>-0.41666666666666669</v>
      </c>
      <c r="I127" s="75">
        <f t="shared" si="50"/>
        <v>0.47872340425531912</v>
      </c>
      <c r="J127" s="75">
        <f t="shared" si="51"/>
        <v>0.41193916349809889</v>
      </c>
      <c r="K127" s="76">
        <f t="shared" si="52"/>
        <v>0.59236124342859475</v>
      </c>
      <c r="L127" s="77">
        <f t="shared" si="53"/>
        <v>0.47065255273175094</v>
      </c>
      <c r="M127" s="76">
        <f t="shared" si="54"/>
        <v>0.62086292203906712</v>
      </c>
      <c r="N127" s="77">
        <f t="shared" si="55"/>
        <v>0.50980641193116372</v>
      </c>
      <c r="O127" s="76">
        <f t="shared" si="56"/>
        <v>-0.32733791734059209</v>
      </c>
      <c r="P127" s="77">
        <f t="shared" si="57"/>
        <v>0.63802411223154643</v>
      </c>
      <c r="Q127" s="76">
        <f t="shared" si="58"/>
        <v>0.59236124342859464</v>
      </c>
      <c r="R127" s="75">
        <f t="shared" si="59"/>
        <v>-0.3191099295635334</v>
      </c>
    </row>
    <row r="128" spans="2:18">
      <c r="B128" s="81"/>
      <c r="C128">
        <v>6</v>
      </c>
      <c r="D128">
        <v>768</v>
      </c>
      <c r="E128">
        <v>1.7949999999999999</v>
      </c>
      <c r="F128" s="78"/>
      <c r="G128" s="75">
        <f t="shared" si="48"/>
        <v>0.80780742226767488</v>
      </c>
      <c r="H128" s="76">
        <f t="shared" si="49"/>
        <v>-0.41666666666666669</v>
      </c>
      <c r="I128" s="75">
        <f t="shared" si="50"/>
        <v>0.5</v>
      </c>
      <c r="J128" s="75">
        <f t="shared" si="51"/>
        <v>0.43277566539923951</v>
      </c>
      <c r="K128" s="76">
        <f t="shared" si="52"/>
        <v>0.61235470344531617</v>
      </c>
      <c r="L128" s="77">
        <f t="shared" si="53"/>
        <v>0.48505898054110241</v>
      </c>
      <c r="M128" s="76">
        <f t="shared" si="54"/>
        <v>0.64085638205578854</v>
      </c>
      <c r="N128" s="77">
        <f t="shared" si="55"/>
        <v>0.52421283974051525</v>
      </c>
      <c r="O128" s="76">
        <f t="shared" si="56"/>
        <v>-0.32733791734059209</v>
      </c>
      <c r="P128" s="77">
        <f t="shared" si="57"/>
        <v>0.65606905220393696</v>
      </c>
      <c r="Q128" s="76">
        <f t="shared" si="58"/>
        <v>0.61235470344531606</v>
      </c>
      <c r="R128" s="75">
        <f t="shared" si="59"/>
        <v>-0.32274844172657247</v>
      </c>
    </row>
    <row r="129" spans="2:18">
      <c r="B129" s="81"/>
      <c r="C129">
        <v>9</v>
      </c>
      <c r="D129">
        <v>16</v>
      </c>
      <c r="E129">
        <v>0.26974999999999999</v>
      </c>
      <c r="F129" s="78"/>
      <c r="G129" s="75">
        <f t="shared" si="48"/>
        <v>4.2148764899014868E-3</v>
      </c>
      <c r="H129" s="76">
        <f t="shared" si="49"/>
        <v>-0.33333333333333337</v>
      </c>
      <c r="I129" s="75">
        <f t="shared" si="50"/>
        <v>-0.5</v>
      </c>
      <c r="J129" s="75">
        <f t="shared" si="51"/>
        <v>-0.49513307984790872</v>
      </c>
      <c r="K129" s="76">
        <f t="shared" si="52"/>
        <v>-0.35583959595106457</v>
      </c>
      <c r="L129" s="77">
        <f t="shared" si="53"/>
        <v>-0.18667735277324934</v>
      </c>
      <c r="M129" s="76">
        <f t="shared" si="54"/>
        <v>-0.29883623873011983</v>
      </c>
      <c r="N129" s="77">
        <f t="shared" si="55"/>
        <v>-0.10836963437442371</v>
      </c>
      <c r="O129" s="76">
        <f t="shared" si="56"/>
        <v>-0.35583959595106457</v>
      </c>
      <c r="P129" s="77">
        <f t="shared" si="57"/>
        <v>-0.18667735277324934</v>
      </c>
      <c r="Q129" s="76">
        <f t="shared" si="58"/>
        <v>-0.35583959595106457</v>
      </c>
      <c r="R129" s="75">
        <f t="shared" si="59"/>
        <v>-0.19089222926315083</v>
      </c>
    </row>
    <row r="130" spans="2:18">
      <c r="B130" s="81"/>
      <c r="C130">
        <v>9</v>
      </c>
      <c r="D130">
        <v>32</v>
      </c>
      <c r="E130">
        <v>0.27600000000000002</v>
      </c>
      <c r="F130" s="78"/>
      <c r="G130" s="75">
        <f t="shared" si="48"/>
        <v>7.5077487476369886E-3</v>
      </c>
      <c r="H130" s="76">
        <f t="shared" si="49"/>
        <v>-0.33333333333333337</v>
      </c>
      <c r="I130" s="75">
        <f t="shared" si="50"/>
        <v>-0.47872340425531917</v>
      </c>
      <c r="J130" s="75">
        <f t="shared" si="51"/>
        <v>-0.49133079847908745</v>
      </c>
      <c r="K130" s="76">
        <f t="shared" si="52"/>
        <v>-0.33584613593434315</v>
      </c>
      <c r="L130" s="77">
        <f t="shared" si="53"/>
        <v>-0.18702299267855288</v>
      </c>
      <c r="M130" s="76">
        <f t="shared" si="54"/>
        <v>-0.27884277871339841</v>
      </c>
      <c r="N130" s="77">
        <f t="shared" si="55"/>
        <v>-0.10871527427972721</v>
      </c>
      <c r="O130" s="76">
        <f t="shared" si="56"/>
        <v>-0.35583959595106457</v>
      </c>
      <c r="P130" s="77">
        <f t="shared" si="57"/>
        <v>-0.18338448051551384</v>
      </c>
      <c r="Q130" s="76">
        <f t="shared" si="58"/>
        <v>-0.33584613593434315</v>
      </c>
      <c r="R130" s="75">
        <f t="shared" si="59"/>
        <v>-0.19453074142618987</v>
      </c>
    </row>
    <row r="131" spans="2:18">
      <c r="B131" s="81"/>
      <c r="C131">
        <v>9</v>
      </c>
      <c r="D131">
        <v>48</v>
      </c>
      <c r="E131">
        <v>0.32550000000000001</v>
      </c>
      <c r="F131" s="78"/>
      <c r="G131" s="75">
        <f t="shared" si="48"/>
        <v>3.358729702890223E-2</v>
      </c>
      <c r="H131" s="76">
        <f t="shared" si="49"/>
        <v>-0.33333333333333337</v>
      </c>
      <c r="I131" s="75">
        <f t="shared" si="50"/>
        <v>-0.45744680851063829</v>
      </c>
      <c r="J131" s="75">
        <f t="shared" si="51"/>
        <v>-0.46121673003802277</v>
      </c>
      <c r="K131" s="76">
        <f t="shared" si="52"/>
        <v>-0.31585267591762173</v>
      </c>
      <c r="L131" s="77">
        <f t="shared" si="53"/>
        <v>-0.16458195656032665</v>
      </c>
      <c r="M131" s="76">
        <f t="shared" si="54"/>
        <v>-0.25884931869667688</v>
      </c>
      <c r="N131" s="77">
        <f t="shared" si="55"/>
        <v>-8.6274238161501038E-2</v>
      </c>
      <c r="O131" s="76">
        <f t="shared" si="56"/>
        <v>-0.35583959595106457</v>
      </c>
      <c r="P131" s="77">
        <f t="shared" si="57"/>
        <v>-0.1573049322342486</v>
      </c>
      <c r="Q131" s="76">
        <f t="shared" si="58"/>
        <v>-0.31585267591762173</v>
      </c>
      <c r="R131" s="75">
        <f t="shared" si="59"/>
        <v>-0.19816925358922888</v>
      </c>
    </row>
    <row r="132" spans="2:18">
      <c r="B132" s="81"/>
      <c r="C132">
        <v>9</v>
      </c>
      <c r="D132">
        <v>64</v>
      </c>
      <c r="E132">
        <v>0.40225</v>
      </c>
      <c r="F132" s="78"/>
      <c r="G132" s="75">
        <f t="shared" si="48"/>
        <v>7.4023768353894237E-2</v>
      </c>
      <c r="H132" s="76">
        <f t="shared" si="49"/>
        <v>-0.33333333333333337</v>
      </c>
      <c r="I132" s="75">
        <f t="shared" si="50"/>
        <v>-0.43617021276595747</v>
      </c>
      <c r="J132" s="75">
        <f t="shared" si="51"/>
        <v>-0.4145247148288973</v>
      </c>
      <c r="K132" s="76">
        <f t="shared" si="52"/>
        <v>-0.29585921590090031</v>
      </c>
      <c r="L132" s="77">
        <f t="shared" si="53"/>
        <v>-0.12778399739837368</v>
      </c>
      <c r="M132" s="76">
        <f t="shared" si="54"/>
        <v>-0.23885585867995549</v>
      </c>
      <c r="N132" s="77">
        <f t="shared" si="55"/>
        <v>-4.947627899954804E-2</v>
      </c>
      <c r="O132" s="76">
        <f t="shared" si="56"/>
        <v>-0.35583959595106457</v>
      </c>
      <c r="P132" s="77">
        <f t="shared" si="57"/>
        <v>-0.11686846090925659</v>
      </c>
      <c r="Q132" s="76">
        <f t="shared" si="58"/>
        <v>-0.29585921590090031</v>
      </c>
      <c r="R132" s="75">
        <f t="shared" si="59"/>
        <v>-0.20180776575226791</v>
      </c>
    </row>
    <row r="133" spans="2:18">
      <c r="B133" s="81"/>
      <c r="C133">
        <v>9</v>
      </c>
      <c r="D133">
        <v>80</v>
      </c>
      <c r="E133">
        <v>0.48925000000000002</v>
      </c>
      <c r="F133" s="78"/>
      <c r="G133" s="75">
        <f t="shared" si="48"/>
        <v>0.11986055018157254</v>
      </c>
      <c r="H133" s="76">
        <f t="shared" si="49"/>
        <v>-0.33333333333333337</v>
      </c>
      <c r="I133" s="75">
        <f t="shared" si="50"/>
        <v>-0.41489361702127658</v>
      </c>
      <c r="J133" s="75">
        <f t="shared" si="51"/>
        <v>-0.36159695817490489</v>
      </c>
      <c r="K133" s="76">
        <f t="shared" si="52"/>
        <v>-0.27586575588417878</v>
      </c>
      <c r="L133" s="77">
        <f t="shared" si="53"/>
        <v>-8.5585727733734407E-2</v>
      </c>
      <c r="M133" s="76">
        <f t="shared" si="54"/>
        <v>-0.21886239866323395</v>
      </c>
      <c r="N133" s="77">
        <f t="shared" si="55"/>
        <v>-7.2780093349087416E-3</v>
      </c>
      <c r="O133" s="76">
        <f t="shared" si="56"/>
        <v>-0.35583959595106457</v>
      </c>
      <c r="P133" s="77">
        <f t="shared" si="57"/>
        <v>-7.1031679081578286E-2</v>
      </c>
      <c r="Q133" s="76">
        <f t="shared" si="58"/>
        <v>-0.27586575588417878</v>
      </c>
      <c r="R133" s="75">
        <f t="shared" si="59"/>
        <v>-0.20544627791530695</v>
      </c>
    </row>
    <row r="134" spans="2:18">
      <c r="B134" s="81"/>
      <c r="C134">
        <v>9</v>
      </c>
      <c r="D134">
        <v>96</v>
      </c>
      <c r="E134">
        <v>0.57274999999999998</v>
      </c>
      <c r="F134" s="78"/>
      <c r="G134" s="75">
        <f t="shared" si="48"/>
        <v>0.16385332354491888</v>
      </c>
      <c r="H134" s="76">
        <f t="shared" si="49"/>
        <v>-0.33333333333333337</v>
      </c>
      <c r="I134" s="75">
        <f t="shared" si="50"/>
        <v>-0.39361702127659576</v>
      </c>
      <c r="J134" s="75">
        <f t="shared" si="51"/>
        <v>-0.31079847908745251</v>
      </c>
      <c r="K134" s="76">
        <f t="shared" si="52"/>
        <v>-0.25587229586745736</v>
      </c>
      <c r="L134" s="77">
        <f t="shared" si="53"/>
        <v>-4.5231466533427078E-2</v>
      </c>
      <c r="M134" s="76">
        <f t="shared" si="54"/>
        <v>-0.19886893864651251</v>
      </c>
      <c r="N134" s="77">
        <f t="shared" si="55"/>
        <v>3.3076251865398532E-2</v>
      </c>
      <c r="O134" s="76">
        <f t="shared" si="56"/>
        <v>-0.35583959595106457</v>
      </c>
      <c r="P134" s="77">
        <f t="shared" si="57"/>
        <v>-2.7038905718231948E-2</v>
      </c>
      <c r="Q134" s="76">
        <f t="shared" si="58"/>
        <v>-0.25587229586745736</v>
      </c>
      <c r="R134" s="75">
        <f t="shared" si="59"/>
        <v>-0.20908479007834596</v>
      </c>
    </row>
    <row r="135" spans="2:18">
      <c r="B135" s="81"/>
      <c r="C135">
        <v>9</v>
      </c>
      <c r="D135">
        <v>112</v>
      </c>
      <c r="E135">
        <v>0.68100000000000005</v>
      </c>
      <c r="F135" s="78"/>
      <c r="G135" s="75">
        <f t="shared" si="48"/>
        <v>0.22088587104889792</v>
      </c>
      <c r="H135" s="76">
        <f t="shared" si="49"/>
        <v>-0.33333333333333337</v>
      </c>
      <c r="I135" s="75">
        <f t="shared" si="50"/>
        <v>-0.37234042553191493</v>
      </c>
      <c r="J135" s="75">
        <f t="shared" si="51"/>
        <v>-0.24494296577946767</v>
      </c>
      <c r="K135" s="76">
        <f t="shared" si="52"/>
        <v>-0.23587883585073588</v>
      </c>
      <c r="L135" s="77">
        <f t="shared" si="53"/>
        <v>8.1625688075128988E-3</v>
      </c>
      <c r="M135" s="76">
        <f t="shared" si="54"/>
        <v>-0.17887547862979108</v>
      </c>
      <c r="N135" s="77">
        <f t="shared" si="55"/>
        <v>8.6470287206338564E-2</v>
      </c>
      <c r="O135" s="76">
        <f t="shared" si="56"/>
        <v>-0.35583959595106457</v>
      </c>
      <c r="P135" s="77">
        <f t="shared" si="57"/>
        <v>2.9993641785747094E-2</v>
      </c>
      <c r="Q135" s="76">
        <f t="shared" si="58"/>
        <v>-0.23587883585073591</v>
      </c>
      <c r="R135" s="75">
        <f t="shared" si="59"/>
        <v>-0.21272330224138503</v>
      </c>
    </row>
    <row r="136" spans="2:18">
      <c r="B136" s="81"/>
      <c r="C136">
        <v>9</v>
      </c>
      <c r="D136">
        <v>128</v>
      </c>
      <c r="E136">
        <v>0.69550000000000001</v>
      </c>
      <c r="F136" s="78"/>
      <c r="G136" s="75">
        <f t="shared" ref="G136:G167" si="60">D$19*(L136-R136)</f>
        <v>0.2285253346868443</v>
      </c>
      <c r="H136" s="76">
        <f t="shared" ref="H136:H167" si="61">(C136-H$16)/H$17-0.5</f>
        <v>-0.33333333333333337</v>
      </c>
      <c r="I136" s="75">
        <f t="shared" ref="I136:I167" si="62">(D136-I$16)/I$17-0.5</f>
        <v>-0.35106382978723405</v>
      </c>
      <c r="J136" s="75">
        <f t="shared" ref="J136:J167" si="63">(E136-J$16)/J$17-0.5</f>
        <v>-0.23612167300380227</v>
      </c>
      <c r="K136" s="76">
        <f t="shared" ref="K136:K167" si="64">(H136*$H$13+I136*$I$13+J136*$J$13+$D$27)*$C$27</f>
        <v>-0.2158853758340144</v>
      </c>
      <c r="L136" s="77">
        <f t="shared" ref="L136:L167" si="65">(H136*$H$14+I136*$I$14+J136*$J$14+$E$27)*$C$27</f>
        <v>1.2163520282420265E-2</v>
      </c>
      <c r="M136" s="76">
        <f t="shared" ref="M136:M167" si="66">(H$27*$H$13+I136*$I$13+J136*$J$13+$D$27)*$C$27</f>
        <v>-0.15888201861306961</v>
      </c>
      <c r="N136" s="77">
        <f t="shared" ref="N136:N167" si="67">(H$27*$H$14+I136*$I$14+J136*$J$14+$E$27)*$C$27</f>
        <v>9.0471238681245875E-2</v>
      </c>
      <c r="O136" s="76">
        <f t="shared" ref="O136:O167" si="68">(H136*$H$13+I$27*$I$13+J136*$J$13+$D$27)*$C$27</f>
        <v>-0.35583959595106457</v>
      </c>
      <c r="P136" s="77">
        <f t="shared" ref="P136:P167" si="69">(H136*$H$14+I$27*$I$14+J136*$J$14+$E$27)*$C$27</f>
        <v>3.7633105423693469E-2</v>
      </c>
      <c r="Q136" s="76">
        <f t="shared" ref="Q136:Q167" si="70">(H136*$H$13+I136*$I$13+J$27*$J$13+$D$27)*$C$27</f>
        <v>-0.21588537583401443</v>
      </c>
      <c r="R136" s="75">
        <f t="shared" ref="R136:R167" si="71">(H136*$H$14+I136*$I$14+J$27*$J$14+$E$27)*$C$27</f>
        <v>-0.21636181440442404</v>
      </c>
    </row>
    <row r="137" spans="2:18">
      <c r="B137" s="81"/>
      <c r="C137">
        <v>9</v>
      </c>
      <c r="D137">
        <v>144</v>
      </c>
      <c r="E137">
        <v>0.72950000000000004</v>
      </c>
      <c r="F137" s="78"/>
      <c r="G137" s="75">
        <f t="shared" si="60"/>
        <v>0.24643855976892545</v>
      </c>
      <c r="H137" s="76">
        <f t="shared" si="61"/>
        <v>-0.33333333333333337</v>
      </c>
      <c r="I137" s="75">
        <f t="shared" si="62"/>
        <v>-0.32978723404255317</v>
      </c>
      <c r="J137" s="75">
        <f t="shared" si="63"/>
        <v>-0.21543726235741445</v>
      </c>
      <c r="K137" s="76">
        <f t="shared" si="64"/>
        <v>-0.19589191581729293</v>
      </c>
      <c r="L137" s="77">
        <f t="shared" si="65"/>
        <v>2.643823320146238E-2</v>
      </c>
      <c r="M137" s="76">
        <f t="shared" si="66"/>
        <v>-0.13888855859634813</v>
      </c>
      <c r="N137" s="77">
        <f t="shared" si="67"/>
        <v>0.10474595160028802</v>
      </c>
      <c r="O137" s="76">
        <f t="shared" si="68"/>
        <v>-0.35583959595106451</v>
      </c>
      <c r="P137" s="77">
        <f t="shared" si="69"/>
        <v>5.5546330505774621E-2</v>
      </c>
      <c r="Q137" s="76">
        <f t="shared" si="70"/>
        <v>-0.19589191581729296</v>
      </c>
      <c r="R137" s="75">
        <f t="shared" si="71"/>
        <v>-0.22000032656746307</v>
      </c>
    </row>
    <row r="138" spans="2:18">
      <c r="B138" s="81"/>
      <c r="C138">
        <v>9</v>
      </c>
      <c r="D138">
        <v>160</v>
      </c>
      <c r="E138">
        <v>0.77149999999999996</v>
      </c>
      <c r="F138" s="78"/>
      <c r="G138" s="75">
        <f t="shared" si="60"/>
        <v>0.26856666134090801</v>
      </c>
      <c r="H138" s="76">
        <f t="shared" si="61"/>
        <v>-0.33333333333333337</v>
      </c>
      <c r="I138" s="75">
        <f t="shared" si="62"/>
        <v>-0.30851063829787234</v>
      </c>
      <c r="J138" s="75">
        <f t="shared" si="63"/>
        <v>-0.18988593155893541</v>
      </c>
      <c r="K138" s="76">
        <f t="shared" si="64"/>
        <v>-0.17589845580057151</v>
      </c>
      <c r="L138" s="77">
        <f t="shared" si="65"/>
        <v>4.4927822610405926E-2</v>
      </c>
      <c r="M138" s="76">
        <f t="shared" si="66"/>
        <v>-0.11889509857962671</v>
      </c>
      <c r="N138" s="77">
        <f t="shared" si="67"/>
        <v>0.12323554100923159</v>
      </c>
      <c r="O138" s="76">
        <f t="shared" si="68"/>
        <v>-0.35583959595106451</v>
      </c>
      <c r="P138" s="77">
        <f t="shared" si="69"/>
        <v>7.7674432077757205E-2</v>
      </c>
      <c r="Q138" s="76">
        <f t="shared" si="70"/>
        <v>-0.17589845580057153</v>
      </c>
      <c r="R138" s="75">
        <f t="shared" si="71"/>
        <v>-0.22363883873050211</v>
      </c>
    </row>
    <row r="139" spans="2:18">
      <c r="B139" s="81"/>
      <c r="C139">
        <v>9</v>
      </c>
      <c r="D139">
        <v>176</v>
      </c>
      <c r="E139">
        <v>0.79949999999999999</v>
      </c>
      <c r="F139" s="78"/>
      <c r="G139" s="75">
        <f t="shared" si="60"/>
        <v>0.2833187290555631</v>
      </c>
      <c r="H139" s="76">
        <f t="shared" si="61"/>
        <v>-0.33333333333333337</v>
      </c>
      <c r="I139" s="75">
        <f t="shared" si="62"/>
        <v>-0.28723404255319152</v>
      </c>
      <c r="J139" s="75">
        <f t="shared" si="63"/>
        <v>-0.17285171102661601</v>
      </c>
      <c r="K139" s="76">
        <f t="shared" si="64"/>
        <v>-0.15590499578385003</v>
      </c>
      <c r="L139" s="77">
        <f t="shared" si="65"/>
        <v>5.6041378162021982E-2</v>
      </c>
      <c r="M139" s="76">
        <f t="shared" si="66"/>
        <v>-9.8901638562905236E-2</v>
      </c>
      <c r="N139" s="77">
        <f t="shared" si="67"/>
        <v>0.13434909656084759</v>
      </c>
      <c r="O139" s="76">
        <f t="shared" si="68"/>
        <v>-0.35583959595106451</v>
      </c>
      <c r="P139" s="77">
        <f t="shared" si="69"/>
        <v>9.242649979241227E-2</v>
      </c>
      <c r="Q139" s="76">
        <f t="shared" si="70"/>
        <v>-0.15590499578385006</v>
      </c>
      <c r="R139" s="75">
        <f t="shared" si="71"/>
        <v>-0.22727735089354112</v>
      </c>
    </row>
    <row r="140" spans="2:18">
      <c r="B140" s="81"/>
      <c r="C140">
        <v>9</v>
      </c>
      <c r="D140">
        <v>192</v>
      </c>
      <c r="E140">
        <v>0.82574999999999998</v>
      </c>
      <c r="F140" s="78"/>
      <c r="G140" s="75">
        <f t="shared" si="60"/>
        <v>0.29714879253805232</v>
      </c>
      <c r="H140" s="76">
        <f t="shared" si="61"/>
        <v>-0.33333333333333337</v>
      </c>
      <c r="I140" s="75">
        <f t="shared" si="62"/>
        <v>-0.26595744680851063</v>
      </c>
      <c r="J140" s="75">
        <f t="shared" si="63"/>
        <v>-0.15688212927756651</v>
      </c>
      <c r="K140" s="76">
        <f t="shared" si="64"/>
        <v>-0.13591153576712858</v>
      </c>
      <c r="L140" s="77">
        <f t="shared" si="65"/>
        <v>6.6232929481472136E-2</v>
      </c>
      <c r="M140" s="76">
        <f t="shared" si="66"/>
        <v>-7.8908178546183774E-2</v>
      </c>
      <c r="N140" s="77">
        <f t="shared" si="67"/>
        <v>0.1445406478802978</v>
      </c>
      <c r="O140" s="76">
        <f t="shared" si="68"/>
        <v>-0.35583959595106451</v>
      </c>
      <c r="P140" s="77">
        <f t="shared" si="69"/>
        <v>0.10625656327490149</v>
      </c>
      <c r="Q140" s="76">
        <f t="shared" si="70"/>
        <v>-0.13591153576712861</v>
      </c>
      <c r="R140" s="75">
        <f t="shared" si="71"/>
        <v>-0.23091586305658018</v>
      </c>
    </row>
    <row r="141" spans="2:18">
      <c r="B141" s="81"/>
      <c r="C141">
        <v>9</v>
      </c>
      <c r="D141">
        <v>208</v>
      </c>
      <c r="E141">
        <v>0.90949999999999998</v>
      </c>
      <c r="F141" s="78"/>
      <c r="G141" s="75">
        <f t="shared" si="60"/>
        <v>0.3412732807917081</v>
      </c>
      <c r="H141" s="76">
        <f t="shared" si="61"/>
        <v>-0.33333333333333337</v>
      </c>
      <c r="I141" s="75">
        <f t="shared" si="62"/>
        <v>-0.24468085106382981</v>
      </c>
      <c r="J141" s="75">
        <f t="shared" si="63"/>
        <v>-0.10593155893536121</v>
      </c>
      <c r="K141" s="76">
        <f t="shared" si="64"/>
        <v>-0.11591807575040712</v>
      </c>
      <c r="L141" s="77">
        <f t="shared" si="65"/>
        <v>0.10671890557208889</v>
      </c>
      <c r="M141" s="76">
        <f t="shared" si="66"/>
        <v>-5.8914718529462326E-2</v>
      </c>
      <c r="N141" s="77">
        <f t="shared" si="67"/>
        <v>0.18502662397091452</v>
      </c>
      <c r="O141" s="76">
        <f t="shared" si="68"/>
        <v>-0.35583959595106451</v>
      </c>
      <c r="P141" s="77">
        <f t="shared" si="69"/>
        <v>0.15038105152855724</v>
      </c>
      <c r="Q141" s="76">
        <f t="shared" si="70"/>
        <v>-0.11591807575040716</v>
      </c>
      <c r="R141" s="75">
        <f t="shared" si="71"/>
        <v>-0.23455437521961919</v>
      </c>
    </row>
    <row r="142" spans="2:18">
      <c r="B142" s="81"/>
      <c r="C142">
        <v>9</v>
      </c>
      <c r="D142">
        <v>224</v>
      </c>
      <c r="E142">
        <v>0.94550000000000001</v>
      </c>
      <c r="F142" s="78"/>
      <c r="G142" s="75">
        <f t="shared" si="60"/>
        <v>0.36024022499626462</v>
      </c>
      <c r="H142" s="76">
        <f t="shared" si="61"/>
        <v>-0.33333333333333337</v>
      </c>
      <c r="I142" s="75">
        <f t="shared" si="62"/>
        <v>-0.22340425531914893</v>
      </c>
      <c r="J142" s="75">
        <f t="shared" si="63"/>
        <v>-8.4030418250950534E-2</v>
      </c>
      <c r="K142" s="76">
        <f t="shared" si="64"/>
        <v>-9.5924615733685645E-2</v>
      </c>
      <c r="L142" s="77">
        <f t="shared" si="65"/>
        <v>0.12204733761360642</v>
      </c>
      <c r="M142" s="76">
        <f t="shared" si="66"/>
        <v>-3.8921258512740843E-2</v>
      </c>
      <c r="N142" s="77">
        <f t="shared" si="67"/>
        <v>0.20035505601243206</v>
      </c>
      <c r="O142" s="76">
        <f t="shared" si="68"/>
        <v>-0.35583959595106451</v>
      </c>
      <c r="P142" s="77">
        <f t="shared" si="69"/>
        <v>0.16934799573311382</v>
      </c>
      <c r="Q142" s="76">
        <f t="shared" si="70"/>
        <v>-9.5924615733685686E-2</v>
      </c>
      <c r="R142" s="75">
        <f t="shared" si="71"/>
        <v>-0.23819288738265823</v>
      </c>
    </row>
    <row r="143" spans="2:18">
      <c r="B143" s="81"/>
      <c r="C143">
        <v>9</v>
      </c>
      <c r="D143">
        <v>240</v>
      </c>
      <c r="E143">
        <v>1.06525</v>
      </c>
      <c r="F143" s="78"/>
      <c r="G143" s="75">
        <f t="shared" si="60"/>
        <v>0.42333165745447698</v>
      </c>
      <c r="H143" s="76">
        <f t="shared" si="61"/>
        <v>-0.33333333333333337</v>
      </c>
      <c r="I143" s="75">
        <f t="shared" si="62"/>
        <v>-0.2021276595744681</v>
      </c>
      <c r="J143" s="75">
        <f t="shared" si="63"/>
        <v>-1.1178707224334561E-2</v>
      </c>
      <c r="K143" s="76">
        <f t="shared" si="64"/>
        <v>-7.593115571696421E-2</v>
      </c>
      <c r="L143" s="77">
        <f t="shared" si="65"/>
        <v>0.18150025790877972</v>
      </c>
      <c r="M143" s="76">
        <f t="shared" si="66"/>
        <v>-1.8927798496019416E-2</v>
      </c>
      <c r="N143" s="77">
        <f t="shared" si="67"/>
        <v>0.25980797630760538</v>
      </c>
      <c r="O143" s="76">
        <f t="shared" si="68"/>
        <v>-0.35583959595106451</v>
      </c>
      <c r="P143" s="77">
        <f t="shared" si="69"/>
        <v>0.23243942819132615</v>
      </c>
      <c r="Q143" s="76">
        <f t="shared" si="70"/>
        <v>-7.5931155716964266E-2</v>
      </c>
      <c r="R143" s="75">
        <f t="shared" si="71"/>
        <v>-0.24183139954569727</v>
      </c>
    </row>
    <row r="144" spans="2:18">
      <c r="B144" s="81"/>
      <c r="C144">
        <v>9</v>
      </c>
      <c r="D144">
        <v>256</v>
      </c>
      <c r="E144">
        <v>1.1152500000000001</v>
      </c>
      <c r="F144" s="78"/>
      <c r="G144" s="75">
        <f t="shared" si="60"/>
        <v>0.44967463551636111</v>
      </c>
      <c r="H144" s="76">
        <f t="shared" si="61"/>
        <v>-0.33333333333333337</v>
      </c>
      <c r="I144" s="75">
        <f t="shared" si="62"/>
        <v>-0.18085106382978722</v>
      </c>
      <c r="J144" s="75">
        <f t="shared" si="63"/>
        <v>1.9239543726235819E-2</v>
      </c>
      <c r="K144" s="76">
        <f t="shared" si="64"/>
        <v>-5.5937695700242734E-2</v>
      </c>
      <c r="L144" s="77">
        <f t="shared" si="65"/>
        <v>0.20420472380762478</v>
      </c>
      <c r="M144" s="76">
        <f t="shared" si="66"/>
        <v>1.0656615207020627E-3</v>
      </c>
      <c r="N144" s="77">
        <f t="shared" si="67"/>
        <v>0.28251244220645044</v>
      </c>
      <c r="O144" s="76">
        <f t="shared" si="68"/>
        <v>-0.35583959595106451</v>
      </c>
      <c r="P144" s="77">
        <f t="shared" si="69"/>
        <v>0.25878240625321025</v>
      </c>
      <c r="Q144" s="76">
        <f t="shared" si="70"/>
        <v>-5.5937695700242797E-2</v>
      </c>
      <c r="R144" s="75">
        <f t="shared" si="71"/>
        <v>-0.2454699117087363</v>
      </c>
    </row>
    <row r="145" spans="2:18">
      <c r="B145" s="81"/>
      <c r="C145">
        <v>9</v>
      </c>
      <c r="D145">
        <v>272</v>
      </c>
      <c r="E145">
        <v>0.97575000000000001</v>
      </c>
      <c r="F145" s="78"/>
      <c r="G145" s="75">
        <f t="shared" si="60"/>
        <v>0.37617772672370442</v>
      </c>
      <c r="H145" s="76">
        <f t="shared" si="61"/>
        <v>-0.33333333333333337</v>
      </c>
      <c r="I145" s="75">
        <f t="shared" si="62"/>
        <v>-0.15957446808510639</v>
      </c>
      <c r="J145" s="75">
        <f t="shared" si="63"/>
        <v>-6.5627376425855533E-2</v>
      </c>
      <c r="K145" s="76">
        <f t="shared" si="64"/>
        <v>-3.5944235683521293E-2</v>
      </c>
      <c r="L145" s="77">
        <f t="shared" si="65"/>
        <v>0.12706930285192913</v>
      </c>
      <c r="M145" s="76">
        <f t="shared" si="66"/>
        <v>2.1059121537423502E-2</v>
      </c>
      <c r="N145" s="77">
        <f t="shared" si="67"/>
        <v>0.2053770212507548</v>
      </c>
      <c r="O145" s="76">
        <f t="shared" si="68"/>
        <v>-0.35583959595106451</v>
      </c>
      <c r="P145" s="77">
        <f t="shared" si="69"/>
        <v>0.18528549746055362</v>
      </c>
      <c r="Q145" s="76">
        <f t="shared" si="70"/>
        <v>-3.5944235683521349E-2</v>
      </c>
      <c r="R145" s="75">
        <f t="shared" si="71"/>
        <v>-0.24910842387177531</v>
      </c>
    </row>
    <row r="146" spans="2:18">
      <c r="B146" s="81"/>
      <c r="C146">
        <v>9</v>
      </c>
      <c r="D146">
        <v>288</v>
      </c>
      <c r="E146">
        <v>1.0095000000000001</v>
      </c>
      <c r="F146" s="78"/>
      <c r="G146" s="75">
        <f t="shared" si="60"/>
        <v>0.3939592369154763</v>
      </c>
      <c r="H146" s="76">
        <f t="shared" si="61"/>
        <v>-0.33333333333333337</v>
      </c>
      <c r="I146" s="75">
        <f t="shared" si="62"/>
        <v>-0.13829787234042551</v>
      </c>
      <c r="J146" s="75">
        <f t="shared" si="63"/>
        <v>-4.5095057034220454E-2</v>
      </c>
      <c r="K146" s="76">
        <f t="shared" si="64"/>
        <v>-1.5950775666799817E-2</v>
      </c>
      <c r="L146" s="77">
        <f t="shared" si="65"/>
        <v>0.14121230088066195</v>
      </c>
      <c r="M146" s="76">
        <f t="shared" si="66"/>
        <v>4.1052581554144978E-2</v>
      </c>
      <c r="N146" s="77">
        <f t="shared" si="67"/>
        <v>0.21952001927948755</v>
      </c>
      <c r="O146" s="76">
        <f t="shared" si="68"/>
        <v>-0.35583959595106451</v>
      </c>
      <c r="P146" s="77">
        <f t="shared" si="69"/>
        <v>0.20306700765232547</v>
      </c>
      <c r="Q146" s="76">
        <f t="shared" si="70"/>
        <v>-1.5950775666799873E-2</v>
      </c>
      <c r="R146" s="75">
        <f t="shared" si="71"/>
        <v>-0.25274693603481435</v>
      </c>
    </row>
    <row r="147" spans="2:18">
      <c r="B147" s="81"/>
      <c r="C147">
        <v>9</v>
      </c>
      <c r="D147">
        <v>304</v>
      </c>
      <c r="E147">
        <v>1.0482499999999999</v>
      </c>
      <c r="F147" s="78"/>
      <c r="G147" s="75">
        <f t="shared" si="60"/>
        <v>0.41437504491343635</v>
      </c>
      <c r="H147" s="76">
        <f t="shared" si="61"/>
        <v>-0.33333333333333337</v>
      </c>
      <c r="I147" s="75">
        <f t="shared" si="62"/>
        <v>-0.11702127659574468</v>
      </c>
      <c r="J147" s="75">
        <f t="shared" si="63"/>
        <v>-2.1520912547528526E-2</v>
      </c>
      <c r="K147" s="76">
        <f t="shared" si="64"/>
        <v>4.0426843499216216E-3</v>
      </c>
      <c r="L147" s="77">
        <f t="shared" si="65"/>
        <v>0.15798959671558299</v>
      </c>
      <c r="M147" s="76">
        <f t="shared" si="66"/>
        <v>6.1046041570866419E-2</v>
      </c>
      <c r="N147" s="77">
        <f t="shared" si="67"/>
        <v>0.23629731511440863</v>
      </c>
      <c r="O147" s="76">
        <f t="shared" si="68"/>
        <v>-0.35583959595106451</v>
      </c>
      <c r="P147" s="77">
        <f t="shared" si="69"/>
        <v>0.22348281565028555</v>
      </c>
      <c r="Q147" s="76">
        <f t="shared" si="70"/>
        <v>4.0426843499215626E-3</v>
      </c>
      <c r="R147" s="75">
        <f t="shared" si="71"/>
        <v>-0.25638544819785336</v>
      </c>
    </row>
    <row r="148" spans="2:18">
      <c r="B148" s="81"/>
      <c r="C148">
        <v>9</v>
      </c>
      <c r="D148">
        <v>320</v>
      </c>
      <c r="E148">
        <v>1.0894999999999999</v>
      </c>
      <c r="F148" s="78"/>
      <c r="G148" s="75">
        <f t="shared" si="60"/>
        <v>0.43610800181449072</v>
      </c>
      <c r="H148" s="76">
        <f t="shared" si="61"/>
        <v>-0.33333333333333337</v>
      </c>
      <c r="I148" s="75">
        <f t="shared" si="62"/>
        <v>-9.5744680851063857E-2</v>
      </c>
      <c r="J148" s="75">
        <f t="shared" si="63"/>
        <v>3.5741444866920213E-3</v>
      </c>
      <c r="K148" s="76">
        <f t="shared" si="64"/>
        <v>2.4036144366643045E-2</v>
      </c>
      <c r="L148" s="77">
        <f t="shared" si="65"/>
        <v>0.17608404145359835</v>
      </c>
      <c r="M148" s="76">
        <f t="shared" si="66"/>
        <v>8.1039501587587839E-2</v>
      </c>
      <c r="N148" s="77">
        <f t="shared" si="67"/>
        <v>0.25439175985242396</v>
      </c>
      <c r="O148" s="76">
        <f t="shared" si="68"/>
        <v>-0.35583959595106451</v>
      </c>
      <c r="P148" s="77">
        <f t="shared" si="69"/>
        <v>0.24521577255133992</v>
      </c>
      <c r="Q148" s="76">
        <f t="shared" si="70"/>
        <v>2.4036144366642982E-2</v>
      </c>
      <c r="R148" s="75">
        <f t="shared" si="71"/>
        <v>-0.26002396036089237</v>
      </c>
    </row>
    <row r="149" spans="2:18">
      <c r="B149" s="81"/>
      <c r="C149">
        <v>9</v>
      </c>
      <c r="D149">
        <v>336</v>
      </c>
      <c r="E149">
        <v>1.1172500000000001</v>
      </c>
      <c r="F149" s="78"/>
      <c r="G149" s="75">
        <f t="shared" si="60"/>
        <v>0.45072835463883643</v>
      </c>
      <c r="H149" s="76">
        <f t="shared" si="61"/>
        <v>-0.33333333333333337</v>
      </c>
      <c r="I149" s="75">
        <f t="shared" si="62"/>
        <v>-7.4468085106382975E-2</v>
      </c>
      <c r="J149" s="75">
        <f t="shared" si="63"/>
        <v>2.0456273764258626E-2</v>
      </c>
      <c r="K149" s="76">
        <f t="shared" si="64"/>
        <v>4.4029604383364535E-2</v>
      </c>
      <c r="L149" s="77">
        <f t="shared" si="65"/>
        <v>0.18706588211490502</v>
      </c>
      <c r="M149" s="76">
        <f t="shared" si="66"/>
        <v>0.10103296160430933</v>
      </c>
      <c r="N149" s="77">
        <f t="shared" si="67"/>
        <v>0.26537360051373066</v>
      </c>
      <c r="O149" s="76">
        <f t="shared" si="68"/>
        <v>-0.35583959595106451</v>
      </c>
      <c r="P149" s="77">
        <f t="shared" si="69"/>
        <v>0.25983612537568562</v>
      </c>
      <c r="Q149" s="76">
        <f t="shared" si="70"/>
        <v>4.4029604383364472E-2</v>
      </c>
      <c r="R149" s="75">
        <f t="shared" si="71"/>
        <v>-0.26366247252393143</v>
      </c>
    </row>
    <row r="150" spans="2:18">
      <c r="B150" s="81"/>
      <c r="C150">
        <v>9</v>
      </c>
      <c r="D150">
        <v>352</v>
      </c>
      <c r="E150">
        <v>1.1597500000000001</v>
      </c>
      <c r="F150" s="78"/>
      <c r="G150" s="75">
        <f t="shared" si="60"/>
        <v>0.47311988599143789</v>
      </c>
      <c r="H150" s="76">
        <f t="shared" si="61"/>
        <v>-0.33333333333333337</v>
      </c>
      <c r="I150" s="75">
        <f t="shared" si="62"/>
        <v>-5.3191489361702149E-2</v>
      </c>
      <c r="J150" s="75">
        <f t="shared" si="63"/>
        <v>4.6311787072243371E-2</v>
      </c>
      <c r="K150" s="76">
        <f t="shared" si="64"/>
        <v>6.4023064400085955E-2</v>
      </c>
      <c r="L150" s="77">
        <f t="shared" si="65"/>
        <v>0.20581890130446739</v>
      </c>
      <c r="M150" s="76">
        <f t="shared" si="66"/>
        <v>0.12102642162103075</v>
      </c>
      <c r="N150" s="77">
        <f t="shared" si="67"/>
        <v>0.284126619703293</v>
      </c>
      <c r="O150" s="76">
        <f t="shared" si="68"/>
        <v>-0.35583959595106451</v>
      </c>
      <c r="P150" s="77">
        <f t="shared" si="69"/>
        <v>0.28222765672828704</v>
      </c>
      <c r="Q150" s="76">
        <f t="shared" si="70"/>
        <v>6.4023064400085899E-2</v>
      </c>
      <c r="R150" s="75">
        <f t="shared" si="71"/>
        <v>-0.2673009846869705</v>
      </c>
    </row>
    <row r="151" spans="2:18">
      <c r="B151" s="81"/>
      <c r="C151">
        <v>9</v>
      </c>
      <c r="D151">
        <v>368</v>
      </c>
      <c r="E151">
        <v>1.2037500000000001</v>
      </c>
      <c r="F151" s="78"/>
      <c r="G151" s="75">
        <f t="shared" si="60"/>
        <v>0.4963017066858959</v>
      </c>
      <c r="H151" s="76">
        <f t="shared" si="61"/>
        <v>-0.33333333333333337</v>
      </c>
      <c r="I151" s="75">
        <f t="shared" si="62"/>
        <v>-3.1914893617021267E-2</v>
      </c>
      <c r="J151" s="75">
        <f t="shared" si="63"/>
        <v>7.3079847908745332E-2</v>
      </c>
      <c r="K151" s="76">
        <f t="shared" si="64"/>
        <v>8.4016524416807459E-2</v>
      </c>
      <c r="L151" s="77">
        <f t="shared" si="65"/>
        <v>0.2253622098358864</v>
      </c>
      <c r="M151" s="76">
        <f t="shared" si="66"/>
        <v>0.14101988163775225</v>
      </c>
      <c r="N151" s="77">
        <f t="shared" si="67"/>
        <v>0.30366992823471206</v>
      </c>
      <c r="O151" s="76">
        <f t="shared" si="68"/>
        <v>-0.35583959595106451</v>
      </c>
      <c r="P151" s="77">
        <f t="shared" si="69"/>
        <v>0.30540947742274505</v>
      </c>
      <c r="Q151" s="76">
        <f t="shared" si="70"/>
        <v>8.4016524416807389E-2</v>
      </c>
      <c r="R151" s="75">
        <f t="shared" si="71"/>
        <v>-0.27093949685000951</v>
      </c>
    </row>
    <row r="152" spans="2:18">
      <c r="B152" s="81"/>
      <c r="C152">
        <v>9</v>
      </c>
      <c r="D152">
        <v>384</v>
      </c>
      <c r="E152">
        <v>1.2470000000000001</v>
      </c>
      <c r="F152" s="78"/>
      <c r="G152" s="75">
        <f t="shared" si="60"/>
        <v>0.51908838270942559</v>
      </c>
      <c r="H152" s="76">
        <f t="shared" si="61"/>
        <v>-0.33333333333333337</v>
      </c>
      <c r="I152" s="75">
        <f t="shared" si="62"/>
        <v>-1.0638297872340441E-2</v>
      </c>
      <c r="J152" s="75">
        <f t="shared" si="63"/>
        <v>9.9391634980988686E-2</v>
      </c>
      <c r="K152" s="76">
        <f t="shared" si="64"/>
        <v>0.10400998443352889</v>
      </c>
      <c r="L152" s="77">
        <f t="shared" si="65"/>
        <v>0.24451037369637707</v>
      </c>
      <c r="M152" s="76">
        <f t="shared" si="66"/>
        <v>0.16101334165447367</v>
      </c>
      <c r="N152" s="77">
        <f t="shared" si="67"/>
        <v>0.32281809209520274</v>
      </c>
      <c r="O152" s="76">
        <f t="shared" si="68"/>
        <v>-0.35583959595106451</v>
      </c>
      <c r="P152" s="77">
        <f t="shared" si="69"/>
        <v>0.32819615344627479</v>
      </c>
      <c r="Q152" s="76">
        <f t="shared" si="70"/>
        <v>0.10400998443352882</v>
      </c>
      <c r="R152" s="75">
        <f t="shared" si="71"/>
        <v>-0.27457800901304852</v>
      </c>
    </row>
    <row r="153" spans="2:18">
      <c r="B153" s="81"/>
      <c r="C153">
        <v>9</v>
      </c>
      <c r="D153">
        <v>400</v>
      </c>
      <c r="E153">
        <v>1.23075</v>
      </c>
      <c r="F153" s="78"/>
      <c r="G153" s="75">
        <f t="shared" si="60"/>
        <v>0.51052691483931323</v>
      </c>
      <c r="H153" s="76">
        <f t="shared" si="61"/>
        <v>-0.33333333333333337</v>
      </c>
      <c r="I153" s="75">
        <f t="shared" si="62"/>
        <v>1.0638297872340385E-2</v>
      </c>
      <c r="J153" s="75">
        <f t="shared" si="63"/>
        <v>8.9505703422053218E-2</v>
      </c>
      <c r="K153" s="76">
        <f t="shared" si="64"/>
        <v>0.12400344445025031</v>
      </c>
      <c r="L153" s="77">
        <f t="shared" si="65"/>
        <v>0.23231039366322564</v>
      </c>
      <c r="M153" s="76">
        <f t="shared" si="66"/>
        <v>0.18100680167119509</v>
      </c>
      <c r="N153" s="77">
        <f t="shared" si="67"/>
        <v>0.31061811206205131</v>
      </c>
      <c r="O153" s="76">
        <f t="shared" si="68"/>
        <v>-0.35583959595106451</v>
      </c>
      <c r="P153" s="77">
        <f t="shared" si="69"/>
        <v>0.31963468557616237</v>
      </c>
      <c r="Q153" s="76">
        <f t="shared" si="70"/>
        <v>0.12400344445025024</v>
      </c>
      <c r="R153" s="75">
        <f t="shared" si="71"/>
        <v>-0.27821652117608753</v>
      </c>
    </row>
    <row r="154" spans="2:18">
      <c r="B154" s="81"/>
      <c r="C154">
        <v>9</v>
      </c>
      <c r="D154">
        <v>416</v>
      </c>
      <c r="E154">
        <v>1.2849999999999999</v>
      </c>
      <c r="F154" s="78"/>
      <c r="G154" s="75">
        <f t="shared" si="60"/>
        <v>0.53910904603645737</v>
      </c>
      <c r="H154" s="76">
        <f t="shared" si="61"/>
        <v>-0.33333333333333337</v>
      </c>
      <c r="I154" s="75">
        <f t="shared" si="62"/>
        <v>3.1914893617021267E-2</v>
      </c>
      <c r="J154" s="75">
        <f t="shared" si="63"/>
        <v>0.12250950570342201</v>
      </c>
      <c r="K154" s="76">
        <f t="shared" si="64"/>
        <v>0.1439969044669718</v>
      </c>
      <c r="L154" s="77">
        <f t="shared" si="65"/>
        <v>0.25725401269733078</v>
      </c>
      <c r="M154" s="76">
        <f t="shared" si="66"/>
        <v>0.2010002616879166</v>
      </c>
      <c r="N154" s="77">
        <f t="shared" si="67"/>
        <v>0.33556173109615645</v>
      </c>
      <c r="O154" s="76">
        <f t="shared" si="68"/>
        <v>-0.35583959595106451</v>
      </c>
      <c r="P154" s="77">
        <f t="shared" si="69"/>
        <v>0.34821681677330657</v>
      </c>
      <c r="Q154" s="76">
        <f t="shared" si="70"/>
        <v>0.14399690446697172</v>
      </c>
      <c r="R154" s="75">
        <f t="shared" si="71"/>
        <v>-0.28185503333912659</v>
      </c>
    </row>
    <row r="155" spans="2:18">
      <c r="B155" s="81"/>
      <c r="C155">
        <v>9</v>
      </c>
      <c r="D155">
        <v>432</v>
      </c>
      <c r="E155">
        <v>1.33575</v>
      </c>
      <c r="F155" s="78"/>
      <c r="G155" s="75">
        <f t="shared" si="60"/>
        <v>0.56584716876926988</v>
      </c>
      <c r="H155" s="76">
        <f t="shared" si="61"/>
        <v>-0.33333333333333337</v>
      </c>
      <c r="I155" s="75">
        <f t="shared" si="62"/>
        <v>5.3191489361702149E-2</v>
      </c>
      <c r="J155" s="75">
        <f t="shared" si="63"/>
        <v>0.15338403041825099</v>
      </c>
      <c r="K155" s="76">
        <f t="shared" si="64"/>
        <v>0.16399036448369331</v>
      </c>
      <c r="L155" s="77">
        <f t="shared" si="65"/>
        <v>0.28035362326710417</v>
      </c>
      <c r="M155" s="76">
        <f t="shared" si="66"/>
        <v>0.2209937217046381</v>
      </c>
      <c r="N155" s="77">
        <f t="shared" si="67"/>
        <v>0.35866134166592978</v>
      </c>
      <c r="O155" s="76">
        <f t="shared" si="68"/>
        <v>-0.35583959595106451</v>
      </c>
      <c r="P155" s="77">
        <f t="shared" si="69"/>
        <v>0.37495493950611897</v>
      </c>
      <c r="Q155" s="76">
        <f t="shared" si="70"/>
        <v>0.16399036448369322</v>
      </c>
      <c r="R155" s="75">
        <f t="shared" si="71"/>
        <v>-0.28549354550216566</v>
      </c>
    </row>
    <row r="156" spans="2:18">
      <c r="B156" s="81"/>
      <c r="C156">
        <v>9</v>
      </c>
      <c r="D156">
        <v>448</v>
      </c>
      <c r="E156">
        <v>1.3867499999999999</v>
      </c>
      <c r="F156" s="78"/>
      <c r="G156" s="75">
        <f t="shared" si="60"/>
        <v>0.59271700639239144</v>
      </c>
      <c r="H156" s="76">
        <f t="shared" si="61"/>
        <v>-0.33333333333333337</v>
      </c>
      <c r="I156" s="75">
        <f t="shared" si="62"/>
        <v>7.4468085106383031E-2</v>
      </c>
      <c r="J156" s="75">
        <f t="shared" si="63"/>
        <v>0.18441064638783267</v>
      </c>
      <c r="K156" s="76">
        <f t="shared" si="64"/>
        <v>0.18398382450041478</v>
      </c>
      <c r="L156" s="77">
        <f t="shared" si="65"/>
        <v>0.30358494872718678</v>
      </c>
      <c r="M156" s="76">
        <f t="shared" si="66"/>
        <v>0.24098718172135958</v>
      </c>
      <c r="N156" s="77">
        <f t="shared" si="67"/>
        <v>0.38189266712601244</v>
      </c>
      <c r="O156" s="76">
        <f t="shared" si="68"/>
        <v>-0.35583959595106451</v>
      </c>
      <c r="P156" s="77">
        <f t="shared" si="69"/>
        <v>0.40182477712924064</v>
      </c>
      <c r="Q156" s="76">
        <f t="shared" si="70"/>
        <v>0.1839838245004147</v>
      </c>
      <c r="R156" s="75">
        <f t="shared" si="71"/>
        <v>-0.28913205766520467</v>
      </c>
    </row>
    <row r="157" spans="2:18">
      <c r="B157" s="81"/>
      <c r="C157">
        <v>9</v>
      </c>
      <c r="D157">
        <v>464</v>
      </c>
      <c r="E157">
        <v>1.4922500000000001</v>
      </c>
      <c r="F157" s="78"/>
      <c r="G157" s="75">
        <f t="shared" si="60"/>
        <v>0.64830069010296687</v>
      </c>
      <c r="H157" s="76">
        <f t="shared" si="61"/>
        <v>-0.33333333333333337</v>
      </c>
      <c r="I157" s="75">
        <f t="shared" si="62"/>
        <v>9.5744680851063801E-2</v>
      </c>
      <c r="J157" s="75">
        <f t="shared" si="63"/>
        <v>0.24859315589353614</v>
      </c>
      <c r="K157" s="76">
        <f t="shared" si="64"/>
        <v>0.20397728451713618</v>
      </c>
      <c r="L157" s="77">
        <f t="shared" si="65"/>
        <v>0.35553012027472325</v>
      </c>
      <c r="M157" s="76">
        <f t="shared" si="66"/>
        <v>0.260980641738081</v>
      </c>
      <c r="N157" s="77">
        <f t="shared" si="67"/>
        <v>0.43383783867354886</v>
      </c>
      <c r="O157" s="76">
        <f t="shared" si="68"/>
        <v>-0.35583959595106446</v>
      </c>
      <c r="P157" s="77">
        <f t="shared" si="69"/>
        <v>0.45740846083981612</v>
      </c>
      <c r="Q157" s="76">
        <f t="shared" si="70"/>
        <v>0.20397728451713609</v>
      </c>
      <c r="R157" s="75">
        <f t="shared" si="71"/>
        <v>-0.29277056982824368</v>
      </c>
    </row>
    <row r="158" spans="2:18">
      <c r="B158" s="81"/>
      <c r="C158">
        <v>9</v>
      </c>
      <c r="D158">
        <v>480</v>
      </c>
      <c r="E158">
        <v>1.55525</v>
      </c>
      <c r="F158" s="78"/>
      <c r="G158" s="75">
        <f t="shared" si="60"/>
        <v>0.68149284246094077</v>
      </c>
      <c r="H158" s="76">
        <f t="shared" si="61"/>
        <v>-0.33333333333333337</v>
      </c>
      <c r="I158" s="75">
        <f t="shared" si="62"/>
        <v>0.11702127659574468</v>
      </c>
      <c r="J158" s="75">
        <f t="shared" si="63"/>
        <v>0.28692015209125477</v>
      </c>
      <c r="K158" s="76">
        <f t="shared" si="64"/>
        <v>0.22397074453385765</v>
      </c>
      <c r="L158" s="77">
        <f t="shared" si="65"/>
        <v>0.38508376046965809</v>
      </c>
      <c r="M158" s="76">
        <f t="shared" si="66"/>
        <v>0.28097410175480247</v>
      </c>
      <c r="N158" s="77">
        <f t="shared" si="67"/>
        <v>0.46339147886848375</v>
      </c>
      <c r="O158" s="76">
        <f t="shared" si="68"/>
        <v>-0.35583959595106446</v>
      </c>
      <c r="P158" s="77">
        <f t="shared" si="69"/>
        <v>0.49060061319779003</v>
      </c>
      <c r="Q158" s="76">
        <f t="shared" si="70"/>
        <v>0.22397074453385757</v>
      </c>
      <c r="R158" s="75">
        <f t="shared" si="71"/>
        <v>-0.29640908199128269</v>
      </c>
    </row>
    <row r="159" spans="2:18">
      <c r="B159" s="81"/>
      <c r="C159">
        <v>9</v>
      </c>
      <c r="D159">
        <v>496</v>
      </c>
      <c r="E159">
        <v>1.6085</v>
      </c>
      <c r="F159" s="78"/>
      <c r="G159" s="75">
        <f t="shared" si="60"/>
        <v>0.70954811409684737</v>
      </c>
      <c r="H159" s="76">
        <f t="shared" si="61"/>
        <v>-0.33333333333333337</v>
      </c>
      <c r="I159" s="75">
        <f t="shared" si="62"/>
        <v>0.13829787234042556</v>
      </c>
      <c r="J159" s="75">
        <f t="shared" si="63"/>
        <v>0.31931558935361226</v>
      </c>
      <c r="K159" s="76">
        <f t="shared" si="64"/>
        <v>0.24396420455057913</v>
      </c>
      <c r="L159" s="77">
        <f t="shared" si="65"/>
        <v>0.40950051994252568</v>
      </c>
      <c r="M159" s="76">
        <f t="shared" si="66"/>
        <v>0.30096756177152395</v>
      </c>
      <c r="N159" s="77">
        <f t="shared" si="67"/>
        <v>0.48780823834135134</v>
      </c>
      <c r="O159" s="76">
        <f t="shared" si="68"/>
        <v>-0.35583959595106446</v>
      </c>
      <c r="P159" s="77">
        <f t="shared" si="69"/>
        <v>0.51865588483369662</v>
      </c>
      <c r="Q159" s="76">
        <f t="shared" si="70"/>
        <v>0.24396420455057904</v>
      </c>
      <c r="R159" s="75">
        <f t="shared" si="71"/>
        <v>-0.30004759415432175</v>
      </c>
    </row>
    <row r="160" spans="2:18">
      <c r="B160" s="81"/>
      <c r="C160">
        <v>9</v>
      </c>
      <c r="D160">
        <v>512</v>
      </c>
      <c r="E160">
        <v>1.6792499999999999</v>
      </c>
      <c r="F160" s="78"/>
      <c r="G160" s="75">
        <f t="shared" si="60"/>
        <v>0.74682342805441326</v>
      </c>
      <c r="H160" s="76">
        <f t="shared" si="61"/>
        <v>-0.33333333333333337</v>
      </c>
      <c r="I160" s="75">
        <f t="shared" si="62"/>
        <v>0.15957446808510634</v>
      </c>
      <c r="J160" s="75">
        <f t="shared" si="63"/>
        <v>0.3623574144486692</v>
      </c>
      <c r="K160" s="76">
        <f t="shared" si="64"/>
        <v>0.26395766456730052</v>
      </c>
      <c r="L160" s="77">
        <f t="shared" si="65"/>
        <v>0.44313732173705256</v>
      </c>
      <c r="M160" s="76">
        <f t="shared" si="66"/>
        <v>0.32096102178824532</v>
      </c>
      <c r="N160" s="77">
        <f t="shared" si="67"/>
        <v>0.52144504013587811</v>
      </c>
      <c r="O160" s="76">
        <f t="shared" si="68"/>
        <v>-0.35583959595106446</v>
      </c>
      <c r="P160" s="77">
        <f t="shared" si="69"/>
        <v>0.55593119879126252</v>
      </c>
      <c r="Q160" s="76">
        <f t="shared" si="70"/>
        <v>0.26395766456730041</v>
      </c>
      <c r="R160" s="75">
        <f t="shared" si="71"/>
        <v>-0.30368610631736076</v>
      </c>
    </row>
    <row r="161" spans="2:18">
      <c r="B161" s="81"/>
      <c r="C161">
        <v>12</v>
      </c>
      <c r="D161">
        <v>16</v>
      </c>
      <c r="E161">
        <v>0.26174999999999998</v>
      </c>
      <c r="F161" s="78"/>
      <c r="G161" s="75">
        <f t="shared" si="60"/>
        <v>0</v>
      </c>
      <c r="H161" s="76">
        <f t="shared" si="61"/>
        <v>-0.25</v>
      </c>
      <c r="I161" s="75">
        <f t="shared" si="62"/>
        <v>-0.5</v>
      </c>
      <c r="J161" s="75">
        <f t="shared" si="63"/>
        <v>-0.5</v>
      </c>
      <c r="K161" s="76">
        <f t="shared" si="64"/>
        <v>-0.38434127456153699</v>
      </c>
      <c r="L161" s="77">
        <f t="shared" si="65"/>
        <v>-0.23004608846256366</v>
      </c>
      <c r="M161" s="76">
        <f t="shared" si="66"/>
        <v>-0.29883623873011983</v>
      </c>
      <c r="N161" s="77">
        <f t="shared" si="67"/>
        <v>-0.11258451086432519</v>
      </c>
      <c r="O161" s="76">
        <f t="shared" si="68"/>
        <v>-0.38434127456153699</v>
      </c>
      <c r="P161" s="77">
        <f t="shared" si="69"/>
        <v>-0.23004608846256366</v>
      </c>
      <c r="Q161" s="76">
        <f t="shared" si="70"/>
        <v>-0.38434127456153699</v>
      </c>
      <c r="R161" s="75">
        <f t="shared" si="71"/>
        <v>-0.23004608846256366</v>
      </c>
    </row>
    <row r="162" spans="2:18">
      <c r="B162" s="81"/>
      <c r="C162">
        <v>12</v>
      </c>
      <c r="D162">
        <v>32</v>
      </c>
      <c r="E162">
        <v>0.30375000000000002</v>
      </c>
      <c r="F162" s="78"/>
      <c r="G162" s="75">
        <f t="shared" si="60"/>
        <v>2.2128101571982639E-2</v>
      </c>
      <c r="H162" s="76">
        <f t="shared" si="61"/>
        <v>-0.25</v>
      </c>
      <c r="I162" s="75">
        <f t="shared" si="62"/>
        <v>-0.47872340425531917</v>
      </c>
      <c r="J162" s="75">
        <f t="shared" si="63"/>
        <v>-0.4744486692015209</v>
      </c>
      <c r="K162" s="76">
        <f t="shared" si="64"/>
        <v>-0.36434781454481557</v>
      </c>
      <c r="L162" s="77">
        <f t="shared" si="65"/>
        <v>-0.21155649905362006</v>
      </c>
      <c r="M162" s="76">
        <f t="shared" si="66"/>
        <v>-0.27884277871339841</v>
      </c>
      <c r="N162" s="77">
        <f t="shared" si="67"/>
        <v>-9.4094921455381564E-2</v>
      </c>
      <c r="O162" s="76">
        <f t="shared" si="68"/>
        <v>-0.38434127456153699</v>
      </c>
      <c r="P162" s="77">
        <f t="shared" si="69"/>
        <v>-0.20791798689058102</v>
      </c>
      <c r="Q162" s="76">
        <f t="shared" si="70"/>
        <v>-0.36434781454481557</v>
      </c>
      <c r="R162" s="75">
        <f t="shared" si="71"/>
        <v>-0.2336846006256027</v>
      </c>
    </row>
    <row r="163" spans="2:18">
      <c r="B163" s="81"/>
      <c r="C163">
        <v>12</v>
      </c>
      <c r="D163">
        <v>48</v>
      </c>
      <c r="E163">
        <v>0.40775</v>
      </c>
      <c r="F163" s="78"/>
      <c r="G163" s="75">
        <f t="shared" si="60"/>
        <v>7.6921495940701468E-2</v>
      </c>
      <c r="H163" s="76">
        <f t="shared" si="61"/>
        <v>-0.25</v>
      </c>
      <c r="I163" s="75">
        <f t="shared" si="62"/>
        <v>-0.45744680851063829</v>
      </c>
      <c r="J163" s="75">
        <f t="shared" si="63"/>
        <v>-0.41117870722433458</v>
      </c>
      <c r="K163" s="76">
        <f t="shared" si="64"/>
        <v>-0.3443543545280941</v>
      </c>
      <c r="L163" s="77">
        <f t="shared" si="65"/>
        <v>-0.16040161684794024</v>
      </c>
      <c r="M163" s="76">
        <f t="shared" si="66"/>
        <v>-0.25884931869667688</v>
      </c>
      <c r="N163" s="77">
        <f t="shared" si="67"/>
        <v>-4.29400392497018E-2</v>
      </c>
      <c r="O163" s="76">
        <f t="shared" si="68"/>
        <v>-0.38434127456153699</v>
      </c>
      <c r="P163" s="77">
        <f t="shared" si="69"/>
        <v>-0.1531245925218622</v>
      </c>
      <c r="Q163" s="76">
        <f t="shared" si="70"/>
        <v>-0.3443543545280941</v>
      </c>
      <c r="R163" s="75">
        <f t="shared" si="71"/>
        <v>-0.23732311278864171</v>
      </c>
    </row>
    <row r="164" spans="2:18">
      <c r="B164" s="81"/>
      <c r="C164">
        <v>12</v>
      </c>
      <c r="D164">
        <v>64</v>
      </c>
      <c r="E164">
        <v>0.51100000000000001</v>
      </c>
      <c r="F164" s="78"/>
      <c r="G164" s="75">
        <f t="shared" si="60"/>
        <v>0.13131974563849208</v>
      </c>
      <c r="H164" s="76">
        <f t="shared" si="61"/>
        <v>-0.25</v>
      </c>
      <c r="I164" s="75">
        <f t="shared" si="62"/>
        <v>-0.43617021276595747</v>
      </c>
      <c r="J164" s="75">
        <f t="shared" si="63"/>
        <v>-0.34836501901140682</v>
      </c>
      <c r="K164" s="76">
        <f t="shared" si="64"/>
        <v>-0.32436089451137268</v>
      </c>
      <c r="L164" s="77">
        <f t="shared" si="65"/>
        <v>-0.10964187931318867</v>
      </c>
      <c r="M164" s="76">
        <f t="shared" si="66"/>
        <v>-0.23885585867995549</v>
      </c>
      <c r="N164" s="77">
        <f t="shared" si="67"/>
        <v>7.8196982850498031E-3</v>
      </c>
      <c r="O164" s="76">
        <f t="shared" si="68"/>
        <v>-0.38434127456153699</v>
      </c>
      <c r="P164" s="77">
        <f t="shared" si="69"/>
        <v>-9.8726342824071583E-2</v>
      </c>
      <c r="Q164" s="76">
        <f t="shared" si="70"/>
        <v>-0.32436089451137268</v>
      </c>
      <c r="R164" s="75">
        <f t="shared" si="71"/>
        <v>-0.24096162495168075</v>
      </c>
    </row>
    <row r="165" spans="2:18">
      <c r="B165" s="81"/>
      <c r="C165">
        <v>12</v>
      </c>
      <c r="D165">
        <v>80</v>
      </c>
      <c r="E165">
        <v>0.65175000000000005</v>
      </c>
      <c r="F165" s="78"/>
      <c r="G165" s="75">
        <f t="shared" si="60"/>
        <v>0.20547522888269573</v>
      </c>
      <c r="H165" s="76">
        <f t="shared" si="61"/>
        <v>-0.25</v>
      </c>
      <c r="I165" s="75">
        <f t="shared" si="62"/>
        <v>-0.41489361702127658</v>
      </c>
      <c r="J165" s="75">
        <f t="shared" si="63"/>
        <v>-0.26273764258555132</v>
      </c>
      <c r="K165" s="76">
        <f t="shared" si="64"/>
        <v>-0.30436743449465115</v>
      </c>
      <c r="L165" s="77">
        <f t="shared" si="65"/>
        <v>-3.9124908232024053E-2</v>
      </c>
      <c r="M165" s="76">
        <f t="shared" si="66"/>
        <v>-0.21886239866323393</v>
      </c>
      <c r="N165" s="77">
        <f t="shared" si="67"/>
        <v>7.8336669366214445E-2</v>
      </c>
      <c r="O165" s="76">
        <f t="shared" si="68"/>
        <v>-0.38434127456153699</v>
      </c>
      <c r="P165" s="77">
        <f t="shared" si="69"/>
        <v>-2.4570859579867932E-2</v>
      </c>
      <c r="Q165" s="76">
        <f t="shared" si="70"/>
        <v>-0.30436743449465115</v>
      </c>
      <c r="R165" s="75">
        <f t="shared" si="71"/>
        <v>-0.24460013711471978</v>
      </c>
    </row>
    <row r="166" spans="2:18">
      <c r="B166" s="81"/>
      <c r="C166">
        <v>12</v>
      </c>
      <c r="D166">
        <v>96</v>
      </c>
      <c r="E166">
        <v>0.69499999999999995</v>
      </c>
      <c r="F166" s="78"/>
      <c r="G166" s="75">
        <f t="shared" si="60"/>
        <v>0.22826190490622542</v>
      </c>
      <c r="H166" s="76">
        <f t="shared" si="61"/>
        <v>-0.25</v>
      </c>
      <c r="I166" s="75">
        <f t="shared" si="62"/>
        <v>-0.39361702127659576</v>
      </c>
      <c r="J166" s="75">
        <f t="shared" si="63"/>
        <v>-0.23642585551330803</v>
      </c>
      <c r="K166" s="76">
        <f t="shared" si="64"/>
        <v>-0.28437397447792973</v>
      </c>
      <c r="L166" s="77">
        <f t="shared" si="65"/>
        <v>-1.9976744371533378E-2</v>
      </c>
      <c r="M166" s="76">
        <f t="shared" si="66"/>
        <v>-0.19886893864651251</v>
      </c>
      <c r="N166" s="77">
        <f t="shared" si="67"/>
        <v>9.7484833226705064E-2</v>
      </c>
      <c r="O166" s="76">
        <f t="shared" si="68"/>
        <v>-0.38434127456153699</v>
      </c>
      <c r="P166" s="77">
        <f t="shared" si="69"/>
        <v>-1.784183556338248E-3</v>
      </c>
      <c r="Q166" s="76">
        <f t="shared" si="70"/>
        <v>-0.28437397447792973</v>
      </c>
      <c r="R166" s="75">
        <f t="shared" si="71"/>
        <v>-0.24823864927775879</v>
      </c>
    </row>
    <row r="167" spans="2:18">
      <c r="B167" s="81"/>
      <c r="C167">
        <v>12</v>
      </c>
      <c r="D167">
        <v>112</v>
      </c>
      <c r="E167">
        <v>0.75749999999999995</v>
      </c>
      <c r="F167" s="78"/>
      <c r="G167" s="75">
        <f t="shared" si="60"/>
        <v>0.26119062748358046</v>
      </c>
      <c r="H167" s="76">
        <f t="shared" si="61"/>
        <v>-0.25</v>
      </c>
      <c r="I167" s="75">
        <f t="shared" si="62"/>
        <v>-0.37234042553191493</v>
      </c>
      <c r="J167" s="75">
        <f t="shared" si="63"/>
        <v>-0.19840304182509511</v>
      </c>
      <c r="K167" s="76">
        <f t="shared" si="64"/>
        <v>-0.26438051446120825</v>
      </c>
      <c r="L167" s="77">
        <f t="shared" si="65"/>
        <v>9.313466042782631E-3</v>
      </c>
      <c r="M167" s="76">
        <f t="shared" si="66"/>
        <v>-0.17887547862979108</v>
      </c>
      <c r="N167" s="77">
        <f t="shared" si="67"/>
        <v>0.12677504364102113</v>
      </c>
      <c r="O167" s="76">
        <f t="shared" si="68"/>
        <v>-0.38434127456153694</v>
      </c>
      <c r="P167" s="77">
        <f t="shared" si="69"/>
        <v>3.1144539021016826E-2</v>
      </c>
      <c r="Q167" s="76">
        <f t="shared" si="70"/>
        <v>-0.2643805144612083</v>
      </c>
      <c r="R167" s="75">
        <f t="shared" si="71"/>
        <v>-0.25187716144079786</v>
      </c>
    </row>
    <row r="168" spans="2:18">
      <c r="B168" s="81"/>
      <c r="C168">
        <v>12</v>
      </c>
      <c r="D168">
        <v>128</v>
      </c>
      <c r="E168">
        <v>0.78200000000000003</v>
      </c>
      <c r="F168" s="78"/>
      <c r="G168" s="75">
        <f t="shared" ref="G168:G189" si="72">D$19*(L168-R168)</f>
        <v>0.27409868673390375</v>
      </c>
      <c r="H168" s="76">
        <f t="shared" ref="H168:H189" si="73">(C168-H$16)/H$17-0.5</f>
        <v>-0.25</v>
      </c>
      <c r="I168" s="75">
        <f t="shared" ref="I168:I189" si="74">(D168-I$16)/I$17-0.5</f>
        <v>-0.35106382978723405</v>
      </c>
      <c r="J168" s="75">
        <f t="shared" ref="J168:J189" si="75">(E168-J$16)/J$17-0.5</f>
        <v>-0.18349809885931556</v>
      </c>
      <c r="K168" s="76">
        <f t="shared" ref="K168:K189" si="76">(H168*$H$13+I168*$I$13+J168*$J$13+$D$27)*$C$27</f>
        <v>-0.2443870544444868</v>
      </c>
      <c r="L168" s="77">
        <f t="shared" ref="L168:L189" si="77">(H168*$H$14+I168*$I$14+J168*$J$14+$E$27)*$C$27</f>
        <v>1.8583013130066883E-2</v>
      </c>
      <c r="M168" s="76">
        <f t="shared" ref="M168:M189" si="78">(H$27*$H$13+I168*$I$13+J168*$J$13+$D$27)*$C$27</f>
        <v>-0.15888201861306961</v>
      </c>
      <c r="N168" s="77">
        <f t="shared" ref="N168:N189" si="79">(H$27*$H$14+I168*$I$14+J168*$J$14+$E$27)*$C$27</f>
        <v>0.13604459072830533</v>
      </c>
      <c r="O168" s="76">
        <f t="shared" ref="O168:O189" si="80">(H168*$H$13+I$27*$I$13+J168*$J$13+$D$27)*$C$27</f>
        <v>-0.38434127456153694</v>
      </c>
      <c r="P168" s="77">
        <f t="shared" ref="P168:P189" si="81">(H168*$H$14+I$27*$I$14+J168*$J$14+$E$27)*$C$27</f>
        <v>4.4052598271340088E-2</v>
      </c>
      <c r="Q168" s="76">
        <f t="shared" ref="Q168:Q189" si="82">(H168*$H$13+I168*$I$13+J$27*$J$13+$D$27)*$C$27</f>
        <v>-0.24438705444448683</v>
      </c>
      <c r="R168" s="75">
        <f t="shared" ref="R168:R189" si="83">(H168*$H$14+I168*$I$14+J$27*$J$14+$E$27)*$C$27</f>
        <v>-0.25551567360383687</v>
      </c>
    </row>
    <row r="169" spans="2:18">
      <c r="B169" s="81"/>
      <c r="C169">
        <v>12</v>
      </c>
      <c r="D169">
        <v>144</v>
      </c>
      <c r="E169">
        <v>0.84450000000000003</v>
      </c>
      <c r="F169" s="78"/>
      <c r="G169" s="75">
        <f t="shared" si="72"/>
        <v>0.30702740931125883</v>
      </c>
      <c r="H169" s="76">
        <f t="shared" si="73"/>
        <v>-0.25</v>
      </c>
      <c r="I169" s="75">
        <f t="shared" si="74"/>
        <v>-0.32978723404255317</v>
      </c>
      <c r="J169" s="75">
        <f t="shared" si="75"/>
        <v>-0.14547528517110259</v>
      </c>
      <c r="K169" s="76">
        <f t="shared" si="76"/>
        <v>-0.22439359442776532</v>
      </c>
      <c r="L169" s="77">
        <f t="shared" si="77"/>
        <v>4.7873223544382976E-2</v>
      </c>
      <c r="M169" s="76">
        <f t="shared" si="78"/>
        <v>-0.13888855859634813</v>
      </c>
      <c r="N169" s="77">
        <f t="shared" si="79"/>
        <v>0.16533480114262145</v>
      </c>
      <c r="O169" s="76">
        <f t="shared" si="80"/>
        <v>-0.38434127456153694</v>
      </c>
      <c r="P169" s="77">
        <f t="shared" si="81"/>
        <v>7.6981320848695217E-2</v>
      </c>
      <c r="Q169" s="76">
        <f t="shared" si="82"/>
        <v>-0.22439359442776535</v>
      </c>
      <c r="R169" s="75">
        <f t="shared" si="83"/>
        <v>-0.25915418576687588</v>
      </c>
    </row>
    <row r="170" spans="2:18">
      <c r="B170" s="81"/>
      <c r="C170">
        <v>12</v>
      </c>
      <c r="D170">
        <v>160</v>
      </c>
      <c r="E170">
        <v>0.90800000000000003</v>
      </c>
      <c r="F170" s="78"/>
      <c r="G170" s="75">
        <f t="shared" si="72"/>
        <v>0.34048299144985156</v>
      </c>
      <c r="H170" s="76">
        <f t="shared" si="73"/>
        <v>-0.25</v>
      </c>
      <c r="I170" s="75">
        <f t="shared" si="74"/>
        <v>-0.30851063829787234</v>
      </c>
      <c r="J170" s="75">
        <f t="shared" si="75"/>
        <v>-0.10684410646387832</v>
      </c>
      <c r="K170" s="76">
        <f t="shared" si="76"/>
        <v>-0.20440013441104388</v>
      </c>
      <c r="L170" s="77">
        <f t="shared" si="77"/>
        <v>7.7690293519936629E-2</v>
      </c>
      <c r="M170" s="76">
        <f t="shared" si="78"/>
        <v>-0.1188950985796267</v>
      </c>
      <c r="N170" s="77">
        <f t="shared" si="79"/>
        <v>0.19515187111817511</v>
      </c>
      <c r="O170" s="76">
        <f t="shared" si="80"/>
        <v>-0.38434127456153694</v>
      </c>
      <c r="P170" s="77">
        <f t="shared" si="81"/>
        <v>0.11043690298728791</v>
      </c>
      <c r="Q170" s="76">
        <f t="shared" si="82"/>
        <v>-0.20440013441104393</v>
      </c>
      <c r="R170" s="75">
        <f t="shared" si="83"/>
        <v>-0.26279269792991494</v>
      </c>
    </row>
    <row r="171" spans="2:18">
      <c r="B171" s="81"/>
      <c r="C171">
        <v>12</v>
      </c>
      <c r="D171">
        <v>176</v>
      </c>
      <c r="E171">
        <v>1.11025</v>
      </c>
      <c r="F171" s="78"/>
      <c r="G171" s="75">
        <f t="shared" si="72"/>
        <v>0.4470403377101726</v>
      </c>
      <c r="H171" s="76">
        <f t="shared" si="73"/>
        <v>-0.25</v>
      </c>
      <c r="I171" s="75">
        <f t="shared" si="74"/>
        <v>-0.28723404255319152</v>
      </c>
      <c r="J171" s="75">
        <f t="shared" si="75"/>
        <v>1.6197718631178692E-2</v>
      </c>
      <c r="K171" s="76">
        <f t="shared" si="76"/>
        <v>-0.1844066743943224</v>
      </c>
      <c r="L171" s="77">
        <f t="shared" si="77"/>
        <v>0.18060912761721865</v>
      </c>
      <c r="M171" s="76">
        <f t="shared" si="78"/>
        <v>-9.8901638562905209E-2</v>
      </c>
      <c r="N171" s="77">
        <f t="shared" si="79"/>
        <v>0.29807070521545709</v>
      </c>
      <c r="O171" s="76">
        <f t="shared" si="80"/>
        <v>-0.38434127456153694</v>
      </c>
      <c r="P171" s="77">
        <f t="shared" si="81"/>
        <v>0.21699424924760893</v>
      </c>
      <c r="Q171" s="76">
        <f t="shared" si="82"/>
        <v>-0.18440667439432246</v>
      </c>
      <c r="R171" s="75">
        <f t="shared" si="83"/>
        <v>-0.26643121009295395</v>
      </c>
    </row>
    <row r="172" spans="2:18">
      <c r="B172" s="81"/>
      <c r="C172">
        <v>12</v>
      </c>
      <c r="D172">
        <v>192</v>
      </c>
      <c r="E172">
        <v>1.1575</v>
      </c>
      <c r="F172" s="78"/>
      <c r="G172" s="75">
        <f t="shared" si="72"/>
        <v>0.47193445197865302</v>
      </c>
      <c r="H172" s="76">
        <f t="shared" si="73"/>
        <v>-0.25</v>
      </c>
      <c r="I172" s="75">
        <f t="shared" si="74"/>
        <v>-0.26595744680851063</v>
      </c>
      <c r="J172" s="75">
        <f t="shared" si="75"/>
        <v>4.4942965779467658E-2</v>
      </c>
      <c r="K172" s="76">
        <f t="shared" si="76"/>
        <v>-0.16441321437760098</v>
      </c>
      <c r="L172" s="77">
        <f t="shared" si="77"/>
        <v>0.20186472972266004</v>
      </c>
      <c r="M172" s="76">
        <f t="shared" si="78"/>
        <v>-7.890817854618376E-2</v>
      </c>
      <c r="N172" s="77">
        <f t="shared" si="79"/>
        <v>0.31932630732089851</v>
      </c>
      <c r="O172" s="76">
        <f t="shared" si="80"/>
        <v>-0.38434127456153694</v>
      </c>
      <c r="P172" s="77">
        <f t="shared" si="81"/>
        <v>0.24188836351608939</v>
      </c>
      <c r="Q172" s="76">
        <f t="shared" si="82"/>
        <v>-0.16441321437760104</v>
      </c>
      <c r="R172" s="75">
        <f t="shared" si="83"/>
        <v>-0.27006972225599302</v>
      </c>
    </row>
    <row r="173" spans="2:18">
      <c r="B173" s="81"/>
      <c r="C173">
        <v>12</v>
      </c>
      <c r="D173">
        <v>208</v>
      </c>
      <c r="E173">
        <v>0.96775</v>
      </c>
      <c r="F173" s="78"/>
      <c r="G173" s="75">
        <f t="shared" si="72"/>
        <v>0.37196285023380299</v>
      </c>
      <c r="H173" s="76">
        <f t="shared" si="73"/>
        <v>-0.25</v>
      </c>
      <c r="I173" s="75">
        <f t="shared" si="74"/>
        <v>-0.24468085106382981</v>
      </c>
      <c r="J173" s="75">
        <f t="shared" si="75"/>
        <v>-7.0494296577946813E-2</v>
      </c>
      <c r="K173" s="76">
        <f t="shared" si="76"/>
        <v>-0.1444197543608795</v>
      </c>
      <c r="L173" s="77">
        <f t="shared" si="77"/>
        <v>9.8254615814770963E-2</v>
      </c>
      <c r="M173" s="76">
        <f t="shared" si="78"/>
        <v>-5.8914718529462319E-2</v>
      </c>
      <c r="N173" s="77">
        <f t="shared" si="79"/>
        <v>0.2157161934130094</v>
      </c>
      <c r="O173" s="76">
        <f t="shared" si="80"/>
        <v>-0.38434127456153694</v>
      </c>
      <c r="P173" s="77">
        <f t="shared" si="81"/>
        <v>0.14191676177123932</v>
      </c>
      <c r="Q173" s="76">
        <f t="shared" si="82"/>
        <v>-0.14441975436087956</v>
      </c>
      <c r="R173" s="75">
        <f t="shared" si="83"/>
        <v>-0.27370823441903203</v>
      </c>
    </row>
    <row r="174" spans="2:18">
      <c r="B174" s="81"/>
      <c r="C174">
        <v>12</v>
      </c>
      <c r="D174">
        <v>224</v>
      </c>
      <c r="E174">
        <v>1.01875</v>
      </c>
      <c r="F174" s="78"/>
      <c r="G174" s="75">
        <f t="shared" si="72"/>
        <v>0.39883268785692477</v>
      </c>
      <c r="H174" s="76">
        <f t="shared" si="73"/>
        <v>-0.25</v>
      </c>
      <c r="I174" s="75">
        <f t="shared" si="74"/>
        <v>-0.22340425531914893</v>
      </c>
      <c r="J174" s="75">
        <f t="shared" si="75"/>
        <v>-3.9467680608364974E-2</v>
      </c>
      <c r="K174" s="76">
        <f t="shared" si="76"/>
        <v>-0.12442629434415804</v>
      </c>
      <c r="L174" s="77">
        <f t="shared" si="77"/>
        <v>0.12148594127485375</v>
      </c>
      <c r="M174" s="76">
        <f t="shared" si="78"/>
        <v>-3.8921258512740843E-2</v>
      </c>
      <c r="N174" s="77">
        <f t="shared" si="79"/>
        <v>0.23894751887309224</v>
      </c>
      <c r="O174" s="76">
        <f t="shared" si="80"/>
        <v>-0.38434127456153694</v>
      </c>
      <c r="P174" s="77">
        <f t="shared" si="81"/>
        <v>0.16878659939436114</v>
      </c>
      <c r="Q174" s="76">
        <f t="shared" si="82"/>
        <v>-0.1244262943441581</v>
      </c>
      <c r="R174" s="75">
        <f t="shared" si="83"/>
        <v>-0.27734674658207104</v>
      </c>
    </row>
    <row r="175" spans="2:18">
      <c r="B175" s="81"/>
      <c r="C175">
        <v>12</v>
      </c>
      <c r="D175">
        <v>240</v>
      </c>
      <c r="E175">
        <v>1.0922499999999999</v>
      </c>
      <c r="F175" s="78"/>
      <c r="G175" s="75">
        <f t="shared" si="72"/>
        <v>0.43755686560789442</v>
      </c>
      <c r="H175" s="76">
        <f t="shared" si="73"/>
        <v>-0.25</v>
      </c>
      <c r="I175" s="75">
        <f t="shared" si="74"/>
        <v>-0.2021276595744681</v>
      </c>
      <c r="J175" s="75">
        <f t="shared" si="75"/>
        <v>5.2471482889734355E-3</v>
      </c>
      <c r="K175" s="76">
        <f t="shared" si="76"/>
        <v>-0.10443283432743662</v>
      </c>
      <c r="L175" s="77">
        <f t="shared" si="77"/>
        <v>0.15657160686278429</v>
      </c>
      <c r="M175" s="76">
        <f t="shared" si="78"/>
        <v>-1.8927798496019416E-2</v>
      </c>
      <c r="N175" s="77">
        <f t="shared" si="79"/>
        <v>0.27403318446102282</v>
      </c>
      <c r="O175" s="76">
        <f t="shared" si="80"/>
        <v>-0.38434127456153694</v>
      </c>
      <c r="P175" s="77">
        <f t="shared" si="81"/>
        <v>0.20751077714533073</v>
      </c>
      <c r="Q175" s="76">
        <f t="shared" si="82"/>
        <v>-0.10443283432743668</v>
      </c>
      <c r="R175" s="75">
        <f t="shared" si="83"/>
        <v>-0.2809852587451101</v>
      </c>
    </row>
    <row r="176" spans="2:18">
      <c r="B176" s="81"/>
      <c r="C176">
        <v>12</v>
      </c>
      <c r="D176">
        <v>256</v>
      </c>
      <c r="E176">
        <v>1.1619999999999999</v>
      </c>
      <c r="F176" s="78"/>
      <c r="G176" s="75">
        <f t="shared" si="72"/>
        <v>0.47430532000422265</v>
      </c>
      <c r="H176" s="76">
        <f t="shared" si="73"/>
        <v>-0.25</v>
      </c>
      <c r="I176" s="75">
        <f t="shared" si="74"/>
        <v>-0.18085106382978722</v>
      </c>
      <c r="J176" s="75">
        <f t="shared" si="75"/>
        <v>4.7680608365018973E-2</v>
      </c>
      <c r="K176" s="76">
        <f t="shared" si="76"/>
        <v>-8.4439374310715146E-2</v>
      </c>
      <c r="L176" s="77">
        <f t="shared" si="77"/>
        <v>0.18968154909607346</v>
      </c>
      <c r="M176" s="76">
        <f t="shared" si="78"/>
        <v>1.0656615207020662E-3</v>
      </c>
      <c r="N176" s="77">
        <f t="shared" si="79"/>
        <v>0.30714312669431193</v>
      </c>
      <c r="O176" s="76">
        <f t="shared" si="80"/>
        <v>-0.38434127456153694</v>
      </c>
      <c r="P176" s="77">
        <f t="shared" si="81"/>
        <v>0.24425923154165893</v>
      </c>
      <c r="Q176" s="76">
        <f t="shared" si="82"/>
        <v>-8.4439374310715201E-2</v>
      </c>
      <c r="R176" s="75">
        <f t="shared" si="83"/>
        <v>-0.28462377090814917</v>
      </c>
    </row>
    <row r="177" spans="2:18">
      <c r="B177" s="81"/>
      <c r="C177">
        <v>12</v>
      </c>
      <c r="D177">
        <v>272</v>
      </c>
      <c r="E177">
        <v>1.16675</v>
      </c>
      <c r="F177" s="78"/>
      <c r="G177" s="75">
        <f t="shared" si="72"/>
        <v>0.47680790292010167</v>
      </c>
      <c r="H177" s="76">
        <f t="shared" si="73"/>
        <v>-0.25</v>
      </c>
      <c r="I177" s="75">
        <f t="shared" si="74"/>
        <v>-0.15957446808510639</v>
      </c>
      <c r="J177" s="75">
        <f t="shared" si="75"/>
        <v>5.0570342205323193E-2</v>
      </c>
      <c r="K177" s="76">
        <f t="shared" si="76"/>
        <v>-6.4445914293993697E-2</v>
      </c>
      <c r="L177" s="77">
        <f t="shared" si="77"/>
        <v>0.18854561984891346</v>
      </c>
      <c r="M177" s="76">
        <f t="shared" si="78"/>
        <v>2.1059121537423516E-2</v>
      </c>
      <c r="N177" s="77">
        <f t="shared" si="79"/>
        <v>0.30600719744715194</v>
      </c>
      <c r="O177" s="76">
        <f t="shared" si="80"/>
        <v>-0.38434127456153694</v>
      </c>
      <c r="P177" s="77">
        <f t="shared" si="81"/>
        <v>0.24676181445753795</v>
      </c>
      <c r="Q177" s="76">
        <f t="shared" si="82"/>
        <v>-6.4445914293993753E-2</v>
      </c>
      <c r="R177" s="75">
        <f t="shared" si="83"/>
        <v>-0.28826228307118817</v>
      </c>
    </row>
    <row r="178" spans="2:18">
      <c r="B178" s="81"/>
      <c r="C178">
        <v>12</v>
      </c>
      <c r="D178">
        <v>288</v>
      </c>
      <c r="E178">
        <v>1.2244999999999999</v>
      </c>
      <c r="F178" s="78"/>
      <c r="G178" s="75">
        <f t="shared" si="72"/>
        <v>0.50723404258157767</v>
      </c>
      <c r="H178" s="76">
        <f t="shared" si="73"/>
        <v>-0.25</v>
      </c>
      <c r="I178" s="75">
        <f t="shared" si="74"/>
        <v>-0.13829787234042551</v>
      </c>
      <c r="J178" s="75">
        <f t="shared" si="75"/>
        <v>8.5703422053231892E-2</v>
      </c>
      <c r="K178" s="76">
        <f t="shared" si="76"/>
        <v>-4.4452454277272208E-2</v>
      </c>
      <c r="L178" s="77">
        <f t="shared" si="77"/>
        <v>0.21533324734735049</v>
      </c>
      <c r="M178" s="76">
        <f t="shared" si="78"/>
        <v>4.1052581554144998E-2</v>
      </c>
      <c r="N178" s="77">
        <f t="shared" si="79"/>
        <v>0.33279482494558893</v>
      </c>
      <c r="O178" s="76">
        <f t="shared" si="80"/>
        <v>-0.38434127456153694</v>
      </c>
      <c r="P178" s="77">
        <f t="shared" si="81"/>
        <v>0.27718795411901398</v>
      </c>
      <c r="Q178" s="76">
        <f t="shared" si="82"/>
        <v>-4.4452454277272284E-2</v>
      </c>
      <c r="R178" s="75">
        <f t="shared" si="83"/>
        <v>-0.29190079523422718</v>
      </c>
    </row>
    <row r="179" spans="2:18">
      <c r="B179" s="81"/>
      <c r="C179">
        <v>12</v>
      </c>
      <c r="D179">
        <v>304</v>
      </c>
      <c r="E179">
        <v>1.2887500000000001</v>
      </c>
      <c r="F179" s="78"/>
      <c r="G179" s="75">
        <f t="shared" si="72"/>
        <v>0.54108476939109873</v>
      </c>
      <c r="H179" s="76">
        <f t="shared" si="73"/>
        <v>-0.25</v>
      </c>
      <c r="I179" s="75">
        <f t="shared" si="74"/>
        <v>-0.11702127659574468</v>
      </c>
      <c r="J179" s="75">
        <f t="shared" si="75"/>
        <v>0.12479087452471493</v>
      </c>
      <c r="K179" s="76">
        <f t="shared" si="76"/>
        <v>-2.4458994260550773E-2</v>
      </c>
      <c r="L179" s="77">
        <f t="shared" si="77"/>
        <v>0.24554546199383259</v>
      </c>
      <c r="M179" s="76">
        <f t="shared" si="78"/>
        <v>6.1046041570866433E-2</v>
      </c>
      <c r="N179" s="77">
        <f t="shared" si="79"/>
        <v>0.36300703959207109</v>
      </c>
      <c r="O179" s="76">
        <f t="shared" si="80"/>
        <v>-0.38434127456153694</v>
      </c>
      <c r="P179" s="77">
        <f t="shared" si="81"/>
        <v>0.31103868092853515</v>
      </c>
      <c r="Q179" s="76">
        <f t="shared" si="82"/>
        <v>-2.445899426055085E-2</v>
      </c>
      <c r="R179" s="75">
        <f t="shared" si="83"/>
        <v>-0.29553930739726619</v>
      </c>
    </row>
    <row r="180" spans="2:18">
      <c r="B180" s="81"/>
      <c r="C180">
        <v>12</v>
      </c>
      <c r="D180">
        <v>320</v>
      </c>
      <c r="E180">
        <v>1.349</v>
      </c>
      <c r="F180" s="78"/>
      <c r="G180" s="75">
        <f t="shared" si="72"/>
        <v>0.57282805795566905</v>
      </c>
      <c r="H180" s="76">
        <f t="shared" si="73"/>
        <v>-0.25</v>
      </c>
      <c r="I180" s="75">
        <f t="shared" si="74"/>
        <v>-9.5744680851063857E-2</v>
      </c>
      <c r="J180" s="75">
        <f t="shared" si="75"/>
        <v>0.16144486692015214</v>
      </c>
      <c r="K180" s="76">
        <f t="shared" si="76"/>
        <v>-4.4655342438293466E-3</v>
      </c>
      <c r="L180" s="77">
        <f t="shared" si="77"/>
        <v>0.27365023839536384</v>
      </c>
      <c r="M180" s="76">
        <f t="shared" si="78"/>
        <v>8.1039501587587853E-2</v>
      </c>
      <c r="N180" s="77">
        <f t="shared" si="79"/>
        <v>0.39111181599360234</v>
      </c>
      <c r="O180" s="76">
        <f t="shared" si="80"/>
        <v>-0.38434127456153694</v>
      </c>
      <c r="P180" s="77">
        <f t="shared" si="81"/>
        <v>0.34278196949310541</v>
      </c>
      <c r="Q180" s="76">
        <f t="shared" si="82"/>
        <v>-4.4655342438294282E-3</v>
      </c>
      <c r="R180" s="75">
        <f t="shared" si="83"/>
        <v>-0.2991778195603052</v>
      </c>
    </row>
    <row r="181" spans="2:18">
      <c r="B181" s="81"/>
      <c r="C181">
        <v>12</v>
      </c>
      <c r="D181">
        <v>336</v>
      </c>
      <c r="E181">
        <v>1.39575</v>
      </c>
      <c r="F181" s="78"/>
      <c r="G181" s="75">
        <f t="shared" si="72"/>
        <v>0.5974587424435307</v>
      </c>
      <c r="H181" s="76">
        <f t="shared" si="73"/>
        <v>-0.25</v>
      </c>
      <c r="I181" s="75">
        <f t="shared" si="74"/>
        <v>-7.4468085106382975E-2</v>
      </c>
      <c r="J181" s="75">
        <f t="shared" si="75"/>
        <v>0.18988593155893541</v>
      </c>
      <c r="K181" s="76">
        <f t="shared" si="76"/>
        <v>1.5527925772892146E-2</v>
      </c>
      <c r="L181" s="77">
        <f t="shared" si="77"/>
        <v>0.29464241072018638</v>
      </c>
      <c r="M181" s="76">
        <f t="shared" si="78"/>
        <v>0.10103296160430936</v>
      </c>
      <c r="N181" s="77">
        <f t="shared" si="79"/>
        <v>0.41210398831842487</v>
      </c>
      <c r="O181" s="76">
        <f t="shared" si="80"/>
        <v>-0.38434127456153694</v>
      </c>
      <c r="P181" s="77">
        <f t="shared" si="81"/>
        <v>0.36741265398096701</v>
      </c>
      <c r="Q181" s="76">
        <f t="shared" si="82"/>
        <v>1.5527925772892063E-2</v>
      </c>
      <c r="R181" s="75">
        <f t="shared" si="83"/>
        <v>-0.30281633172334427</v>
      </c>
    </row>
    <row r="182" spans="2:18">
      <c r="B182" s="81"/>
      <c r="C182">
        <v>12</v>
      </c>
      <c r="D182">
        <v>352</v>
      </c>
      <c r="E182">
        <v>1.4592499999999999</v>
      </c>
      <c r="F182" s="78"/>
      <c r="G182" s="75">
        <f t="shared" si="72"/>
        <v>0.63091432458212349</v>
      </c>
      <c r="H182" s="76">
        <f t="shared" si="73"/>
        <v>-0.25</v>
      </c>
      <c r="I182" s="75">
        <f t="shared" si="74"/>
        <v>-5.3191489361702149E-2</v>
      </c>
      <c r="J182" s="75">
        <f t="shared" si="75"/>
        <v>0.22851711026615973</v>
      </c>
      <c r="K182" s="76">
        <f t="shared" si="76"/>
        <v>3.5521385789613578E-2</v>
      </c>
      <c r="L182" s="77">
        <f t="shared" si="77"/>
        <v>0.32445948069574015</v>
      </c>
      <c r="M182" s="76">
        <f t="shared" si="78"/>
        <v>0.12102642162103078</v>
      </c>
      <c r="N182" s="77">
        <f t="shared" si="79"/>
        <v>0.4419210582939786</v>
      </c>
      <c r="O182" s="76">
        <f t="shared" si="80"/>
        <v>-0.38434127456153688</v>
      </c>
      <c r="P182" s="77">
        <f t="shared" si="81"/>
        <v>0.4008682361195598</v>
      </c>
      <c r="Q182" s="76">
        <f t="shared" si="82"/>
        <v>3.5521385789613488E-2</v>
      </c>
      <c r="R182" s="75">
        <f t="shared" si="83"/>
        <v>-0.30645484388638333</v>
      </c>
    </row>
    <row r="183" spans="2:18">
      <c r="B183" s="81"/>
      <c r="C183">
        <v>12</v>
      </c>
      <c r="D183">
        <v>368</v>
      </c>
      <c r="E183">
        <v>1.5225</v>
      </c>
      <c r="F183" s="78"/>
      <c r="G183" s="75">
        <f t="shared" si="72"/>
        <v>0.66423819183040678</v>
      </c>
      <c r="H183" s="76">
        <f t="shared" si="73"/>
        <v>-0.25</v>
      </c>
      <c r="I183" s="75">
        <f t="shared" si="74"/>
        <v>-3.1914893617021267E-2</v>
      </c>
      <c r="J183" s="75">
        <f t="shared" si="75"/>
        <v>0.26699619771863115</v>
      </c>
      <c r="K183" s="76">
        <f t="shared" si="76"/>
        <v>5.5514845806335068E-2</v>
      </c>
      <c r="L183" s="77">
        <f t="shared" si="77"/>
        <v>0.35414483578098438</v>
      </c>
      <c r="M183" s="76">
        <f t="shared" si="78"/>
        <v>0.14101988163775228</v>
      </c>
      <c r="N183" s="77">
        <f t="shared" si="79"/>
        <v>0.47160641337922282</v>
      </c>
      <c r="O183" s="76">
        <f t="shared" si="80"/>
        <v>-0.38434127456153688</v>
      </c>
      <c r="P183" s="77">
        <f t="shared" si="81"/>
        <v>0.43419210336784309</v>
      </c>
      <c r="Q183" s="76">
        <f t="shared" si="82"/>
        <v>5.5514845806334971E-2</v>
      </c>
      <c r="R183" s="75">
        <f t="shared" si="83"/>
        <v>-0.31009335604942234</v>
      </c>
    </row>
    <row r="184" spans="2:18">
      <c r="B184" s="81"/>
      <c r="C184">
        <v>12</v>
      </c>
      <c r="D184">
        <v>384</v>
      </c>
      <c r="E184">
        <v>1.5987499999999999</v>
      </c>
      <c r="F184" s="78"/>
      <c r="G184" s="75">
        <f t="shared" si="72"/>
        <v>0.70441123337477984</v>
      </c>
      <c r="H184" s="76">
        <f t="shared" si="73"/>
        <v>-0.25</v>
      </c>
      <c r="I184" s="75">
        <f t="shared" si="74"/>
        <v>-1.0638297872340441E-2</v>
      </c>
      <c r="J184" s="75">
        <f t="shared" si="75"/>
        <v>0.31338403041825091</v>
      </c>
      <c r="K184" s="76">
        <f t="shared" si="76"/>
        <v>7.550830582305651E-2</v>
      </c>
      <c r="L184" s="77">
        <f t="shared" si="77"/>
        <v>0.39067936516231855</v>
      </c>
      <c r="M184" s="76">
        <f t="shared" si="78"/>
        <v>0.1610133416544737</v>
      </c>
      <c r="N184" s="77">
        <f t="shared" si="79"/>
        <v>0.50814094276055699</v>
      </c>
      <c r="O184" s="76">
        <f t="shared" si="80"/>
        <v>-0.38434127456153688</v>
      </c>
      <c r="P184" s="77">
        <f t="shared" si="81"/>
        <v>0.47436514491221626</v>
      </c>
      <c r="Q184" s="76">
        <f t="shared" si="82"/>
        <v>7.5508305823056412E-2</v>
      </c>
      <c r="R184" s="75">
        <f t="shared" si="83"/>
        <v>-0.31373186821246135</v>
      </c>
    </row>
    <row r="185" spans="2:18">
      <c r="B185" s="81"/>
      <c r="C185">
        <v>15</v>
      </c>
      <c r="D185">
        <v>16</v>
      </c>
      <c r="E185">
        <v>0.27274999999999999</v>
      </c>
      <c r="F185" s="78"/>
      <c r="G185" s="75">
        <f t="shared" si="72"/>
        <v>5.7954551736145166E-3</v>
      </c>
      <c r="H185" s="76">
        <f t="shared" si="73"/>
        <v>-0.16666666666666669</v>
      </c>
      <c r="I185" s="75">
        <f t="shared" si="74"/>
        <v>-0.5</v>
      </c>
      <c r="J185" s="75">
        <f t="shared" si="75"/>
        <v>-0.49330798479087451</v>
      </c>
      <c r="K185" s="76">
        <f t="shared" si="76"/>
        <v>-0.41284295317200942</v>
      </c>
      <c r="L185" s="77">
        <f t="shared" si="77"/>
        <v>-0.26340449248836195</v>
      </c>
      <c r="M185" s="76">
        <f t="shared" si="78"/>
        <v>-0.29883623873011983</v>
      </c>
      <c r="N185" s="77">
        <f t="shared" si="79"/>
        <v>-0.10678905569071068</v>
      </c>
      <c r="O185" s="76">
        <f t="shared" si="80"/>
        <v>-0.41284295317200942</v>
      </c>
      <c r="P185" s="77">
        <f t="shared" si="81"/>
        <v>-0.26340449248836195</v>
      </c>
      <c r="Q185" s="76">
        <f t="shared" si="82"/>
        <v>-0.41284295317200942</v>
      </c>
      <c r="R185" s="75">
        <f t="shared" si="83"/>
        <v>-0.26919994766197647</v>
      </c>
    </row>
    <row r="186" spans="2:18">
      <c r="B186" s="81"/>
      <c r="C186">
        <v>15</v>
      </c>
      <c r="D186">
        <v>32</v>
      </c>
      <c r="E186">
        <v>0.34749999999999998</v>
      </c>
      <c r="F186" s="78"/>
      <c r="G186" s="75">
        <f t="shared" si="72"/>
        <v>4.5178207376131235E-2</v>
      </c>
      <c r="H186" s="76">
        <f t="shared" si="73"/>
        <v>-0.16666666666666669</v>
      </c>
      <c r="I186" s="75">
        <f t="shared" si="74"/>
        <v>-0.47872340425531917</v>
      </c>
      <c r="J186" s="75">
        <f t="shared" si="75"/>
        <v>-0.44783269961977185</v>
      </c>
      <c r="K186" s="76">
        <f t="shared" si="76"/>
        <v>-0.392849493155288</v>
      </c>
      <c r="L186" s="77">
        <f t="shared" si="77"/>
        <v>-0.2276602524488843</v>
      </c>
      <c r="M186" s="76">
        <f t="shared" si="78"/>
        <v>-0.27884277871339841</v>
      </c>
      <c r="N186" s="77">
        <f t="shared" si="79"/>
        <v>-7.1044815651232995E-2</v>
      </c>
      <c r="O186" s="76">
        <f t="shared" si="80"/>
        <v>-0.41284295317200942</v>
      </c>
      <c r="P186" s="77">
        <f t="shared" si="81"/>
        <v>-0.22402174028584526</v>
      </c>
      <c r="Q186" s="76">
        <f t="shared" si="82"/>
        <v>-0.392849493155288</v>
      </c>
      <c r="R186" s="75">
        <f t="shared" si="83"/>
        <v>-0.27283845982501553</v>
      </c>
    </row>
    <row r="187" spans="2:18">
      <c r="B187" s="81"/>
      <c r="C187">
        <v>15</v>
      </c>
      <c r="D187">
        <v>48</v>
      </c>
      <c r="E187">
        <v>0.49199999999999999</v>
      </c>
      <c r="F187" s="78"/>
      <c r="G187" s="75">
        <f t="shared" si="72"/>
        <v>0.12130941397497613</v>
      </c>
      <c r="H187" s="76">
        <f t="shared" si="73"/>
        <v>-0.16666666666666669</v>
      </c>
      <c r="I187" s="75">
        <f t="shared" si="74"/>
        <v>-0.45744680851063829</v>
      </c>
      <c r="J187" s="75">
        <f t="shared" si="75"/>
        <v>-0.35992395437262359</v>
      </c>
      <c r="K187" s="76">
        <f t="shared" si="76"/>
        <v>-0.37285603313856652</v>
      </c>
      <c r="L187" s="77">
        <f t="shared" si="77"/>
        <v>-0.15516755801307841</v>
      </c>
      <c r="M187" s="76">
        <f t="shared" si="78"/>
        <v>-0.25884931869667688</v>
      </c>
      <c r="N187" s="77">
        <f t="shared" si="79"/>
        <v>1.4478787845728647E-3</v>
      </c>
      <c r="O187" s="76">
        <f t="shared" si="80"/>
        <v>-0.41284295317200942</v>
      </c>
      <c r="P187" s="77">
        <f t="shared" si="81"/>
        <v>-0.14789053368700034</v>
      </c>
      <c r="Q187" s="76">
        <f t="shared" si="82"/>
        <v>-0.37285603313856652</v>
      </c>
      <c r="R187" s="75">
        <f t="shared" si="83"/>
        <v>-0.27647697198805454</v>
      </c>
    </row>
    <row r="188" spans="2:18">
      <c r="B188" s="81"/>
      <c r="C188">
        <v>15</v>
      </c>
      <c r="D188">
        <v>64</v>
      </c>
      <c r="E188">
        <v>0.63849999999999996</v>
      </c>
      <c r="F188" s="78"/>
      <c r="G188" s="75">
        <f t="shared" si="72"/>
        <v>0.19849433969629646</v>
      </c>
      <c r="H188" s="76">
        <f t="shared" si="73"/>
        <v>-0.16666666666666669</v>
      </c>
      <c r="I188" s="75">
        <f t="shared" si="74"/>
        <v>-0.43617021276595747</v>
      </c>
      <c r="J188" s="75">
        <f t="shared" si="75"/>
        <v>-0.27079847908745247</v>
      </c>
      <c r="K188" s="76">
        <f t="shared" si="76"/>
        <v>-0.3528625731218451</v>
      </c>
      <c r="L188" s="77">
        <f t="shared" si="77"/>
        <v>-8.1621144454797095E-2</v>
      </c>
      <c r="M188" s="76">
        <f t="shared" si="78"/>
        <v>-0.23885585867995546</v>
      </c>
      <c r="N188" s="77">
        <f t="shared" si="79"/>
        <v>7.499429234285418E-2</v>
      </c>
      <c r="O188" s="76">
        <f t="shared" si="80"/>
        <v>-0.41284295317200942</v>
      </c>
      <c r="P188" s="77">
        <f t="shared" si="81"/>
        <v>-7.0705607965680012E-2</v>
      </c>
      <c r="Q188" s="76">
        <f t="shared" si="82"/>
        <v>-0.3528625731218451</v>
      </c>
      <c r="R188" s="75">
        <f t="shared" si="83"/>
        <v>-0.28011548415109355</v>
      </c>
    </row>
    <row r="189" spans="2:18">
      <c r="B189" s="81"/>
      <c r="C189">
        <v>15</v>
      </c>
      <c r="D189">
        <v>80</v>
      </c>
      <c r="E189">
        <v>0.72150000000000003</v>
      </c>
      <c r="F189" s="78"/>
      <c r="G189" s="75">
        <f t="shared" si="72"/>
        <v>0.24222368327902402</v>
      </c>
      <c r="H189" s="76">
        <f t="shared" si="73"/>
        <v>-0.16666666666666669</v>
      </c>
      <c r="I189" s="75">
        <f t="shared" si="74"/>
        <v>-0.41489361702127658</v>
      </c>
      <c r="J189" s="75">
        <f t="shared" si="75"/>
        <v>-0.22030418250950567</v>
      </c>
      <c r="K189" s="76">
        <f t="shared" si="76"/>
        <v>-0.33286911310512352</v>
      </c>
      <c r="L189" s="77">
        <f t="shared" si="77"/>
        <v>-4.1530313035108596E-2</v>
      </c>
      <c r="M189" s="76">
        <f t="shared" si="78"/>
        <v>-0.21886239866323393</v>
      </c>
      <c r="N189" s="77">
        <f t="shared" si="79"/>
        <v>0.11508512376254273</v>
      </c>
      <c r="O189" s="76">
        <f t="shared" si="80"/>
        <v>-0.41284295317200936</v>
      </c>
      <c r="P189" s="77">
        <f t="shared" si="81"/>
        <v>-2.6976264382952447E-2</v>
      </c>
      <c r="Q189" s="76">
        <f t="shared" si="82"/>
        <v>-0.33286911310512357</v>
      </c>
      <c r="R189" s="75">
        <f t="shared" si="83"/>
        <v>-0.28375399631413262</v>
      </c>
    </row>
    <row r="190" spans="2:18">
      <c r="B190" s="83"/>
      <c r="C190" s="84">
        <v>15</v>
      </c>
      <c r="D190" s="84">
        <v>96</v>
      </c>
      <c r="E190" s="84">
        <v>0.76275000000000004</v>
      </c>
      <c r="F190" s="78"/>
      <c r="G190" s="85">
        <f t="shared" ref="G190:G221" si="84">D$19*(L190-R190)</f>
        <v>0.26395664018007836</v>
      </c>
      <c r="H190" s="86">
        <f t="shared" ref="H190:H221" si="85">(C190-H$16)/H$17-0.5</f>
        <v>-0.16666666666666669</v>
      </c>
      <c r="I190" s="85">
        <f t="shared" ref="I190:I221" si="86">(D190-I$16)/I$17-0.5</f>
        <v>-0.39361702127659576</v>
      </c>
      <c r="J190" s="85">
        <f t="shared" ref="J190:J221" si="87">(E190-J$16)/J$17-0.5</f>
        <v>-0.19520912547528513</v>
      </c>
      <c r="K190" s="86">
        <f t="shared" ref="K190:K221" si="88">(H190*$H$13+I190*$I$13+J190*$J$13+$D$27)*$C$27</f>
        <v>-0.31287565308840209</v>
      </c>
      <c r="L190" s="87">
        <f t="shared" ref="L190:L221" si="89">(H190*$H$14+I190*$I$14+J190*$J$14+$E$27)*$C$27</f>
        <v>-2.3435868297093237E-2</v>
      </c>
      <c r="M190" s="86">
        <f t="shared" ref="M190:M221" si="90">(H$27*$H$13+I190*$I$13+J190*$J$13+$D$27)*$C$27</f>
        <v>-0.19886893864651251</v>
      </c>
      <c r="N190" s="87">
        <f t="shared" ref="N190:N221" si="91">(H$27*$H$14+I190*$I$14+J190*$J$14+$E$27)*$C$27</f>
        <v>0.13317956850055804</v>
      </c>
      <c r="O190" s="86">
        <f t="shared" ref="O190:O221" si="92">(H190*$H$13+I$27*$I$13+J190*$J$13+$D$27)*$C$27</f>
        <v>-0.41284295317200936</v>
      </c>
      <c r="P190" s="87">
        <f t="shared" ref="P190:P221" si="93">(H190*$H$14+I$27*$I$14+J190*$J$14+$E$27)*$C$27</f>
        <v>-5.2433074818980796E-3</v>
      </c>
      <c r="Q190" s="86">
        <f t="shared" ref="Q190:Q221" si="94">(H190*$H$13+I190*$I$13+J$27*$J$13+$D$27)*$C$27</f>
        <v>-0.31287565308840215</v>
      </c>
      <c r="R190" s="85">
        <f t="shared" ref="R190:R221" si="95">(H190*$H$14+I190*$I$14+J$27*$J$14+$E$27)*$C$27</f>
        <v>-0.28739250847717163</v>
      </c>
    </row>
    <row r="191" spans="2:18">
      <c r="B191" s="83"/>
      <c r="C191" s="84">
        <v>15</v>
      </c>
      <c r="D191" s="84">
        <v>112</v>
      </c>
      <c r="E191" s="84">
        <v>0.84025000000000005</v>
      </c>
      <c r="F191" s="78"/>
      <c r="G191" s="85">
        <f t="shared" si="84"/>
        <v>0.3047882561759987</v>
      </c>
      <c r="H191" s="86">
        <f t="shared" si="85"/>
        <v>-0.16666666666666669</v>
      </c>
      <c r="I191" s="85">
        <f t="shared" si="86"/>
        <v>-0.37234042553191493</v>
      </c>
      <c r="J191" s="85">
        <f t="shared" si="87"/>
        <v>-0.14806083650190116</v>
      </c>
      <c r="K191" s="86">
        <f t="shared" si="88"/>
        <v>-0.29288219307168067</v>
      </c>
      <c r="L191" s="87">
        <f t="shared" si="89"/>
        <v>1.3757235535787976E-2</v>
      </c>
      <c r="M191" s="86">
        <f t="shared" si="90"/>
        <v>-0.17887547862979108</v>
      </c>
      <c r="N191" s="87">
        <f t="shared" si="91"/>
        <v>0.17037267233343928</v>
      </c>
      <c r="O191" s="86">
        <f t="shared" si="92"/>
        <v>-0.41284295317200936</v>
      </c>
      <c r="P191" s="87">
        <f t="shared" si="93"/>
        <v>3.5588308514022171E-2</v>
      </c>
      <c r="Q191" s="86">
        <f t="shared" si="94"/>
        <v>-0.29288219307168073</v>
      </c>
      <c r="R191" s="85">
        <f t="shared" si="95"/>
        <v>-0.29103102064021069</v>
      </c>
    </row>
    <row r="192" spans="2:18">
      <c r="B192" s="83"/>
      <c r="C192" s="84">
        <v>15</v>
      </c>
      <c r="D192" s="84">
        <v>128</v>
      </c>
      <c r="E192" s="84">
        <v>0.88024999999999998</v>
      </c>
      <c r="F192" s="78"/>
      <c r="G192" s="85">
        <f t="shared" si="84"/>
        <v>0.32586263862550591</v>
      </c>
      <c r="H192" s="86">
        <f t="shared" si="85"/>
        <v>-0.16666666666666669</v>
      </c>
      <c r="I192" s="85">
        <f t="shared" si="86"/>
        <v>-0.35106382978723405</v>
      </c>
      <c r="J192" s="85">
        <f t="shared" si="87"/>
        <v>-0.12372623574144487</v>
      </c>
      <c r="K192" s="86">
        <f t="shared" si="88"/>
        <v>-0.2728887330549592</v>
      </c>
      <c r="L192" s="87">
        <f t="shared" si="89"/>
        <v>3.1193105822256206E-2</v>
      </c>
      <c r="M192" s="86">
        <f t="shared" si="90"/>
        <v>-0.15888201861306961</v>
      </c>
      <c r="N192" s="87">
        <f t="shared" si="91"/>
        <v>0.18780854261990748</v>
      </c>
      <c r="O192" s="86">
        <f t="shared" si="92"/>
        <v>-0.41284295317200936</v>
      </c>
      <c r="P192" s="87">
        <f t="shared" si="93"/>
        <v>5.6662690963529438E-2</v>
      </c>
      <c r="Q192" s="86">
        <f t="shared" si="94"/>
        <v>-0.27288873305495925</v>
      </c>
      <c r="R192" s="85">
        <f t="shared" si="95"/>
        <v>-0.2946695328032497</v>
      </c>
    </row>
    <row r="193" spans="2:18">
      <c r="B193" s="83"/>
      <c r="C193" s="84">
        <v>15</v>
      </c>
      <c r="D193" s="84">
        <v>144</v>
      </c>
      <c r="E193" s="84">
        <v>0.92100000000000004</v>
      </c>
      <c r="F193" s="78"/>
      <c r="G193" s="85">
        <f t="shared" si="84"/>
        <v>0.34733216574594145</v>
      </c>
      <c r="H193" s="86">
        <f t="shared" si="85"/>
        <v>-0.16666666666666669</v>
      </c>
      <c r="I193" s="85">
        <f t="shared" si="86"/>
        <v>-0.32978723404255317</v>
      </c>
      <c r="J193" s="85">
        <f t="shared" si="87"/>
        <v>-9.8935361216729967E-2</v>
      </c>
      <c r="K193" s="86">
        <f t="shared" si="88"/>
        <v>-0.25289527303823772</v>
      </c>
      <c r="L193" s="87">
        <f t="shared" si="89"/>
        <v>4.902412077965275E-2</v>
      </c>
      <c r="M193" s="86">
        <f t="shared" si="90"/>
        <v>-0.13888855859634811</v>
      </c>
      <c r="N193" s="87">
        <f t="shared" si="91"/>
        <v>0.20563955757730407</v>
      </c>
      <c r="O193" s="86">
        <f t="shared" si="92"/>
        <v>-0.41284295317200936</v>
      </c>
      <c r="P193" s="87">
        <f t="shared" si="93"/>
        <v>7.8132218083965019E-2</v>
      </c>
      <c r="Q193" s="86">
        <f t="shared" si="94"/>
        <v>-0.25289527303823778</v>
      </c>
      <c r="R193" s="85">
        <f t="shared" si="95"/>
        <v>-0.29830804496628871</v>
      </c>
    </row>
    <row r="194" spans="2:18">
      <c r="B194" s="83"/>
      <c r="C194" s="84">
        <v>15</v>
      </c>
      <c r="D194" s="84">
        <v>160</v>
      </c>
      <c r="E194" s="84">
        <v>0.98324999999999996</v>
      </c>
      <c r="F194" s="78"/>
      <c r="G194" s="85">
        <f t="shared" si="84"/>
        <v>0.38012917343298713</v>
      </c>
      <c r="H194" s="86">
        <f t="shared" si="85"/>
        <v>-0.16666666666666669</v>
      </c>
      <c r="I194" s="85">
        <f t="shared" si="86"/>
        <v>-0.30851063829787234</v>
      </c>
      <c r="J194" s="85">
        <f t="shared" si="87"/>
        <v>-6.1064638783269953E-2</v>
      </c>
      <c r="K194" s="86">
        <f t="shared" si="88"/>
        <v>-0.2329018130215163</v>
      </c>
      <c r="L194" s="87">
        <f t="shared" si="89"/>
        <v>7.818261630365933E-2</v>
      </c>
      <c r="M194" s="86">
        <f t="shared" si="90"/>
        <v>-0.1188950985796267</v>
      </c>
      <c r="N194" s="87">
        <f t="shared" si="91"/>
        <v>0.23479805310131066</v>
      </c>
      <c r="O194" s="86">
        <f t="shared" si="92"/>
        <v>-0.41284295317200936</v>
      </c>
      <c r="P194" s="87">
        <f t="shared" si="93"/>
        <v>0.11092922577101064</v>
      </c>
      <c r="Q194" s="86">
        <f t="shared" si="94"/>
        <v>-0.23290181302151636</v>
      </c>
      <c r="R194" s="85">
        <f t="shared" si="95"/>
        <v>-0.30194655712932778</v>
      </c>
    </row>
    <row r="195" spans="2:18">
      <c r="B195" s="83"/>
      <c r="C195" s="84">
        <v>15</v>
      </c>
      <c r="D195" s="84">
        <v>176</v>
      </c>
      <c r="E195" s="84">
        <v>1.1160000000000001</v>
      </c>
      <c r="F195" s="78"/>
      <c r="G195" s="85">
        <f t="shared" si="84"/>
        <v>0.45006978018728938</v>
      </c>
      <c r="H195" s="86">
        <f t="shared" si="85"/>
        <v>-0.16666666666666669</v>
      </c>
      <c r="I195" s="85">
        <f t="shared" si="86"/>
        <v>-0.28723404255319152</v>
      </c>
      <c r="J195" s="85">
        <f t="shared" si="87"/>
        <v>1.9695817490494427E-2</v>
      </c>
      <c r="K195" s="86">
        <f t="shared" si="88"/>
        <v>-0.21290835300479483</v>
      </c>
      <c r="L195" s="87">
        <f t="shared" si="89"/>
        <v>0.14448471089492262</v>
      </c>
      <c r="M195" s="86">
        <f t="shared" si="90"/>
        <v>-9.8901638562905209E-2</v>
      </c>
      <c r="N195" s="87">
        <f t="shared" si="91"/>
        <v>0.30110014769257387</v>
      </c>
      <c r="O195" s="86">
        <f t="shared" si="92"/>
        <v>-0.41284295317200936</v>
      </c>
      <c r="P195" s="87">
        <f t="shared" si="93"/>
        <v>0.18086983252531294</v>
      </c>
      <c r="Q195" s="86">
        <f t="shared" si="94"/>
        <v>-0.21290835300479488</v>
      </c>
      <c r="R195" s="85">
        <f t="shared" si="95"/>
        <v>-0.30558506929236678</v>
      </c>
    </row>
    <row r="196" spans="2:18">
      <c r="B196" s="83"/>
      <c r="C196" s="84">
        <v>15</v>
      </c>
      <c r="D196" s="84">
        <v>192</v>
      </c>
      <c r="E196" s="84">
        <v>1.1635</v>
      </c>
      <c r="F196" s="78"/>
      <c r="G196" s="85">
        <f t="shared" si="84"/>
        <v>0.47509560934607925</v>
      </c>
      <c r="H196" s="86">
        <f t="shared" si="85"/>
        <v>-0.16666666666666669</v>
      </c>
      <c r="I196" s="85">
        <f t="shared" si="86"/>
        <v>-0.26595744680851063</v>
      </c>
      <c r="J196" s="85">
        <f t="shared" si="87"/>
        <v>4.8593155893536188E-2</v>
      </c>
      <c r="K196" s="86">
        <f t="shared" si="88"/>
        <v>-0.19291489298807335</v>
      </c>
      <c r="L196" s="87">
        <f t="shared" si="89"/>
        <v>0.1658720278906734</v>
      </c>
      <c r="M196" s="86">
        <f t="shared" si="90"/>
        <v>-7.890817854618376E-2</v>
      </c>
      <c r="N196" s="87">
        <f t="shared" si="91"/>
        <v>0.32248746468832468</v>
      </c>
      <c r="O196" s="86">
        <f t="shared" si="92"/>
        <v>-0.41284295317200936</v>
      </c>
      <c r="P196" s="87">
        <f t="shared" si="93"/>
        <v>0.20589566168410273</v>
      </c>
      <c r="Q196" s="86">
        <f t="shared" si="94"/>
        <v>-0.19291489298807341</v>
      </c>
      <c r="R196" s="85">
        <f t="shared" si="95"/>
        <v>-0.30922358145540585</v>
      </c>
    </row>
    <row r="197" spans="2:18">
      <c r="B197" s="83"/>
      <c r="C197" s="84">
        <v>15</v>
      </c>
      <c r="D197" s="84">
        <v>208</v>
      </c>
      <c r="E197" s="84">
        <v>1.1125</v>
      </c>
      <c r="F197" s="78"/>
      <c r="G197" s="85">
        <f t="shared" si="84"/>
        <v>0.44822577172295741</v>
      </c>
      <c r="H197" s="86">
        <f t="shared" si="85"/>
        <v>-0.16666666666666669</v>
      </c>
      <c r="I197" s="85">
        <f t="shared" si="86"/>
        <v>-0.24468085106382981</v>
      </c>
      <c r="J197" s="85">
        <f t="shared" si="87"/>
        <v>1.7566539923954405E-2</v>
      </c>
      <c r="K197" s="86">
        <f t="shared" si="88"/>
        <v>-0.17292143297135193</v>
      </c>
      <c r="L197" s="87">
        <f t="shared" si="89"/>
        <v>0.13536367810451258</v>
      </c>
      <c r="M197" s="86">
        <f t="shared" si="90"/>
        <v>-5.8914718529462312E-2</v>
      </c>
      <c r="N197" s="87">
        <f t="shared" si="91"/>
        <v>0.29197911490216383</v>
      </c>
      <c r="O197" s="86">
        <f t="shared" si="92"/>
        <v>-0.41284295317200936</v>
      </c>
      <c r="P197" s="87">
        <f t="shared" si="93"/>
        <v>0.17902582406098097</v>
      </c>
      <c r="Q197" s="86">
        <f t="shared" si="94"/>
        <v>-0.17292143297135198</v>
      </c>
      <c r="R197" s="85">
        <f t="shared" si="95"/>
        <v>-0.31286209361844486</v>
      </c>
    </row>
    <row r="198" spans="2:18">
      <c r="B198" s="83"/>
      <c r="C198" s="84">
        <v>15</v>
      </c>
      <c r="D198" s="84">
        <v>224</v>
      </c>
      <c r="E198" s="84">
        <v>1.1870000000000001</v>
      </c>
      <c r="F198" s="78"/>
      <c r="G198" s="85">
        <f t="shared" si="84"/>
        <v>0.48747680903516472</v>
      </c>
      <c r="H198" s="86">
        <f t="shared" si="85"/>
        <v>-0.16666666666666669</v>
      </c>
      <c r="I198" s="85">
        <f t="shared" si="86"/>
        <v>-0.22340425531914893</v>
      </c>
      <c r="J198" s="85">
        <f t="shared" si="87"/>
        <v>6.2889733840304274E-2</v>
      </c>
      <c r="K198" s="86">
        <f t="shared" si="88"/>
        <v>-0.15292797295463045</v>
      </c>
      <c r="L198" s="87">
        <f t="shared" si="89"/>
        <v>0.17097620325368085</v>
      </c>
      <c r="M198" s="86">
        <f t="shared" si="90"/>
        <v>-3.8921258512740829E-2</v>
      </c>
      <c r="N198" s="87">
        <f t="shared" si="91"/>
        <v>0.32759164005133212</v>
      </c>
      <c r="O198" s="86">
        <f t="shared" si="92"/>
        <v>-0.41284295317200936</v>
      </c>
      <c r="P198" s="87">
        <f t="shared" si="93"/>
        <v>0.21827686137318827</v>
      </c>
      <c r="Q198" s="86">
        <f t="shared" si="94"/>
        <v>-0.15292797295463051</v>
      </c>
      <c r="R198" s="85">
        <f t="shared" si="95"/>
        <v>-0.31650060578148387</v>
      </c>
    </row>
    <row r="199" spans="2:18">
      <c r="B199" s="83"/>
      <c r="C199" s="84">
        <v>15</v>
      </c>
      <c r="D199" s="84">
        <v>240</v>
      </c>
      <c r="E199" s="84">
        <v>1.2807500000000001</v>
      </c>
      <c r="F199" s="78"/>
      <c r="G199" s="85">
        <f t="shared" si="84"/>
        <v>0.53686989290119724</v>
      </c>
      <c r="H199" s="86">
        <f t="shared" si="85"/>
        <v>-0.16666666666666669</v>
      </c>
      <c r="I199" s="85">
        <f t="shared" si="86"/>
        <v>-0.2021276595744681</v>
      </c>
      <c r="J199" s="85">
        <f t="shared" si="87"/>
        <v>0.1199239543726236</v>
      </c>
      <c r="K199" s="86">
        <f t="shared" si="88"/>
        <v>-0.13293451293790901</v>
      </c>
      <c r="L199" s="87">
        <f t="shared" si="89"/>
        <v>0.21673077495667442</v>
      </c>
      <c r="M199" s="86">
        <f t="shared" si="90"/>
        <v>-1.8927798496019402E-2</v>
      </c>
      <c r="N199" s="87">
        <f t="shared" si="91"/>
        <v>0.3733462117543257</v>
      </c>
      <c r="O199" s="86">
        <f t="shared" si="92"/>
        <v>-0.41284295317200936</v>
      </c>
      <c r="P199" s="87">
        <f t="shared" si="93"/>
        <v>0.26766994523922083</v>
      </c>
      <c r="Q199" s="86">
        <f t="shared" si="94"/>
        <v>-0.13293451293790909</v>
      </c>
      <c r="R199" s="85">
        <f t="shared" si="95"/>
        <v>-0.32013911794452288</v>
      </c>
    </row>
    <row r="200" spans="2:18">
      <c r="B200" s="83"/>
      <c r="C200" s="84">
        <v>15</v>
      </c>
      <c r="D200" s="84">
        <v>256</v>
      </c>
      <c r="E200" s="84">
        <v>1.3720000000000001</v>
      </c>
      <c r="F200" s="78"/>
      <c r="G200" s="85">
        <f t="shared" si="84"/>
        <v>0.58494582786413574</v>
      </c>
      <c r="H200" s="86">
        <f t="shared" si="85"/>
        <v>-0.16666666666666669</v>
      </c>
      <c r="I200" s="85">
        <f t="shared" si="86"/>
        <v>-0.18085106382978722</v>
      </c>
      <c r="J200" s="85">
        <f t="shared" si="87"/>
        <v>0.17543726235741453</v>
      </c>
      <c r="K200" s="86">
        <f t="shared" si="88"/>
        <v>-0.11294105292118752</v>
      </c>
      <c r="L200" s="87">
        <f t="shared" si="89"/>
        <v>0.26116819775657385</v>
      </c>
      <c r="M200" s="86">
        <f t="shared" si="90"/>
        <v>1.0656615207020818E-3</v>
      </c>
      <c r="N200" s="87">
        <f t="shared" si="91"/>
        <v>0.41778363455422507</v>
      </c>
      <c r="O200" s="86">
        <f t="shared" si="92"/>
        <v>-0.41284295317200936</v>
      </c>
      <c r="P200" s="87">
        <f t="shared" si="93"/>
        <v>0.31574588020215932</v>
      </c>
      <c r="Q200" s="86">
        <f t="shared" si="94"/>
        <v>-0.1129410529211876</v>
      </c>
      <c r="R200" s="85">
        <f t="shared" si="95"/>
        <v>-0.32377763010756194</v>
      </c>
    </row>
    <row r="201" spans="2:18">
      <c r="B201" s="83"/>
      <c r="C201" s="84">
        <v>15</v>
      </c>
      <c r="D201" s="84">
        <v>272</v>
      </c>
      <c r="E201" s="84">
        <v>1.39625</v>
      </c>
      <c r="F201" s="78"/>
      <c r="G201" s="85">
        <f t="shared" si="84"/>
        <v>0.59772217222414958</v>
      </c>
      <c r="H201" s="86">
        <f t="shared" si="85"/>
        <v>-0.16666666666666669</v>
      </c>
      <c r="I201" s="85">
        <f t="shared" si="86"/>
        <v>-0.15957446808510639</v>
      </c>
      <c r="J201" s="85">
        <f t="shared" si="87"/>
        <v>0.19019011406844111</v>
      </c>
      <c r="K201" s="86">
        <f t="shared" si="88"/>
        <v>-9.2947592904466067E-2</v>
      </c>
      <c r="L201" s="87">
        <f t="shared" si="89"/>
        <v>0.27030602995354858</v>
      </c>
      <c r="M201" s="86">
        <f t="shared" si="90"/>
        <v>2.1059121537423533E-2</v>
      </c>
      <c r="N201" s="87">
        <f t="shared" si="91"/>
        <v>0.42692146675119985</v>
      </c>
      <c r="O201" s="86">
        <f t="shared" si="92"/>
        <v>-0.41284295317200936</v>
      </c>
      <c r="P201" s="87">
        <f t="shared" si="93"/>
        <v>0.32852222456217306</v>
      </c>
      <c r="Q201" s="86">
        <f t="shared" si="94"/>
        <v>-9.294759290446615E-2</v>
      </c>
      <c r="R201" s="85">
        <f t="shared" si="95"/>
        <v>-0.32741614227060101</v>
      </c>
    </row>
    <row r="202" spans="2:18">
      <c r="B202" s="83"/>
      <c r="C202" s="84">
        <v>15</v>
      </c>
      <c r="D202" s="84">
        <v>288</v>
      </c>
      <c r="E202" s="84">
        <v>1.4804999999999999</v>
      </c>
      <c r="F202" s="78"/>
      <c r="G202" s="85">
        <f t="shared" si="84"/>
        <v>0.64211009025842414</v>
      </c>
      <c r="H202" s="86">
        <f t="shared" si="85"/>
        <v>-0.16666666666666669</v>
      </c>
      <c r="I202" s="85">
        <f t="shared" si="86"/>
        <v>-0.13829787234042551</v>
      </c>
      <c r="J202" s="85">
        <f t="shared" si="87"/>
        <v>0.2414448669201521</v>
      </c>
      <c r="K202" s="86">
        <f t="shared" si="88"/>
        <v>-7.2954132887744591E-2</v>
      </c>
      <c r="L202" s="87">
        <f t="shared" si="89"/>
        <v>0.31105543582478412</v>
      </c>
      <c r="M202" s="86">
        <f t="shared" si="90"/>
        <v>4.1052581554145012E-2</v>
      </c>
      <c r="N202" s="87">
        <f t="shared" si="91"/>
        <v>0.4676708726224354</v>
      </c>
      <c r="O202" s="86">
        <f t="shared" si="92"/>
        <v>-0.41284295317200931</v>
      </c>
      <c r="P202" s="87">
        <f t="shared" si="93"/>
        <v>0.37291014259644767</v>
      </c>
      <c r="Q202" s="86">
        <f t="shared" si="94"/>
        <v>-7.2954132887744674E-2</v>
      </c>
      <c r="R202" s="85">
        <f t="shared" si="95"/>
        <v>-0.33105465443364002</v>
      </c>
    </row>
    <row r="203" spans="2:18">
      <c r="B203" s="83"/>
      <c r="C203" s="84">
        <v>15</v>
      </c>
      <c r="D203" s="84">
        <v>304</v>
      </c>
      <c r="E203" s="84">
        <v>1.5707500000000001</v>
      </c>
      <c r="F203" s="78"/>
      <c r="G203" s="85">
        <f t="shared" si="84"/>
        <v>0.68965916566012497</v>
      </c>
      <c r="H203" s="86">
        <f t="shared" si="85"/>
        <v>-0.16666666666666669</v>
      </c>
      <c r="I203" s="85">
        <f t="shared" si="86"/>
        <v>-0.11702127659574468</v>
      </c>
      <c r="J203" s="85">
        <f t="shared" si="87"/>
        <v>0.29634980988593163</v>
      </c>
      <c r="K203" s="86">
        <f t="shared" si="88"/>
        <v>-5.296067287102315E-2</v>
      </c>
      <c r="L203" s="87">
        <f t="shared" si="89"/>
        <v>0.35496599906344589</v>
      </c>
      <c r="M203" s="86">
        <f t="shared" si="90"/>
        <v>6.1046041570866454E-2</v>
      </c>
      <c r="N203" s="87">
        <f t="shared" si="91"/>
        <v>0.51158143586109717</v>
      </c>
      <c r="O203" s="86">
        <f t="shared" si="92"/>
        <v>-0.41284295317200931</v>
      </c>
      <c r="P203" s="87">
        <f t="shared" si="93"/>
        <v>0.42045921799814845</v>
      </c>
      <c r="Q203" s="86">
        <f t="shared" si="94"/>
        <v>-5.2960672871023247E-2</v>
      </c>
      <c r="R203" s="85">
        <f t="shared" si="95"/>
        <v>-0.33469316659667903</v>
      </c>
    </row>
    <row r="204" spans="2:18">
      <c r="B204" s="83"/>
      <c r="C204" s="84">
        <v>18</v>
      </c>
      <c r="D204" s="84">
        <v>16</v>
      </c>
      <c r="E204" s="84">
        <v>0.27775</v>
      </c>
      <c r="F204" s="78"/>
      <c r="G204" s="85">
        <f t="shared" si="84"/>
        <v>8.4297529798029736E-3</v>
      </c>
      <c r="H204" s="86">
        <f t="shared" si="85"/>
        <v>-8.3333333333333315E-2</v>
      </c>
      <c r="I204" s="85">
        <f t="shared" si="86"/>
        <v>-0.5</v>
      </c>
      <c r="J204" s="85">
        <f t="shared" si="87"/>
        <v>-0.49026615969581749</v>
      </c>
      <c r="K204" s="86">
        <f t="shared" si="88"/>
        <v>-0.44134463178248179</v>
      </c>
      <c r="L204" s="87">
        <f t="shared" si="89"/>
        <v>-0.29992405388158638</v>
      </c>
      <c r="M204" s="86">
        <f t="shared" si="90"/>
        <v>-0.29883623873011983</v>
      </c>
      <c r="N204" s="87">
        <f t="shared" si="91"/>
        <v>-0.10415475788452228</v>
      </c>
      <c r="O204" s="86">
        <f t="shared" si="92"/>
        <v>-0.44134463178248179</v>
      </c>
      <c r="P204" s="87">
        <f t="shared" si="93"/>
        <v>-0.29992405388158638</v>
      </c>
      <c r="Q204" s="86">
        <f t="shared" si="94"/>
        <v>-0.44134463178248179</v>
      </c>
      <c r="R204" s="85">
        <f t="shared" si="95"/>
        <v>-0.30835380686138936</v>
      </c>
    </row>
    <row r="205" spans="2:18">
      <c r="B205" s="83"/>
      <c r="C205" s="84">
        <v>18</v>
      </c>
      <c r="D205" s="84">
        <v>32</v>
      </c>
      <c r="E205" s="84">
        <v>0.40200000000000002</v>
      </c>
      <c r="F205" s="78"/>
      <c r="G205" s="85">
        <f t="shared" si="84"/>
        <v>7.3892053463584878E-2</v>
      </c>
      <c r="H205" s="86">
        <f t="shared" si="85"/>
        <v>-8.3333333333333315E-2</v>
      </c>
      <c r="I205" s="85">
        <f t="shared" si="86"/>
        <v>-0.47872340425531917</v>
      </c>
      <c r="J205" s="85">
        <f t="shared" si="87"/>
        <v>-0.41467680608365015</v>
      </c>
      <c r="K205" s="86">
        <f t="shared" si="88"/>
        <v>-0.42135117176576037</v>
      </c>
      <c r="L205" s="87">
        <f t="shared" si="89"/>
        <v>-0.23810026556084349</v>
      </c>
      <c r="M205" s="86">
        <f t="shared" si="90"/>
        <v>-0.27884277871339841</v>
      </c>
      <c r="N205" s="87">
        <f t="shared" si="91"/>
        <v>-4.2330969563779353E-2</v>
      </c>
      <c r="O205" s="86">
        <f t="shared" si="92"/>
        <v>-0.44134463178248179</v>
      </c>
      <c r="P205" s="87">
        <f t="shared" si="93"/>
        <v>-0.23446175339780448</v>
      </c>
      <c r="Q205" s="86">
        <f t="shared" si="94"/>
        <v>-0.42135117176576037</v>
      </c>
      <c r="R205" s="85">
        <f t="shared" si="95"/>
        <v>-0.31199231902442837</v>
      </c>
    </row>
    <row r="206" spans="2:18">
      <c r="B206" s="83"/>
      <c r="C206" s="84">
        <v>18</v>
      </c>
      <c r="D206" s="84">
        <v>48</v>
      </c>
      <c r="E206" s="84">
        <v>0.58299999999999996</v>
      </c>
      <c r="F206" s="78"/>
      <c r="G206" s="85">
        <f t="shared" si="84"/>
        <v>0.16925363404760513</v>
      </c>
      <c r="H206" s="86">
        <f t="shared" si="85"/>
        <v>-8.3333333333333315E-2</v>
      </c>
      <c r="I206" s="85">
        <f t="shared" si="86"/>
        <v>-0.45744680851063829</v>
      </c>
      <c r="J206" s="85">
        <f t="shared" si="87"/>
        <v>-0.30456273764258557</v>
      </c>
      <c r="K206" s="86">
        <f t="shared" si="88"/>
        <v>-0.40135771174903895</v>
      </c>
      <c r="L206" s="87">
        <f t="shared" si="89"/>
        <v>-0.14637719713986225</v>
      </c>
      <c r="M206" s="86">
        <f t="shared" si="90"/>
        <v>-0.25884931869667688</v>
      </c>
      <c r="N206" s="87">
        <f t="shared" si="91"/>
        <v>4.939209885720186E-2</v>
      </c>
      <c r="O206" s="86">
        <f t="shared" si="92"/>
        <v>-0.44134463178248179</v>
      </c>
      <c r="P206" s="87">
        <f t="shared" si="93"/>
        <v>-0.1391001728137842</v>
      </c>
      <c r="Q206" s="86">
        <f t="shared" si="94"/>
        <v>-0.40135771174903895</v>
      </c>
      <c r="R206" s="85">
        <f t="shared" si="95"/>
        <v>-0.31563083118746738</v>
      </c>
    </row>
    <row r="207" spans="2:18">
      <c r="B207" s="83"/>
      <c r="C207" s="84">
        <v>18</v>
      </c>
      <c r="D207" s="84">
        <v>64</v>
      </c>
      <c r="E207" s="84">
        <v>0.69674999999999998</v>
      </c>
      <c r="F207" s="78"/>
      <c r="G207" s="85">
        <f t="shared" si="84"/>
        <v>0.22918390913839137</v>
      </c>
      <c r="H207" s="86">
        <f t="shared" si="85"/>
        <v>-8.3333333333333315E-2</v>
      </c>
      <c r="I207" s="85">
        <f t="shared" si="86"/>
        <v>-0.43617021276595747</v>
      </c>
      <c r="J207" s="85">
        <f t="shared" si="87"/>
        <v>-0.23536121673003801</v>
      </c>
      <c r="K207" s="86">
        <f t="shared" si="88"/>
        <v>-0.38136425173231753</v>
      </c>
      <c r="L207" s="87">
        <f t="shared" si="89"/>
        <v>-9.0085434212115012E-2</v>
      </c>
      <c r="M207" s="86">
        <f t="shared" si="90"/>
        <v>-0.23885585867995546</v>
      </c>
      <c r="N207" s="87">
        <f t="shared" si="91"/>
        <v>0.10568386178494912</v>
      </c>
      <c r="O207" s="86">
        <f t="shared" si="92"/>
        <v>-0.44134463178248179</v>
      </c>
      <c r="P207" s="87">
        <f t="shared" si="93"/>
        <v>-7.9169897722997928E-2</v>
      </c>
      <c r="Q207" s="86">
        <f t="shared" si="94"/>
        <v>-0.38136425173231753</v>
      </c>
      <c r="R207" s="85">
        <f t="shared" si="95"/>
        <v>-0.31926934335050638</v>
      </c>
    </row>
    <row r="208" spans="2:18">
      <c r="B208" s="83"/>
      <c r="C208" s="84">
        <v>18</v>
      </c>
      <c r="D208" s="84">
        <v>80</v>
      </c>
      <c r="E208" s="84">
        <v>0.78574999999999995</v>
      </c>
      <c r="F208" s="78"/>
      <c r="G208" s="85">
        <f t="shared" si="84"/>
        <v>0.27607441008854505</v>
      </c>
      <c r="H208" s="86">
        <f t="shared" si="85"/>
        <v>-8.3333333333333315E-2</v>
      </c>
      <c r="I208" s="85">
        <f t="shared" si="86"/>
        <v>-0.41489361702127658</v>
      </c>
      <c r="J208" s="85">
        <f t="shared" si="87"/>
        <v>-0.1812167300380228</v>
      </c>
      <c r="K208" s="86">
        <f t="shared" si="88"/>
        <v>-0.36137079171559594</v>
      </c>
      <c r="L208" s="87">
        <f t="shared" si="89"/>
        <v>-4.6833445425000425E-2</v>
      </c>
      <c r="M208" s="86">
        <f t="shared" si="90"/>
        <v>-0.21886239866323393</v>
      </c>
      <c r="N208" s="87">
        <f t="shared" si="91"/>
        <v>0.14893585057206374</v>
      </c>
      <c r="O208" s="86">
        <f t="shared" si="92"/>
        <v>-0.44134463178248173</v>
      </c>
      <c r="P208" s="87">
        <f t="shared" si="93"/>
        <v>-3.2279396772844304E-2</v>
      </c>
      <c r="Q208" s="86">
        <f t="shared" si="94"/>
        <v>-0.361370791715596</v>
      </c>
      <c r="R208" s="85">
        <f t="shared" si="95"/>
        <v>-0.32290785551354545</v>
      </c>
    </row>
    <row r="209" spans="2:18">
      <c r="B209" s="83"/>
      <c r="C209" s="84">
        <v>18</v>
      </c>
      <c r="D209" s="84">
        <v>96</v>
      </c>
      <c r="E209" s="84">
        <v>0.82274999999999998</v>
      </c>
      <c r="F209" s="78"/>
      <c r="G209" s="85">
        <f t="shared" si="84"/>
        <v>0.29556821385433918</v>
      </c>
      <c r="H209" s="86">
        <f t="shared" si="85"/>
        <v>-8.3333333333333315E-2</v>
      </c>
      <c r="I209" s="85">
        <f t="shared" si="86"/>
        <v>-0.39361702127659576</v>
      </c>
      <c r="J209" s="85">
        <f t="shared" si="87"/>
        <v>-0.15870722433460083</v>
      </c>
      <c r="K209" s="86">
        <f t="shared" si="88"/>
        <v>-0.34137733169887452</v>
      </c>
      <c r="L209" s="87">
        <f t="shared" si="89"/>
        <v>-3.097815382224528E-2</v>
      </c>
      <c r="M209" s="86">
        <f t="shared" si="90"/>
        <v>-0.19886893864651251</v>
      </c>
      <c r="N209" s="87">
        <f t="shared" si="91"/>
        <v>0.16479114217481883</v>
      </c>
      <c r="O209" s="86">
        <f t="shared" si="92"/>
        <v>-0.44134463178248173</v>
      </c>
      <c r="P209" s="87">
        <f t="shared" si="93"/>
        <v>-1.278559300705015E-2</v>
      </c>
      <c r="Q209" s="86">
        <f t="shared" si="94"/>
        <v>-0.34137733169887458</v>
      </c>
      <c r="R209" s="85">
        <f t="shared" si="95"/>
        <v>-0.32654636767658446</v>
      </c>
    </row>
    <row r="210" spans="2:18">
      <c r="B210" s="83"/>
      <c r="C210" s="84">
        <v>18</v>
      </c>
      <c r="D210" s="84">
        <v>112</v>
      </c>
      <c r="E210" s="84">
        <v>1.0747500000000001</v>
      </c>
      <c r="F210" s="78"/>
      <c r="G210" s="85">
        <f t="shared" si="84"/>
        <v>0.42833682328623507</v>
      </c>
      <c r="H210" s="86">
        <f t="shared" si="85"/>
        <v>-8.3333333333333315E-2</v>
      </c>
      <c r="I210" s="85">
        <f t="shared" si="86"/>
        <v>-0.37234042553191493</v>
      </c>
      <c r="J210" s="85">
        <f t="shared" si="87"/>
        <v>-5.3992395437261198E-3</v>
      </c>
      <c r="K210" s="86">
        <f t="shared" si="88"/>
        <v>-0.3213838716821531</v>
      </c>
      <c r="L210" s="87">
        <f t="shared" si="89"/>
        <v>9.8151943446611531E-2</v>
      </c>
      <c r="M210" s="86">
        <f t="shared" si="90"/>
        <v>-0.17887547862979106</v>
      </c>
      <c r="N210" s="87">
        <f t="shared" si="91"/>
        <v>0.29392123944367565</v>
      </c>
      <c r="O210" s="86">
        <f t="shared" si="92"/>
        <v>-0.44134463178248173</v>
      </c>
      <c r="P210" s="87">
        <f t="shared" si="93"/>
        <v>0.1199830164248457</v>
      </c>
      <c r="Q210" s="86">
        <f t="shared" si="94"/>
        <v>-0.32138387168215315</v>
      </c>
      <c r="R210" s="85">
        <f t="shared" si="95"/>
        <v>-0.33018487983962352</v>
      </c>
    </row>
    <row r="211" spans="2:18">
      <c r="B211" s="83"/>
      <c r="C211" s="84">
        <v>18</v>
      </c>
      <c r="D211" s="84">
        <v>128</v>
      </c>
      <c r="E211" s="84">
        <v>1.115</v>
      </c>
      <c r="F211" s="78"/>
      <c r="G211" s="85">
        <f t="shared" si="84"/>
        <v>0.44954292062605161</v>
      </c>
      <c r="H211" s="86">
        <f t="shared" si="85"/>
        <v>-8.3333333333333315E-2</v>
      </c>
      <c r="I211" s="85">
        <f t="shared" si="86"/>
        <v>-0.35106382978723405</v>
      </c>
      <c r="J211" s="85">
        <f t="shared" si="87"/>
        <v>1.9087452471482913E-2</v>
      </c>
      <c r="K211" s="86">
        <f t="shared" si="88"/>
        <v>-0.30139041166543157</v>
      </c>
      <c r="L211" s="87">
        <f t="shared" si="89"/>
        <v>0.11571952862338909</v>
      </c>
      <c r="M211" s="86">
        <f t="shared" si="90"/>
        <v>-0.15888201861306958</v>
      </c>
      <c r="N211" s="87">
        <f t="shared" si="91"/>
        <v>0.31148882462045319</v>
      </c>
      <c r="O211" s="86">
        <f t="shared" si="92"/>
        <v>-0.44134463178248173</v>
      </c>
      <c r="P211" s="87">
        <f t="shared" si="93"/>
        <v>0.14118911376466231</v>
      </c>
      <c r="Q211" s="86">
        <f t="shared" si="94"/>
        <v>-0.30139041166543162</v>
      </c>
      <c r="R211" s="85">
        <f t="shared" si="95"/>
        <v>-0.33382339200266253</v>
      </c>
    </row>
    <row r="212" spans="2:18">
      <c r="B212" s="83"/>
      <c r="C212" s="84">
        <v>18</v>
      </c>
      <c r="D212" s="84">
        <v>144</v>
      </c>
      <c r="E212" s="84">
        <v>1.0109999999999999</v>
      </c>
      <c r="F212" s="78"/>
      <c r="G212" s="85">
        <f t="shared" si="84"/>
        <v>0.39474952625733267</v>
      </c>
      <c r="H212" s="86">
        <f t="shared" si="85"/>
        <v>-8.3333333333333315E-2</v>
      </c>
      <c r="I212" s="85">
        <f t="shared" si="86"/>
        <v>-0.32978723404255317</v>
      </c>
      <c r="J212" s="85">
        <f t="shared" si="87"/>
        <v>-4.418250950570346E-2</v>
      </c>
      <c r="K212" s="86">
        <f t="shared" si="88"/>
        <v>-0.28139695164871015</v>
      </c>
      <c r="L212" s="87">
        <f t="shared" si="89"/>
        <v>5.7287622091631143E-2</v>
      </c>
      <c r="M212" s="86">
        <f t="shared" si="90"/>
        <v>-0.13888855859634811</v>
      </c>
      <c r="N212" s="87">
        <f t="shared" si="91"/>
        <v>0.25305691808869529</v>
      </c>
      <c r="O212" s="86">
        <f t="shared" si="92"/>
        <v>-0.44134463178248173</v>
      </c>
      <c r="P212" s="87">
        <f t="shared" si="93"/>
        <v>8.6395719395943385E-2</v>
      </c>
      <c r="Q212" s="86">
        <f t="shared" si="94"/>
        <v>-0.2813969516487102</v>
      </c>
      <c r="R212" s="85">
        <f t="shared" si="95"/>
        <v>-0.33746190416570154</v>
      </c>
    </row>
    <row r="213" spans="2:18">
      <c r="B213" s="83"/>
      <c r="C213" s="84">
        <v>18</v>
      </c>
      <c r="D213" s="84">
        <v>160</v>
      </c>
      <c r="E213" s="84">
        <v>1.08575</v>
      </c>
      <c r="F213" s="78"/>
      <c r="G213" s="85">
        <f t="shared" si="84"/>
        <v>0.43413227845984947</v>
      </c>
      <c r="H213" s="86">
        <f t="shared" si="85"/>
        <v>-8.3333333333333315E-2</v>
      </c>
      <c r="I213" s="85">
        <f t="shared" si="86"/>
        <v>-0.30851063829787234</v>
      </c>
      <c r="J213" s="85">
        <f t="shared" si="87"/>
        <v>1.292775665399315E-3</v>
      </c>
      <c r="K213" s="86">
        <f t="shared" si="88"/>
        <v>-0.26140349163198873</v>
      </c>
      <c r="L213" s="87">
        <f t="shared" si="89"/>
        <v>9.3031862131108881E-2</v>
      </c>
      <c r="M213" s="86">
        <f t="shared" si="90"/>
        <v>-0.11889509857962668</v>
      </c>
      <c r="N213" s="87">
        <f t="shared" si="91"/>
        <v>0.28880115812817303</v>
      </c>
      <c r="O213" s="86">
        <f t="shared" si="92"/>
        <v>-0.44134463178248173</v>
      </c>
      <c r="P213" s="87">
        <f t="shared" si="93"/>
        <v>0.12577847159846017</v>
      </c>
      <c r="Q213" s="86">
        <f t="shared" si="94"/>
        <v>-0.26140349163198878</v>
      </c>
      <c r="R213" s="85">
        <f t="shared" si="95"/>
        <v>-0.34110041632874061</v>
      </c>
    </row>
    <row r="214" spans="2:18">
      <c r="B214" s="83"/>
      <c r="C214" s="84">
        <v>18</v>
      </c>
      <c r="D214" s="84">
        <v>176</v>
      </c>
      <c r="E214" s="84">
        <v>1.1715</v>
      </c>
      <c r="F214" s="78"/>
      <c r="G214" s="85">
        <f t="shared" si="84"/>
        <v>0.47931048583598063</v>
      </c>
      <c r="H214" s="86">
        <f t="shared" si="85"/>
        <v>-8.3333333333333315E-2</v>
      </c>
      <c r="I214" s="85">
        <f t="shared" si="86"/>
        <v>-0.28723404255319152</v>
      </c>
      <c r="J214" s="85">
        <f t="shared" si="87"/>
        <v>5.3460076045627414E-2</v>
      </c>
      <c r="K214" s="86">
        <f t="shared" si="88"/>
        <v>-0.24141003161526722</v>
      </c>
      <c r="L214" s="87">
        <f t="shared" si="89"/>
        <v>0.13457155734420101</v>
      </c>
      <c r="M214" s="86">
        <f t="shared" si="90"/>
        <v>-9.8901638562905209E-2</v>
      </c>
      <c r="N214" s="87">
        <f t="shared" si="91"/>
        <v>0.33034085334126512</v>
      </c>
      <c r="O214" s="86">
        <f t="shared" si="92"/>
        <v>-0.44134463178248173</v>
      </c>
      <c r="P214" s="87">
        <f t="shared" si="93"/>
        <v>0.1709566789745913</v>
      </c>
      <c r="Q214" s="86">
        <f t="shared" si="94"/>
        <v>-0.24141003161526728</v>
      </c>
      <c r="R214" s="85">
        <f t="shared" si="95"/>
        <v>-0.34473892849177962</v>
      </c>
    </row>
    <row r="215" spans="2:18">
      <c r="B215" s="83"/>
      <c r="C215" s="84">
        <v>18</v>
      </c>
      <c r="D215" s="84">
        <v>192</v>
      </c>
      <c r="E215" s="84">
        <v>1.2542500000000001</v>
      </c>
      <c r="F215" s="78"/>
      <c r="G215" s="85">
        <f t="shared" si="84"/>
        <v>0.52290811452839892</v>
      </c>
      <c r="H215" s="86">
        <f t="shared" si="85"/>
        <v>-8.3333333333333315E-2</v>
      </c>
      <c r="I215" s="85">
        <f t="shared" si="86"/>
        <v>-0.26595744680851063</v>
      </c>
      <c r="J215" s="85">
        <f t="shared" si="87"/>
        <v>0.10380228136882141</v>
      </c>
      <c r="K215" s="86">
        <f t="shared" si="88"/>
        <v>-0.22141657159854577</v>
      </c>
      <c r="L215" s="87">
        <f t="shared" si="89"/>
        <v>0.17453067387358018</v>
      </c>
      <c r="M215" s="86">
        <f t="shared" si="90"/>
        <v>-7.8908178546183746E-2</v>
      </c>
      <c r="N215" s="87">
        <f t="shared" si="91"/>
        <v>0.37029996987064429</v>
      </c>
      <c r="O215" s="86">
        <f t="shared" si="92"/>
        <v>-0.44134463178248173</v>
      </c>
      <c r="P215" s="87">
        <f t="shared" si="93"/>
        <v>0.2145543076670095</v>
      </c>
      <c r="Q215" s="86">
        <f t="shared" si="94"/>
        <v>-0.22141657159854583</v>
      </c>
      <c r="R215" s="85">
        <f t="shared" si="95"/>
        <v>-0.34837744065481868</v>
      </c>
    </row>
    <row r="216" spans="2:18">
      <c r="B216" s="83"/>
      <c r="C216" s="84">
        <v>18</v>
      </c>
      <c r="D216" s="84">
        <v>208</v>
      </c>
      <c r="E216" s="84">
        <v>1.2802500000000001</v>
      </c>
      <c r="F216" s="78"/>
      <c r="G216" s="85">
        <f t="shared" si="84"/>
        <v>0.53660646312057858</v>
      </c>
      <c r="H216" s="86">
        <f t="shared" si="85"/>
        <v>-8.3333333333333315E-2</v>
      </c>
      <c r="I216" s="85">
        <f t="shared" si="86"/>
        <v>-0.24468085106382981</v>
      </c>
      <c r="J216" s="85">
        <f t="shared" si="87"/>
        <v>0.11961977186311801</v>
      </c>
      <c r="K216" s="86">
        <f t="shared" si="88"/>
        <v>-0.2014231115818243</v>
      </c>
      <c r="L216" s="87">
        <f t="shared" si="89"/>
        <v>0.18459051030272089</v>
      </c>
      <c r="M216" s="86">
        <f t="shared" si="90"/>
        <v>-5.8914718529462298E-2</v>
      </c>
      <c r="N216" s="87">
        <f t="shared" si="91"/>
        <v>0.380359806299785</v>
      </c>
      <c r="O216" s="86">
        <f t="shared" si="92"/>
        <v>-0.44134463178248173</v>
      </c>
      <c r="P216" s="87">
        <f t="shared" si="93"/>
        <v>0.22825265625918922</v>
      </c>
      <c r="Q216" s="86">
        <f t="shared" si="94"/>
        <v>-0.20142311158182438</v>
      </c>
      <c r="R216" s="85">
        <f t="shared" si="95"/>
        <v>-0.35201595281785769</v>
      </c>
    </row>
    <row r="217" spans="2:18">
      <c r="B217" s="83"/>
      <c r="C217" s="84">
        <v>18</v>
      </c>
      <c r="D217" s="84">
        <v>224</v>
      </c>
      <c r="E217" s="84">
        <v>1.375</v>
      </c>
      <c r="F217" s="78"/>
      <c r="G217" s="85">
        <f t="shared" si="84"/>
        <v>0.58652640654784882</v>
      </c>
      <c r="H217" s="86">
        <f t="shared" si="85"/>
        <v>-8.3333333333333315E-2</v>
      </c>
      <c r="I217" s="85">
        <f t="shared" si="86"/>
        <v>-0.22340425531914893</v>
      </c>
      <c r="J217" s="85">
        <f t="shared" si="87"/>
        <v>0.17726235741444873</v>
      </c>
      <c r="K217" s="86">
        <f t="shared" si="88"/>
        <v>-0.18142965156510282</v>
      </c>
      <c r="L217" s="87">
        <f t="shared" si="89"/>
        <v>0.23087194156695209</v>
      </c>
      <c r="M217" s="86">
        <f t="shared" si="90"/>
        <v>-3.8921258512740815E-2</v>
      </c>
      <c r="N217" s="87">
        <f t="shared" si="91"/>
        <v>0.42664123756401623</v>
      </c>
      <c r="O217" s="86">
        <f t="shared" si="92"/>
        <v>-0.44134463178248173</v>
      </c>
      <c r="P217" s="87">
        <f t="shared" si="93"/>
        <v>0.27817259968645947</v>
      </c>
      <c r="Q217" s="86">
        <f t="shared" si="94"/>
        <v>-0.18142965156510291</v>
      </c>
      <c r="R217" s="85">
        <f t="shared" si="95"/>
        <v>-0.3556544649808967</v>
      </c>
    </row>
    <row r="218" spans="2:18">
      <c r="B218" s="83"/>
      <c r="C218" s="84">
        <v>18</v>
      </c>
      <c r="D218" s="84">
        <v>240</v>
      </c>
      <c r="E218" s="84">
        <v>1.4977499999999999</v>
      </c>
      <c r="F218" s="78"/>
      <c r="G218" s="85">
        <f t="shared" si="84"/>
        <v>0.65119841768977416</v>
      </c>
      <c r="H218" s="86">
        <f t="shared" si="85"/>
        <v>-8.3333333333333315E-2</v>
      </c>
      <c r="I218" s="85">
        <f t="shared" si="86"/>
        <v>-0.2021276595744681</v>
      </c>
      <c r="J218" s="85">
        <f t="shared" si="87"/>
        <v>0.25193916349809886</v>
      </c>
      <c r="K218" s="86">
        <f t="shared" si="88"/>
        <v>-0.1614361915483814</v>
      </c>
      <c r="L218" s="87">
        <f t="shared" si="89"/>
        <v>0.29190544054583839</v>
      </c>
      <c r="M218" s="86">
        <f t="shared" si="90"/>
        <v>-1.8927798496019384E-2</v>
      </c>
      <c r="N218" s="87">
        <f t="shared" si="91"/>
        <v>0.4876747365429025</v>
      </c>
      <c r="O218" s="86">
        <f t="shared" si="92"/>
        <v>-0.44134463178248168</v>
      </c>
      <c r="P218" s="87">
        <f t="shared" si="93"/>
        <v>0.3428446108283848</v>
      </c>
      <c r="Q218" s="86">
        <f t="shared" si="94"/>
        <v>-0.16143619154838149</v>
      </c>
      <c r="R218" s="85">
        <f t="shared" si="95"/>
        <v>-0.35929297714393577</v>
      </c>
    </row>
    <row r="219" spans="2:18">
      <c r="B219" s="83"/>
      <c r="C219" s="84">
        <v>18</v>
      </c>
      <c r="D219" s="84">
        <v>256</v>
      </c>
      <c r="E219" s="84">
        <v>1.61975</v>
      </c>
      <c r="F219" s="78"/>
      <c r="G219" s="85">
        <f t="shared" si="84"/>
        <v>0.71547528416077122</v>
      </c>
      <c r="H219" s="86">
        <f t="shared" si="85"/>
        <v>-8.3333333333333315E-2</v>
      </c>
      <c r="I219" s="85">
        <f t="shared" si="86"/>
        <v>-0.18085106382978722</v>
      </c>
      <c r="J219" s="85">
        <f t="shared" si="87"/>
        <v>0.32615969581749049</v>
      </c>
      <c r="K219" s="86">
        <f t="shared" si="88"/>
        <v>-0.14144273153165993</v>
      </c>
      <c r="L219" s="87">
        <f t="shared" si="89"/>
        <v>0.3525437948537965</v>
      </c>
      <c r="M219" s="86">
        <f t="shared" si="90"/>
        <v>1.0656615207021002E-3</v>
      </c>
      <c r="N219" s="87">
        <f t="shared" si="91"/>
        <v>0.54831309085086066</v>
      </c>
      <c r="O219" s="86">
        <f t="shared" si="92"/>
        <v>-0.44134463178248168</v>
      </c>
      <c r="P219" s="87">
        <f t="shared" si="93"/>
        <v>0.40712147729938197</v>
      </c>
      <c r="Q219" s="86">
        <f t="shared" si="94"/>
        <v>-0.14144273153166001</v>
      </c>
      <c r="R219" s="85">
        <f t="shared" si="95"/>
        <v>-0.36293148930697477</v>
      </c>
    </row>
    <row r="220" spans="2:18">
      <c r="B220" s="83"/>
      <c r="C220" s="84">
        <v>21</v>
      </c>
      <c r="D220" s="84">
        <v>16</v>
      </c>
      <c r="E220" s="84">
        <v>0.29275000000000001</v>
      </c>
      <c r="F220" s="78"/>
      <c r="G220" s="85">
        <f t="shared" si="84"/>
        <v>1.6332646398368122E-2</v>
      </c>
      <c r="H220" s="86">
        <f t="shared" si="85"/>
        <v>0</v>
      </c>
      <c r="I220" s="85">
        <f t="shared" si="86"/>
        <v>-0.5</v>
      </c>
      <c r="J220" s="85">
        <f t="shared" si="87"/>
        <v>-0.48114068441064639</v>
      </c>
      <c r="K220" s="86">
        <f t="shared" si="88"/>
        <v>-0.46984631039295421</v>
      </c>
      <c r="L220" s="87">
        <f t="shared" si="89"/>
        <v>-0.33117501966243401</v>
      </c>
      <c r="M220" s="86">
        <f t="shared" si="90"/>
        <v>-0.29883623873011983</v>
      </c>
      <c r="N220" s="87">
        <f t="shared" si="91"/>
        <v>-9.6251864465957071E-2</v>
      </c>
      <c r="O220" s="86">
        <f t="shared" si="92"/>
        <v>-0.46984631039295421</v>
      </c>
      <c r="P220" s="87">
        <f t="shared" si="93"/>
        <v>-0.33117501966243401</v>
      </c>
      <c r="Q220" s="86">
        <f t="shared" si="94"/>
        <v>-0.46984631039295421</v>
      </c>
      <c r="R220" s="85">
        <f t="shared" si="95"/>
        <v>-0.34750766606080213</v>
      </c>
    </row>
    <row r="221" spans="2:18">
      <c r="B221" s="83"/>
      <c r="C221" s="84">
        <v>21</v>
      </c>
      <c r="D221" s="84">
        <v>32</v>
      </c>
      <c r="E221" s="84">
        <v>0.45100000000000001</v>
      </c>
      <c r="F221" s="78"/>
      <c r="G221" s="85">
        <f t="shared" si="84"/>
        <v>9.9708171964231207E-2</v>
      </c>
      <c r="H221" s="86">
        <f t="shared" si="85"/>
        <v>0</v>
      </c>
      <c r="I221" s="85">
        <f t="shared" si="86"/>
        <v>-0.47872340425531917</v>
      </c>
      <c r="J221" s="85">
        <f t="shared" si="87"/>
        <v>-0.38486692015209123</v>
      </c>
      <c r="K221" s="86">
        <f t="shared" si="88"/>
        <v>-0.44985285037623279</v>
      </c>
      <c r="L221" s="87">
        <f t="shared" si="89"/>
        <v>-0.25143800625960994</v>
      </c>
      <c r="M221" s="86">
        <f t="shared" si="90"/>
        <v>-0.27884277871339841</v>
      </c>
      <c r="N221" s="87">
        <f t="shared" si="91"/>
        <v>-1.6514851063132996E-2</v>
      </c>
      <c r="O221" s="86">
        <f t="shared" si="92"/>
        <v>-0.46984631039295421</v>
      </c>
      <c r="P221" s="87">
        <f t="shared" si="93"/>
        <v>-0.24779949409657093</v>
      </c>
      <c r="Q221" s="86">
        <f t="shared" si="94"/>
        <v>-0.44985285037623279</v>
      </c>
      <c r="R221" s="85">
        <f t="shared" si="95"/>
        <v>-0.35114617822384114</v>
      </c>
    </row>
    <row r="222" spans="2:18">
      <c r="B222" s="83"/>
      <c r="C222" s="84">
        <v>21</v>
      </c>
      <c r="D222" s="84">
        <v>48</v>
      </c>
      <c r="E222" s="84">
        <v>0.68300000000000005</v>
      </c>
      <c r="F222" s="78"/>
      <c r="G222" s="85">
        <f t="shared" ref="G222:G253" si="96">D$19*(L222-R222)</f>
        <v>0.22193959017137332</v>
      </c>
      <c r="H222" s="86">
        <f t="shared" ref="H222:H253" si="97">(C222-H$16)/H$17-0.5</f>
        <v>0</v>
      </c>
      <c r="I222" s="85">
        <f t="shared" ref="I222:I253" si="98">(D222-I$16)/I$17-0.5</f>
        <v>-0.45744680851063829</v>
      </c>
      <c r="J222" s="85">
        <f t="shared" ref="J222:J253" si="99">(E222-J$16)/J$17-0.5</f>
        <v>-0.24372623574144481</v>
      </c>
      <c r="K222" s="86">
        <f t="shared" ref="K222:K253" si="100">(H222*$H$13+I222*$I$13+J222*$J$13+$D$27)*$C$27</f>
        <v>-0.42985939035951132</v>
      </c>
      <c r="L222" s="87">
        <f t="shared" ref="L222:L253" si="101">(H222*$H$14+I222*$I$14+J222*$J$14+$E$27)*$C$27</f>
        <v>-0.13284510021550688</v>
      </c>
      <c r="M222" s="86">
        <f t="shared" ref="M222:M253" si="102">(H$27*$H$13+I222*$I$13+J222*$J$13+$D$27)*$C$27</f>
        <v>-0.25884931869667688</v>
      </c>
      <c r="N222" s="87">
        <f t="shared" ref="N222:N253" si="103">(H$27*$H$14+I222*$I$14+J222*$J$14+$E$27)*$C$27</f>
        <v>0.10207805498097006</v>
      </c>
      <c r="O222" s="86">
        <f t="shared" ref="O222:O253" si="104">(H222*$H$13+I$27*$I$13+J222*$J$13+$D$27)*$C$27</f>
        <v>-0.46984631039295421</v>
      </c>
      <c r="P222" s="87">
        <f t="shared" ref="P222:P253" si="105">(H222*$H$14+I$27*$I$14+J222*$J$14+$E$27)*$C$27</f>
        <v>-0.12556807588942881</v>
      </c>
      <c r="Q222" s="86">
        <f t="shared" ref="Q222:Q253" si="106">(H222*$H$13+I222*$I$13+J$27*$J$13+$D$27)*$C$27</f>
        <v>-0.42985939035951132</v>
      </c>
      <c r="R222" s="85">
        <f t="shared" ref="R222:R253" si="107">(H222*$H$14+I222*$I$14+J$27*$J$14+$E$27)*$C$27</f>
        <v>-0.35478469038688021</v>
      </c>
    </row>
    <row r="223" spans="2:18">
      <c r="B223" s="83"/>
      <c r="C223" s="84">
        <v>21</v>
      </c>
      <c r="D223" s="84">
        <v>64</v>
      </c>
      <c r="E223" s="84">
        <v>0.73299999999999998</v>
      </c>
      <c r="F223" s="78"/>
      <c r="G223" s="85">
        <f t="shared" si="96"/>
        <v>0.24828256823325731</v>
      </c>
      <c r="H223" s="86">
        <f t="shared" si="97"/>
        <v>0</v>
      </c>
      <c r="I223" s="85">
        <f t="shared" si="98"/>
        <v>-0.43617021276595747</v>
      </c>
      <c r="J223" s="85">
        <f t="shared" si="99"/>
        <v>-0.21330798479087454</v>
      </c>
      <c r="K223" s="86">
        <f t="shared" si="100"/>
        <v>-0.40986593034278984</v>
      </c>
      <c r="L223" s="87">
        <f t="shared" si="101"/>
        <v>-0.11014063431666191</v>
      </c>
      <c r="M223" s="86">
        <f t="shared" si="102"/>
        <v>-0.23885585867995546</v>
      </c>
      <c r="N223" s="87">
        <f t="shared" si="103"/>
        <v>0.12478252087981503</v>
      </c>
      <c r="O223" s="86">
        <f t="shared" si="104"/>
        <v>-0.46984631039295416</v>
      </c>
      <c r="P223" s="87">
        <f t="shared" si="105"/>
        <v>-9.9225097827544823E-2</v>
      </c>
      <c r="Q223" s="86">
        <f t="shared" si="106"/>
        <v>-0.4098659303427899</v>
      </c>
      <c r="R223" s="85">
        <f t="shared" si="107"/>
        <v>-0.35842320254991922</v>
      </c>
    </row>
    <row r="224" spans="2:18">
      <c r="B224" s="83"/>
      <c r="C224" s="84">
        <v>21</v>
      </c>
      <c r="D224" s="84">
        <v>80</v>
      </c>
      <c r="E224" s="84">
        <v>0.86775000000000002</v>
      </c>
      <c r="F224" s="78"/>
      <c r="G224" s="85">
        <f t="shared" si="96"/>
        <v>0.3192768941100349</v>
      </c>
      <c r="H224" s="86">
        <f t="shared" si="97"/>
        <v>0</v>
      </c>
      <c r="I224" s="85">
        <f t="shared" si="98"/>
        <v>-0.41489361702127658</v>
      </c>
      <c r="J224" s="85">
        <f t="shared" si="99"/>
        <v>-0.13133079847908741</v>
      </c>
      <c r="K224" s="86">
        <f t="shared" si="100"/>
        <v>-0.38987247032606831</v>
      </c>
      <c r="L224" s="87">
        <f t="shared" si="101"/>
        <v>-4.2784820602923324E-2</v>
      </c>
      <c r="M224" s="86">
        <f t="shared" si="102"/>
        <v>-0.21886239866323393</v>
      </c>
      <c r="N224" s="87">
        <f t="shared" si="103"/>
        <v>0.19213833459355364</v>
      </c>
      <c r="O224" s="86">
        <f t="shared" si="104"/>
        <v>-0.46984631039295416</v>
      </c>
      <c r="P224" s="87">
        <f t="shared" si="105"/>
        <v>-2.8230771950767203E-2</v>
      </c>
      <c r="Q224" s="86">
        <f t="shared" si="106"/>
        <v>-0.38987247032606837</v>
      </c>
      <c r="R224" s="85">
        <f t="shared" si="107"/>
        <v>-0.36206171471295823</v>
      </c>
    </row>
    <row r="225" spans="2:18">
      <c r="B225" s="83"/>
      <c r="C225" s="84">
        <v>21</v>
      </c>
      <c r="D225" s="84">
        <v>96</v>
      </c>
      <c r="E225" s="84">
        <v>0.98575000000000002</v>
      </c>
      <c r="F225" s="78"/>
      <c r="G225" s="85">
        <f t="shared" si="96"/>
        <v>0.38144632233608133</v>
      </c>
      <c r="H225" s="86">
        <f t="shared" si="97"/>
        <v>0</v>
      </c>
      <c r="I225" s="85">
        <f t="shared" si="98"/>
        <v>-0.39361702127659576</v>
      </c>
      <c r="J225" s="85">
        <f t="shared" si="99"/>
        <v>-5.9543726235741445E-2</v>
      </c>
      <c r="K225" s="86">
        <f t="shared" si="100"/>
        <v>-0.36987901030934689</v>
      </c>
      <c r="L225" s="87">
        <f t="shared" si="101"/>
        <v>1.5746095460084014E-2</v>
      </c>
      <c r="M225" s="86">
        <f t="shared" si="102"/>
        <v>-0.19886893864651248</v>
      </c>
      <c r="N225" s="87">
        <f t="shared" si="103"/>
        <v>0.25066925065656093</v>
      </c>
      <c r="O225" s="86">
        <f t="shared" si="104"/>
        <v>-0.46984631039295416</v>
      </c>
      <c r="P225" s="87">
        <f t="shared" si="105"/>
        <v>3.3938656275279158E-2</v>
      </c>
      <c r="Q225" s="86">
        <f t="shared" si="106"/>
        <v>-0.36987901030934695</v>
      </c>
      <c r="R225" s="85">
        <f t="shared" si="107"/>
        <v>-0.36570022687599729</v>
      </c>
    </row>
    <row r="226" spans="2:18">
      <c r="B226" s="83"/>
      <c r="C226" s="84">
        <v>21</v>
      </c>
      <c r="D226" s="84">
        <v>112</v>
      </c>
      <c r="E226" s="84">
        <v>1.081</v>
      </c>
      <c r="F226" s="78"/>
      <c r="G226" s="85">
        <f t="shared" si="96"/>
        <v>0.4316296955439704</v>
      </c>
      <c r="H226" s="86">
        <f t="shared" si="97"/>
        <v>0</v>
      </c>
      <c r="I226" s="85">
        <f t="shared" si="98"/>
        <v>-0.37234042553191493</v>
      </c>
      <c r="J226" s="85">
        <f t="shared" si="99"/>
        <v>-1.5969581749049611E-3</v>
      </c>
      <c r="K226" s="86">
        <f t="shared" si="100"/>
        <v>-0.34988555029262547</v>
      </c>
      <c r="L226" s="87">
        <f t="shared" si="101"/>
        <v>6.229095650493411E-2</v>
      </c>
      <c r="M226" s="86">
        <f t="shared" si="102"/>
        <v>-0.17887547862979106</v>
      </c>
      <c r="N226" s="87">
        <f t="shared" si="103"/>
        <v>0.29721411170141104</v>
      </c>
      <c r="O226" s="86">
        <f t="shared" si="104"/>
        <v>-0.46984631039295416</v>
      </c>
      <c r="P226" s="87">
        <f t="shared" si="105"/>
        <v>8.4122029483168284E-2</v>
      </c>
      <c r="Q226" s="86">
        <f t="shared" si="106"/>
        <v>-0.34988555029262552</v>
      </c>
      <c r="R226" s="85">
        <f t="shared" si="107"/>
        <v>-0.3693387390390363</v>
      </c>
    </row>
    <row r="227" spans="2:18">
      <c r="B227" s="83"/>
      <c r="C227" s="84">
        <v>21</v>
      </c>
      <c r="D227" s="84">
        <v>128</v>
      </c>
      <c r="E227" s="84">
        <v>1.1220000000000001</v>
      </c>
      <c r="F227" s="78"/>
      <c r="G227" s="85">
        <f t="shared" si="96"/>
        <v>0.4532309375547155</v>
      </c>
      <c r="H227" s="86">
        <f t="shared" si="97"/>
        <v>0</v>
      </c>
      <c r="I227" s="85">
        <f t="shared" si="98"/>
        <v>-0.35106382978723405</v>
      </c>
      <c r="J227" s="85">
        <f t="shared" si="99"/>
        <v>2.3346007604562846E-2</v>
      </c>
      <c r="K227" s="86">
        <f t="shared" si="100"/>
        <v>-0.32989209027590399</v>
      </c>
      <c r="L227" s="87">
        <f t="shared" si="101"/>
        <v>8.025368635264013E-2</v>
      </c>
      <c r="M227" s="86">
        <f t="shared" si="102"/>
        <v>-0.15888201861306958</v>
      </c>
      <c r="N227" s="87">
        <f t="shared" si="103"/>
        <v>0.31517684154911707</v>
      </c>
      <c r="O227" s="86">
        <f t="shared" si="104"/>
        <v>-0.46984631039295416</v>
      </c>
      <c r="P227" s="87">
        <f t="shared" si="105"/>
        <v>0.10572327149391333</v>
      </c>
      <c r="Q227" s="86">
        <f t="shared" si="106"/>
        <v>-0.32989209027590405</v>
      </c>
      <c r="R227" s="85">
        <f t="shared" si="107"/>
        <v>-0.37297725120207537</v>
      </c>
    </row>
    <row r="228" spans="2:18">
      <c r="B228" s="83"/>
      <c r="C228" s="84">
        <v>21</v>
      </c>
      <c r="D228" s="84">
        <v>144</v>
      </c>
      <c r="E228" s="84">
        <v>1.1127499999999999</v>
      </c>
      <c r="F228" s="78"/>
      <c r="G228" s="85">
        <f t="shared" si="96"/>
        <v>0.4483574866132668</v>
      </c>
      <c r="H228" s="86">
        <f t="shared" si="97"/>
        <v>0</v>
      </c>
      <c r="I228" s="85">
        <f t="shared" si="98"/>
        <v>-0.32978723404255317</v>
      </c>
      <c r="J228" s="85">
        <f t="shared" si="99"/>
        <v>1.77186311787072E-2</v>
      </c>
      <c r="K228" s="86">
        <f t="shared" si="100"/>
        <v>-0.30989863025918252</v>
      </c>
      <c r="L228" s="87">
        <f t="shared" si="101"/>
        <v>7.1741723248152423E-2</v>
      </c>
      <c r="M228" s="86">
        <f t="shared" si="102"/>
        <v>-0.13888855859634811</v>
      </c>
      <c r="N228" s="87">
        <f t="shared" si="103"/>
        <v>0.30666487844462936</v>
      </c>
      <c r="O228" s="86">
        <f t="shared" si="104"/>
        <v>-0.46984631039295416</v>
      </c>
      <c r="P228" s="87">
        <f t="shared" si="105"/>
        <v>0.10084982055246466</v>
      </c>
      <c r="Q228" s="86">
        <f t="shared" si="106"/>
        <v>-0.30989863025918257</v>
      </c>
      <c r="R228" s="85">
        <f t="shared" si="107"/>
        <v>-0.37661576336511438</v>
      </c>
    </row>
    <row r="229" spans="2:18">
      <c r="B229" s="83"/>
      <c r="C229" s="84">
        <v>21</v>
      </c>
      <c r="D229" s="84">
        <v>160</v>
      </c>
      <c r="E229" s="84">
        <v>1.2110000000000001</v>
      </c>
      <c r="F229" s="78"/>
      <c r="G229" s="85">
        <f t="shared" si="96"/>
        <v>0.50012143850486912</v>
      </c>
      <c r="H229" s="86">
        <f t="shared" si="97"/>
        <v>0</v>
      </c>
      <c r="I229" s="85">
        <f t="shared" si="98"/>
        <v>-0.30851063829787234</v>
      </c>
      <c r="J229" s="85">
        <f t="shared" si="99"/>
        <v>7.7490494296578061E-2</v>
      </c>
      <c r="K229" s="86">
        <f t="shared" si="100"/>
        <v>-0.2899051702424611</v>
      </c>
      <c r="L229" s="87">
        <f t="shared" si="101"/>
        <v>0.11986716297671571</v>
      </c>
      <c r="M229" s="86">
        <f t="shared" si="102"/>
        <v>-0.11889509857962667</v>
      </c>
      <c r="N229" s="87">
        <f t="shared" si="103"/>
        <v>0.35479031817319268</v>
      </c>
      <c r="O229" s="86">
        <f t="shared" si="104"/>
        <v>-0.46984631039295416</v>
      </c>
      <c r="P229" s="87">
        <f t="shared" si="105"/>
        <v>0.15261377244406699</v>
      </c>
      <c r="Q229" s="86">
        <f t="shared" si="106"/>
        <v>-0.28990517024246115</v>
      </c>
      <c r="R229" s="85">
        <f t="shared" si="107"/>
        <v>-0.38025427552815338</v>
      </c>
    </row>
    <row r="230" spans="2:18">
      <c r="B230" s="83"/>
      <c r="C230" s="84">
        <v>21</v>
      </c>
      <c r="D230" s="84">
        <v>176</v>
      </c>
      <c r="E230" s="84">
        <v>1.3129999999999999</v>
      </c>
      <c r="F230" s="78"/>
      <c r="G230" s="85">
        <f t="shared" si="96"/>
        <v>0.55386111375111247</v>
      </c>
      <c r="H230" s="86">
        <f t="shared" si="97"/>
        <v>0</v>
      </c>
      <c r="I230" s="85">
        <f t="shared" si="98"/>
        <v>-0.28723404255319152</v>
      </c>
      <c r="J230" s="85">
        <f t="shared" si="99"/>
        <v>0.13954372623574141</v>
      </c>
      <c r="K230" s="86">
        <f t="shared" si="100"/>
        <v>-0.26991171022573962</v>
      </c>
      <c r="L230" s="87">
        <f t="shared" si="101"/>
        <v>0.16996832605992004</v>
      </c>
      <c r="M230" s="86">
        <f t="shared" si="102"/>
        <v>-9.8901638562905195E-2</v>
      </c>
      <c r="N230" s="87">
        <f t="shared" si="103"/>
        <v>0.40489148125639696</v>
      </c>
      <c r="O230" s="86">
        <f t="shared" si="104"/>
        <v>-0.46984631039295416</v>
      </c>
      <c r="P230" s="87">
        <f t="shared" si="105"/>
        <v>0.20635344769031033</v>
      </c>
      <c r="Q230" s="86">
        <f t="shared" si="106"/>
        <v>-0.26991171022573968</v>
      </c>
      <c r="R230" s="85">
        <f t="shared" si="107"/>
        <v>-0.38389278769119245</v>
      </c>
    </row>
    <row r="231" spans="2:18">
      <c r="B231" s="83"/>
      <c r="C231" s="84">
        <v>21</v>
      </c>
      <c r="D231" s="84">
        <v>192</v>
      </c>
      <c r="E231" s="84">
        <v>1.41875</v>
      </c>
      <c r="F231" s="78"/>
      <c r="G231" s="85">
        <f t="shared" si="96"/>
        <v>0.60957651235199728</v>
      </c>
      <c r="H231" s="86">
        <f t="shared" si="97"/>
        <v>0</v>
      </c>
      <c r="I231" s="85">
        <f t="shared" si="98"/>
        <v>-0.26595744680851063</v>
      </c>
      <c r="J231" s="85">
        <f t="shared" si="99"/>
        <v>0.20387832699619768</v>
      </c>
      <c r="K231" s="86">
        <f t="shared" si="100"/>
        <v>-0.24991825020901814</v>
      </c>
      <c r="L231" s="87">
        <f t="shared" si="101"/>
        <v>0.22204521249776582</v>
      </c>
      <c r="M231" s="86">
        <f t="shared" si="102"/>
        <v>-7.8908178546183733E-2</v>
      </c>
      <c r="N231" s="87">
        <f t="shared" si="103"/>
        <v>0.45696836769424276</v>
      </c>
      <c r="O231" s="86">
        <f t="shared" si="104"/>
        <v>-0.46984631039295416</v>
      </c>
      <c r="P231" s="87">
        <f t="shared" si="105"/>
        <v>0.26206884629119515</v>
      </c>
      <c r="Q231" s="86">
        <f t="shared" si="106"/>
        <v>-0.24991825020901823</v>
      </c>
      <c r="R231" s="85">
        <f t="shared" si="107"/>
        <v>-0.38753129985423146</v>
      </c>
    </row>
    <row r="232" spans="2:18">
      <c r="B232" s="83"/>
      <c r="C232" s="84">
        <v>21</v>
      </c>
      <c r="D232" s="84">
        <v>208</v>
      </c>
      <c r="E232" s="84">
        <v>1.4610000000000001</v>
      </c>
      <c r="F232" s="78"/>
      <c r="G232" s="85">
        <f t="shared" si="96"/>
        <v>0.63183632881428942</v>
      </c>
      <c r="H232" s="86">
        <f t="shared" si="97"/>
        <v>0</v>
      </c>
      <c r="I232" s="85">
        <f t="shared" si="98"/>
        <v>-0.24468085106382981</v>
      </c>
      <c r="J232" s="85">
        <f t="shared" si="99"/>
        <v>0.22958174904942974</v>
      </c>
      <c r="K232" s="86">
        <f t="shared" si="100"/>
        <v>-0.2299247901922967</v>
      </c>
      <c r="L232" s="87">
        <f t="shared" si="101"/>
        <v>0.24066651679701892</v>
      </c>
      <c r="M232" s="86">
        <f t="shared" si="102"/>
        <v>-5.8914718529462284E-2</v>
      </c>
      <c r="N232" s="87">
        <f t="shared" si="103"/>
        <v>0.47558967199349583</v>
      </c>
      <c r="O232" s="86">
        <f t="shared" si="104"/>
        <v>-0.4698463103929541</v>
      </c>
      <c r="P232" s="87">
        <f t="shared" si="105"/>
        <v>0.28432866275348728</v>
      </c>
      <c r="Q232" s="86">
        <f t="shared" si="106"/>
        <v>-0.22992479019229678</v>
      </c>
      <c r="R232" s="85">
        <f t="shared" si="107"/>
        <v>-0.39116981201727052</v>
      </c>
    </row>
    <row r="233" spans="2:18">
      <c r="B233" s="83"/>
      <c r="C233" s="84">
        <v>24</v>
      </c>
      <c r="D233" s="84">
        <v>16</v>
      </c>
      <c r="E233" s="84">
        <v>0.3085</v>
      </c>
      <c r="F233" s="78"/>
      <c r="G233" s="85">
        <f t="shared" si="96"/>
        <v>2.4630684487861598E-2</v>
      </c>
      <c r="H233" s="86">
        <f t="shared" si="97"/>
        <v>8.333333333333337E-2</v>
      </c>
      <c r="I233" s="85">
        <f t="shared" si="98"/>
        <v>-0.5</v>
      </c>
      <c r="J233" s="85">
        <f t="shared" si="99"/>
        <v>-0.47155893536121674</v>
      </c>
      <c r="K233" s="86">
        <f t="shared" si="100"/>
        <v>-0.49834798900342664</v>
      </c>
      <c r="L233" s="87">
        <f t="shared" si="101"/>
        <v>-0.36203084077235337</v>
      </c>
      <c r="M233" s="86">
        <f t="shared" si="102"/>
        <v>-0.29883623873011983</v>
      </c>
      <c r="N233" s="87">
        <f t="shared" si="103"/>
        <v>-8.7953826376463595E-2</v>
      </c>
      <c r="O233" s="86">
        <f t="shared" si="104"/>
        <v>-0.49834798900342664</v>
      </c>
      <c r="P233" s="87">
        <f t="shared" si="105"/>
        <v>-0.36203084077235337</v>
      </c>
      <c r="Q233" s="86">
        <f t="shared" si="106"/>
        <v>-0.49834798900342664</v>
      </c>
      <c r="R233" s="85">
        <f t="shared" si="107"/>
        <v>-0.38666152526021497</v>
      </c>
    </row>
    <row r="234" spans="2:18">
      <c r="B234" s="83"/>
      <c r="C234" s="84">
        <v>24</v>
      </c>
      <c r="D234" s="84">
        <v>32</v>
      </c>
      <c r="E234" s="84">
        <v>0.51100000000000001</v>
      </c>
      <c r="F234" s="78"/>
      <c r="G234" s="85">
        <f t="shared" si="96"/>
        <v>0.13131974563849208</v>
      </c>
      <c r="H234" s="86">
        <f t="shared" si="97"/>
        <v>8.333333333333337E-2</v>
      </c>
      <c r="I234" s="85">
        <f t="shared" si="98"/>
        <v>-0.47872340425531917</v>
      </c>
      <c r="J234" s="85">
        <f t="shared" si="99"/>
        <v>-0.34836501901140682</v>
      </c>
      <c r="K234" s="86">
        <f t="shared" si="100"/>
        <v>-0.47835452898670522</v>
      </c>
      <c r="L234" s="87">
        <f t="shared" si="101"/>
        <v>-0.2589802917847619</v>
      </c>
      <c r="M234" s="86">
        <f t="shared" si="102"/>
        <v>-0.27884277871339841</v>
      </c>
      <c r="N234" s="87">
        <f t="shared" si="103"/>
        <v>1.5096722611127877E-2</v>
      </c>
      <c r="O234" s="86">
        <f t="shared" si="104"/>
        <v>-0.49834798900342664</v>
      </c>
      <c r="P234" s="87">
        <f t="shared" si="105"/>
        <v>-0.25534177962172289</v>
      </c>
      <c r="Q234" s="86">
        <f t="shared" si="106"/>
        <v>-0.47835452898670522</v>
      </c>
      <c r="R234" s="85">
        <f t="shared" si="107"/>
        <v>-0.39030003742325398</v>
      </c>
    </row>
    <row r="235" spans="2:18">
      <c r="B235" s="83"/>
      <c r="C235" s="84">
        <v>24</v>
      </c>
      <c r="D235" s="84">
        <v>48</v>
      </c>
      <c r="E235" s="84">
        <v>0.72124999999999995</v>
      </c>
      <c r="F235" s="78"/>
      <c r="G235" s="85">
        <f t="shared" si="96"/>
        <v>0.24209196838871455</v>
      </c>
      <c r="H235" s="86">
        <f t="shared" si="97"/>
        <v>8.333333333333337E-2</v>
      </c>
      <c r="I235" s="85">
        <f t="shared" si="98"/>
        <v>-0.45744680851063829</v>
      </c>
      <c r="J235" s="85">
        <f t="shared" si="99"/>
        <v>-0.22045627376425858</v>
      </c>
      <c r="K235" s="86">
        <f t="shared" si="100"/>
        <v>-0.45836106896998369</v>
      </c>
      <c r="L235" s="87">
        <f t="shared" si="101"/>
        <v>-0.15184658119757849</v>
      </c>
      <c r="M235" s="86">
        <f t="shared" si="102"/>
        <v>-0.25884931869667682</v>
      </c>
      <c r="N235" s="87">
        <f t="shared" si="103"/>
        <v>0.12223043319831128</v>
      </c>
      <c r="O235" s="86">
        <f t="shared" si="104"/>
        <v>-0.49834798900342658</v>
      </c>
      <c r="P235" s="87">
        <f t="shared" si="105"/>
        <v>-0.14456955687150042</v>
      </c>
      <c r="Q235" s="86">
        <f t="shared" si="106"/>
        <v>-0.45836106896998374</v>
      </c>
      <c r="R235" s="85">
        <f t="shared" si="107"/>
        <v>-0.39393854958629304</v>
      </c>
    </row>
    <row r="236" spans="2:18">
      <c r="B236" s="83"/>
      <c r="C236" s="84">
        <v>24</v>
      </c>
      <c r="D236" s="84">
        <v>64</v>
      </c>
      <c r="E236" s="84">
        <v>0.77800000000000002</v>
      </c>
      <c r="F236" s="78"/>
      <c r="G236" s="85">
        <f t="shared" si="96"/>
        <v>0.27199124848895306</v>
      </c>
      <c r="H236" s="86">
        <f t="shared" si="97"/>
        <v>8.333333333333337E-2</v>
      </c>
      <c r="I236" s="85">
        <f t="shared" si="98"/>
        <v>-0.43617021276595747</v>
      </c>
      <c r="J236" s="85">
        <f t="shared" si="99"/>
        <v>-0.18593155893536117</v>
      </c>
      <c r="K236" s="86">
        <f t="shared" si="100"/>
        <v>-0.43836760895326227</v>
      </c>
      <c r="L236" s="87">
        <f t="shared" si="101"/>
        <v>-0.12558581326037901</v>
      </c>
      <c r="M236" s="86">
        <f t="shared" si="102"/>
        <v>-0.23885585867995546</v>
      </c>
      <c r="N236" s="87">
        <f t="shared" si="103"/>
        <v>0.14849120113551076</v>
      </c>
      <c r="O236" s="86">
        <f t="shared" si="104"/>
        <v>-0.49834798900342658</v>
      </c>
      <c r="P236" s="87">
        <f t="shared" si="105"/>
        <v>-0.11467027677126193</v>
      </c>
      <c r="Q236" s="86">
        <f t="shared" si="106"/>
        <v>-0.43836760895326232</v>
      </c>
      <c r="R236" s="85">
        <f t="shared" si="107"/>
        <v>-0.39757706174933205</v>
      </c>
    </row>
    <row r="237" spans="2:18">
      <c r="B237" s="83"/>
      <c r="C237" s="84">
        <v>24</v>
      </c>
      <c r="D237" s="84">
        <v>80</v>
      </c>
      <c r="E237" s="84">
        <v>1.0169999999999999</v>
      </c>
      <c r="F237" s="78"/>
      <c r="G237" s="85">
        <f t="shared" si="96"/>
        <v>0.39791068362475884</v>
      </c>
      <c r="H237" s="86">
        <f t="shared" si="97"/>
        <v>8.333333333333337E-2</v>
      </c>
      <c r="I237" s="85">
        <f t="shared" si="98"/>
        <v>-0.41489361702127658</v>
      </c>
      <c r="J237" s="85">
        <f t="shared" si="99"/>
        <v>-4.0532319391634986E-2</v>
      </c>
      <c r="K237" s="86">
        <f t="shared" si="100"/>
        <v>-0.41837414893654074</v>
      </c>
      <c r="L237" s="87">
        <f t="shared" si="101"/>
        <v>-3.3048902876122652E-3</v>
      </c>
      <c r="M237" s="86">
        <f t="shared" si="102"/>
        <v>-0.2188623986632339</v>
      </c>
      <c r="N237" s="87">
        <f t="shared" si="103"/>
        <v>0.27077212410827756</v>
      </c>
      <c r="O237" s="86">
        <f t="shared" si="104"/>
        <v>-0.49834798900342658</v>
      </c>
      <c r="P237" s="87">
        <f t="shared" si="105"/>
        <v>1.1249158364543856E-2</v>
      </c>
      <c r="Q237" s="86">
        <f t="shared" si="106"/>
        <v>-0.41837414893654079</v>
      </c>
      <c r="R237" s="85">
        <f t="shared" si="107"/>
        <v>-0.40121557391237112</v>
      </c>
    </row>
    <row r="238" spans="2:18">
      <c r="B238" s="83"/>
      <c r="C238" s="84">
        <v>24</v>
      </c>
      <c r="D238" s="84">
        <v>96</v>
      </c>
      <c r="E238" s="84">
        <v>1.1387499999999999</v>
      </c>
      <c r="F238" s="78"/>
      <c r="G238" s="85">
        <f t="shared" si="96"/>
        <v>0.46205583520544652</v>
      </c>
      <c r="H238" s="86">
        <f t="shared" si="97"/>
        <v>8.333333333333337E-2</v>
      </c>
      <c r="I238" s="85">
        <f t="shared" si="98"/>
        <v>-0.39361702127659576</v>
      </c>
      <c r="J238" s="85">
        <f t="shared" si="99"/>
        <v>3.3536121673003794E-2</v>
      </c>
      <c r="K238" s="86">
        <f t="shared" si="100"/>
        <v>-0.39838068891981931</v>
      </c>
      <c r="L238" s="87">
        <f t="shared" si="101"/>
        <v>5.7201749130036408E-2</v>
      </c>
      <c r="M238" s="86">
        <f t="shared" si="102"/>
        <v>-0.19886893864651248</v>
      </c>
      <c r="N238" s="87">
        <f t="shared" si="103"/>
        <v>0.33127876352592617</v>
      </c>
      <c r="O238" s="86">
        <f t="shared" si="104"/>
        <v>-0.49834798900342658</v>
      </c>
      <c r="P238" s="87">
        <f t="shared" si="105"/>
        <v>7.5394309945231552E-2</v>
      </c>
      <c r="Q238" s="86">
        <f t="shared" si="106"/>
        <v>-0.39838068891981937</v>
      </c>
      <c r="R238" s="85">
        <f t="shared" si="107"/>
        <v>-0.40485408607541012</v>
      </c>
    </row>
    <row r="239" spans="2:18">
      <c r="B239" s="83"/>
      <c r="C239" s="84">
        <v>24</v>
      </c>
      <c r="D239" s="84">
        <v>112</v>
      </c>
      <c r="E239" s="84">
        <v>1.0867500000000001</v>
      </c>
      <c r="F239" s="78"/>
      <c r="G239" s="85">
        <f t="shared" si="96"/>
        <v>0.43465913802108713</v>
      </c>
      <c r="H239" s="86">
        <f t="shared" si="97"/>
        <v>8.333333333333337E-2</v>
      </c>
      <c r="I239" s="85">
        <f t="shared" si="98"/>
        <v>-0.37234042553191493</v>
      </c>
      <c r="J239" s="85">
        <f t="shared" si="99"/>
        <v>1.9011406844107182E-3</v>
      </c>
      <c r="K239" s="86">
        <f t="shared" si="100"/>
        <v>-0.37838722890309789</v>
      </c>
      <c r="L239" s="87">
        <f t="shared" si="101"/>
        <v>2.6166539782638016E-2</v>
      </c>
      <c r="M239" s="86">
        <f t="shared" si="102"/>
        <v>-0.17887547862979106</v>
      </c>
      <c r="N239" s="87">
        <f t="shared" si="103"/>
        <v>0.30024355417852783</v>
      </c>
      <c r="O239" s="86">
        <f t="shared" si="104"/>
        <v>-0.49834798900342658</v>
      </c>
      <c r="P239" s="87">
        <f t="shared" si="105"/>
        <v>4.7997612760872194E-2</v>
      </c>
      <c r="Q239" s="86">
        <f t="shared" si="106"/>
        <v>-0.37838722890309795</v>
      </c>
      <c r="R239" s="85">
        <f t="shared" si="107"/>
        <v>-0.40849259823844913</v>
      </c>
    </row>
    <row r="240" spans="2:18">
      <c r="B240" s="83"/>
      <c r="C240" s="84">
        <v>24</v>
      </c>
      <c r="D240" s="84">
        <v>128</v>
      </c>
      <c r="E240" s="84">
        <v>1.1635</v>
      </c>
      <c r="F240" s="78"/>
      <c r="G240" s="85">
        <f t="shared" si="96"/>
        <v>0.4750956093460792</v>
      </c>
      <c r="H240" s="86">
        <f t="shared" si="97"/>
        <v>8.333333333333337E-2</v>
      </c>
      <c r="I240" s="85">
        <f t="shared" si="98"/>
        <v>-0.35106382978723405</v>
      </c>
      <c r="J240" s="85">
        <f t="shared" si="99"/>
        <v>4.8593155893536188E-2</v>
      </c>
      <c r="K240" s="86">
        <f t="shared" si="100"/>
        <v>-0.35839376888637642</v>
      </c>
      <c r="L240" s="87">
        <f t="shared" si="101"/>
        <v>6.2964498944591024E-2</v>
      </c>
      <c r="M240" s="86">
        <f t="shared" si="102"/>
        <v>-0.15888201861306958</v>
      </c>
      <c r="N240" s="87">
        <f t="shared" si="103"/>
        <v>0.33704151334048077</v>
      </c>
      <c r="O240" s="86">
        <f t="shared" si="104"/>
        <v>-0.49834798900342658</v>
      </c>
      <c r="P240" s="87">
        <f t="shared" si="105"/>
        <v>8.8434084085864229E-2</v>
      </c>
      <c r="Q240" s="86">
        <f t="shared" si="106"/>
        <v>-0.35839376888637647</v>
      </c>
      <c r="R240" s="85">
        <f t="shared" si="107"/>
        <v>-0.4121311104014882</v>
      </c>
    </row>
    <row r="241" spans="2:18">
      <c r="B241" s="83"/>
      <c r="C241" s="84">
        <v>24</v>
      </c>
      <c r="D241" s="84">
        <v>144</v>
      </c>
      <c r="E241" s="84">
        <v>1.2270000000000001</v>
      </c>
      <c r="F241" s="78"/>
      <c r="G241" s="85">
        <f t="shared" si="96"/>
        <v>0.50855119148467198</v>
      </c>
      <c r="H241" s="86">
        <f t="shared" si="97"/>
        <v>8.333333333333337E-2</v>
      </c>
      <c r="I241" s="85">
        <f t="shared" si="98"/>
        <v>-0.32978723404255317</v>
      </c>
      <c r="J241" s="85">
        <f t="shared" si="99"/>
        <v>8.7224334600760511E-2</v>
      </c>
      <c r="K241" s="86">
        <f t="shared" si="100"/>
        <v>-0.33840030886965494</v>
      </c>
      <c r="L241" s="87">
        <f t="shared" si="101"/>
        <v>9.2781568920144747E-2</v>
      </c>
      <c r="M241" s="86">
        <f t="shared" si="102"/>
        <v>-0.13888855859634811</v>
      </c>
      <c r="N241" s="87">
        <f t="shared" si="103"/>
        <v>0.36685858331603455</v>
      </c>
      <c r="O241" s="86">
        <f t="shared" si="104"/>
        <v>-0.49834798900342658</v>
      </c>
      <c r="P241" s="87">
        <f t="shared" si="105"/>
        <v>0.12188966622445699</v>
      </c>
      <c r="Q241" s="86">
        <f t="shared" si="106"/>
        <v>-0.338400308869655</v>
      </c>
      <c r="R241" s="85">
        <f t="shared" si="107"/>
        <v>-0.41576962256452721</v>
      </c>
    </row>
    <row r="242" spans="2:18">
      <c r="B242" s="83"/>
      <c r="C242" s="84">
        <v>24</v>
      </c>
      <c r="D242" s="84">
        <v>160</v>
      </c>
      <c r="E242" s="84">
        <v>1.3452500000000001</v>
      </c>
      <c r="F242" s="78"/>
      <c r="G242" s="85">
        <f t="shared" si="96"/>
        <v>0.5708523346010278</v>
      </c>
      <c r="H242" s="86">
        <f t="shared" si="97"/>
        <v>8.333333333333337E-2</v>
      </c>
      <c r="I242" s="85">
        <f t="shared" si="98"/>
        <v>-0.30851063829787234</v>
      </c>
      <c r="J242" s="85">
        <f t="shared" si="99"/>
        <v>0.15916349809885932</v>
      </c>
      <c r="K242" s="86">
        <f t="shared" si="100"/>
        <v>-0.31840684885293352</v>
      </c>
      <c r="L242" s="87">
        <f t="shared" si="101"/>
        <v>0.1514441998734615</v>
      </c>
      <c r="M242" s="86">
        <f t="shared" si="102"/>
        <v>-0.11889509857962667</v>
      </c>
      <c r="N242" s="87">
        <f t="shared" si="103"/>
        <v>0.4255212142693513</v>
      </c>
      <c r="O242" s="86">
        <f t="shared" si="104"/>
        <v>-0.49834798900342658</v>
      </c>
      <c r="P242" s="87">
        <f t="shared" si="105"/>
        <v>0.18419080934081278</v>
      </c>
      <c r="Q242" s="86">
        <f t="shared" si="106"/>
        <v>-0.31840684885293358</v>
      </c>
      <c r="R242" s="85">
        <f t="shared" si="107"/>
        <v>-0.41940813472756627</v>
      </c>
    </row>
    <row r="243" spans="2:18">
      <c r="B243" s="83"/>
      <c r="C243" s="84">
        <v>24</v>
      </c>
      <c r="D243" s="84">
        <v>176</v>
      </c>
      <c r="E243" s="84">
        <v>1.4712499999999999</v>
      </c>
      <c r="F243" s="78"/>
      <c r="G243" s="85">
        <f t="shared" si="96"/>
        <v>0.63723663931697561</v>
      </c>
      <c r="H243" s="86">
        <f t="shared" si="97"/>
        <v>8.333333333333337E-2</v>
      </c>
      <c r="I243" s="85">
        <f t="shared" si="98"/>
        <v>-0.28723404255319152</v>
      </c>
      <c r="J243" s="85">
        <f t="shared" si="99"/>
        <v>0.23581749049429657</v>
      </c>
      <c r="K243" s="86">
        <f t="shared" si="100"/>
        <v>-0.29841338883621199</v>
      </c>
      <c r="L243" s="87">
        <f t="shared" si="101"/>
        <v>0.2141899924263703</v>
      </c>
      <c r="M243" s="86">
        <f t="shared" si="102"/>
        <v>-9.8901638562905181E-2</v>
      </c>
      <c r="N243" s="87">
        <f t="shared" si="103"/>
        <v>0.4882670068222601</v>
      </c>
      <c r="O243" s="86">
        <f t="shared" si="104"/>
        <v>-0.49834798900342653</v>
      </c>
      <c r="P243" s="87">
        <f t="shared" si="105"/>
        <v>0.25057511405676058</v>
      </c>
      <c r="Q243" s="86">
        <f t="shared" si="106"/>
        <v>-0.2984133888362121</v>
      </c>
      <c r="R243" s="85">
        <f t="shared" si="107"/>
        <v>-0.42304664689060528</v>
      </c>
    </row>
    <row r="244" spans="2:18">
      <c r="B244" s="83"/>
      <c r="C244" s="84">
        <v>24</v>
      </c>
      <c r="D244" s="84">
        <v>192</v>
      </c>
      <c r="E244" s="84">
        <v>1.6060000000000001</v>
      </c>
      <c r="F244" s="78"/>
      <c r="G244" s="85">
        <f t="shared" si="96"/>
        <v>0.70823096519375328</v>
      </c>
      <c r="H244" s="86">
        <f t="shared" si="97"/>
        <v>8.333333333333337E-2</v>
      </c>
      <c r="I244" s="85">
        <f t="shared" si="98"/>
        <v>-0.26595744680851063</v>
      </c>
      <c r="J244" s="85">
        <f t="shared" si="99"/>
        <v>0.31779467680608375</v>
      </c>
      <c r="K244" s="86">
        <f t="shared" si="100"/>
        <v>-0.27841992881949051</v>
      </c>
      <c r="L244" s="87">
        <f t="shared" si="101"/>
        <v>0.28154580614010893</v>
      </c>
      <c r="M244" s="86">
        <f t="shared" si="102"/>
        <v>-7.8908178546183719E-2</v>
      </c>
      <c r="N244" s="87">
        <f t="shared" si="103"/>
        <v>0.55562282053599876</v>
      </c>
      <c r="O244" s="86">
        <f t="shared" si="104"/>
        <v>-0.49834798900342653</v>
      </c>
      <c r="P244" s="87">
        <f t="shared" si="105"/>
        <v>0.32156943993353826</v>
      </c>
      <c r="Q244" s="86">
        <f t="shared" si="106"/>
        <v>-0.27841992881949063</v>
      </c>
      <c r="R244" s="85">
        <f t="shared" si="107"/>
        <v>-0.42668515905364429</v>
      </c>
    </row>
    <row r="245" spans="2:18">
      <c r="B245" s="83"/>
      <c r="C245" s="84">
        <v>27</v>
      </c>
      <c r="D245" s="84">
        <v>16</v>
      </c>
      <c r="E245" s="84">
        <v>0.32824999999999999</v>
      </c>
      <c r="F245" s="78"/>
      <c r="G245" s="85">
        <f t="shared" si="96"/>
        <v>3.5036160822305762E-2</v>
      </c>
      <c r="H245" s="86">
        <f t="shared" si="97"/>
        <v>0.16666666666666663</v>
      </c>
      <c r="I245" s="85">
        <f t="shared" si="98"/>
        <v>-0.5</v>
      </c>
      <c r="J245" s="85">
        <f t="shared" si="99"/>
        <v>-0.45954372623574147</v>
      </c>
      <c r="K245" s="86">
        <f t="shared" si="100"/>
        <v>-0.52684966761389906</v>
      </c>
      <c r="L245" s="87">
        <f t="shared" si="101"/>
        <v>-0.39077922363732198</v>
      </c>
      <c r="M245" s="86">
        <f t="shared" si="102"/>
        <v>-0.29883623873011983</v>
      </c>
      <c r="N245" s="87">
        <f t="shared" si="103"/>
        <v>-7.7548350042019432E-2</v>
      </c>
      <c r="O245" s="86">
        <f t="shared" si="104"/>
        <v>-0.52684966761389906</v>
      </c>
      <c r="P245" s="87">
        <f t="shared" si="105"/>
        <v>-0.39077922363732198</v>
      </c>
      <c r="Q245" s="86">
        <f t="shared" si="106"/>
        <v>-0.52684966761389906</v>
      </c>
      <c r="R245" s="85">
        <f t="shared" si="107"/>
        <v>-0.42581538445962774</v>
      </c>
    </row>
    <row r="246" spans="2:18">
      <c r="B246" s="83"/>
      <c r="C246" s="84">
        <v>27</v>
      </c>
      <c r="D246" s="84">
        <v>32</v>
      </c>
      <c r="E246" s="84">
        <v>0.56674999999999998</v>
      </c>
      <c r="F246" s="78"/>
      <c r="G246" s="85">
        <f t="shared" si="96"/>
        <v>0.16069216617749282</v>
      </c>
      <c r="H246" s="86">
        <f t="shared" si="97"/>
        <v>0.16666666666666663</v>
      </c>
      <c r="I246" s="85">
        <f t="shared" si="98"/>
        <v>-0.47872340425531917</v>
      </c>
      <c r="J246" s="85">
        <f t="shared" si="99"/>
        <v>-0.31444866920152093</v>
      </c>
      <c r="K246" s="86">
        <f t="shared" si="100"/>
        <v>-0.50685620759717753</v>
      </c>
      <c r="L246" s="87">
        <f t="shared" si="101"/>
        <v>-0.26876173044517393</v>
      </c>
      <c r="M246" s="86">
        <f t="shared" si="102"/>
        <v>-0.27884277871339841</v>
      </c>
      <c r="N246" s="87">
        <f t="shared" si="103"/>
        <v>4.4469143150128621E-2</v>
      </c>
      <c r="O246" s="86">
        <f t="shared" si="104"/>
        <v>-0.52684966761389895</v>
      </c>
      <c r="P246" s="87">
        <f t="shared" si="105"/>
        <v>-0.26512321828213492</v>
      </c>
      <c r="Q246" s="86">
        <f t="shared" si="106"/>
        <v>-0.50685620759717764</v>
      </c>
      <c r="R246" s="85">
        <f t="shared" si="107"/>
        <v>-0.42945389662266675</v>
      </c>
    </row>
    <row r="247" spans="2:18">
      <c r="B247" s="83"/>
      <c r="C247" s="84">
        <v>27</v>
      </c>
      <c r="D247" s="84">
        <v>48</v>
      </c>
      <c r="E247" s="84">
        <v>0.74424999999999997</v>
      </c>
      <c r="F247" s="78"/>
      <c r="G247" s="85">
        <f t="shared" si="96"/>
        <v>0.25420973829718124</v>
      </c>
      <c r="H247" s="86">
        <f t="shared" si="97"/>
        <v>0.16666666666666663</v>
      </c>
      <c r="I247" s="85">
        <f t="shared" si="98"/>
        <v>-0.45744680851063829</v>
      </c>
      <c r="J247" s="85">
        <f t="shared" si="99"/>
        <v>-0.2064638783269962</v>
      </c>
      <c r="K247" s="86">
        <f t="shared" si="100"/>
        <v>-0.48686274758045606</v>
      </c>
      <c r="L247" s="87">
        <f t="shared" si="101"/>
        <v>-0.17888267048852458</v>
      </c>
      <c r="M247" s="86">
        <f t="shared" si="102"/>
        <v>-0.25884931869667682</v>
      </c>
      <c r="N247" s="87">
        <f t="shared" si="103"/>
        <v>0.13434820310677797</v>
      </c>
      <c r="O247" s="86">
        <f t="shared" si="104"/>
        <v>-0.52684966761389895</v>
      </c>
      <c r="P247" s="87">
        <f t="shared" si="105"/>
        <v>-0.1716056461624465</v>
      </c>
      <c r="Q247" s="86">
        <f t="shared" si="106"/>
        <v>-0.48686274758045611</v>
      </c>
      <c r="R247" s="85">
        <f t="shared" si="107"/>
        <v>-0.43309240878570582</v>
      </c>
    </row>
    <row r="248" spans="2:18">
      <c r="B248" s="83"/>
      <c r="C248" s="84">
        <v>27</v>
      </c>
      <c r="D248" s="84">
        <v>64</v>
      </c>
      <c r="E248" s="84">
        <v>0.8075</v>
      </c>
      <c r="F248" s="78"/>
      <c r="G248" s="85">
        <f t="shared" si="96"/>
        <v>0.28753360554546459</v>
      </c>
      <c r="H248" s="86">
        <f t="shared" si="97"/>
        <v>0.16666666666666663</v>
      </c>
      <c r="I248" s="85">
        <f t="shared" si="98"/>
        <v>-0.43617021276595747</v>
      </c>
      <c r="J248" s="85">
        <f t="shared" si="99"/>
        <v>-0.16798479087452473</v>
      </c>
      <c r="K248" s="86">
        <f t="shared" si="100"/>
        <v>-0.46686928756373464</v>
      </c>
      <c r="L248" s="87">
        <f t="shared" si="101"/>
        <v>-0.14919731540328024</v>
      </c>
      <c r="M248" s="86">
        <f t="shared" si="102"/>
        <v>-0.23885585867995546</v>
      </c>
      <c r="N248" s="87">
        <f t="shared" si="103"/>
        <v>0.16403355819202231</v>
      </c>
      <c r="O248" s="86">
        <f t="shared" si="104"/>
        <v>-0.52684966761389895</v>
      </c>
      <c r="P248" s="87">
        <f t="shared" si="105"/>
        <v>-0.13828177891416316</v>
      </c>
      <c r="Q248" s="86">
        <f t="shared" si="106"/>
        <v>-0.46686928756373469</v>
      </c>
      <c r="R248" s="85">
        <f t="shared" si="107"/>
        <v>-0.43673092094874483</v>
      </c>
    </row>
    <row r="249" spans="2:18">
      <c r="B249" s="83"/>
      <c r="C249" s="84">
        <v>27</v>
      </c>
      <c r="D249" s="84">
        <v>80</v>
      </c>
      <c r="E249" s="84">
        <v>1.0189999999999999</v>
      </c>
      <c r="F249" s="78"/>
      <c r="G249" s="85">
        <f t="shared" si="96"/>
        <v>0.39896440274723421</v>
      </c>
      <c r="H249" s="86">
        <f t="shared" si="97"/>
        <v>0.16666666666666663</v>
      </c>
      <c r="I249" s="85">
        <f t="shared" si="98"/>
        <v>-0.41489361702127658</v>
      </c>
      <c r="J249" s="85">
        <f t="shared" si="99"/>
        <v>-3.9315589353612179E-2</v>
      </c>
      <c r="K249" s="86">
        <f t="shared" si="100"/>
        <v>-0.4468758275470131</v>
      </c>
      <c r="L249" s="87">
        <f t="shared" si="101"/>
        <v>-4.1405030364549691E-2</v>
      </c>
      <c r="M249" s="86">
        <f t="shared" si="102"/>
        <v>-0.2188623986632339</v>
      </c>
      <c r="N249" s="87">
        <f t="shared" si="103"/>
        <v>0.27182584323075287</v>
      </c>
      <c r="O249" s="86">
        <f t="shared" si="104"/>
        <v>-0.52684966761389895</v>
      </c>
      <c r="P249" s="87">
        <f t="shared" si="105"/>
        <v>-2.6850981712393571E-2</v>
      </c>
      <c r="Q249" s="86">
        <f t="shared" si="106"/>
        <v>-0.44687582754701316</v>
      </c>
      <c r="R249" s="85">
        <f t="shared" si="107"/>
        <v>-0.44036943311178389</v>
      </c>
    </row>
    <row r="250" spans="2:18">
      <c r="B250" s="83"/>
      <c r="C250" s="84">
        <v>27</v>
      </c>
      <c r="D250" s="84">
        <v>96</v>
      </c>
      <c r="E250" s="84">
        <v>1.1427499999999999</v>
      </c>
      <c r="F250" s="78"/>
      <c r="G250" s="85">
        <f t="shared" si="96"/>
        <v>0.46416327345039726</v>
      </c>
      <c r="H250" s="86">
        <f t="shared" si="97"/>
        <v>0.16666666666666663</v>
      </c>
      <c r="I250" s="85">
        <f t="shared" si="98"/>
        <v>-0.39361702127659576</v>
      </c>
      <c r="J250" s="85">
        <f t="shared" si="99"/>
        <v>3.5969581749049406E-2</v>
      </c>
      <c r="K250" s="86">
        <f t="shared" si="100"/>
        <v>-0.42688236753029168</v>
      </c>
      <c r="L250" s="87">
        <f t="shared" si="101"/>
        <v>2.015532817557434E-2</v>
      </c>
      <c r="M250" s="86">
        <f t="shared" si="102"/>
        <v>-0.19886893864651248</v>
      </c>
      <c r="N250" s="87">
        <f t="shared" si="103"/>
        <v>0.33338620177087691</v>
      </c>
      <c r="O250" s="86">
        <f t="shared" si="104"/>
        <v>-0.52684966761389895</v>
      </c>
      <c r="P250" s="87">
        <f t="shared" si="105"/>
        <v>3.8347888990769484E-2</v>
      </c>
      <c r="Q250" s="86">
        <f t="shared" si="106"/>
        <v>-0.42688236753029174</v>
      </c>
      <c r="R250" s="85">
        <f t="shared" si="107"/>
        <v>-0.4440079452748229</v>
      </c>
    </row>
    <row r="251" spans="2:18">
      <c r="B251" s="83"/>
      <c r="C251" s="84">
        <v>27</v>
      </c>
      <c r="D251" s="84">
        <v>112</v>
      </c>
      <c r="E251" s="84">
        <v>1.1545000000000001</v>
      </c>
      <c r="F251" s="78"/>
      <c r="G251" s="85">
        <f t="shared" si="96"/>
        <v>0.47035387329494005</v>
      </c>
      <c r="H251" s="86">
        <f t="shared" si="97"/>
        <v>0.16666666666666663</v>
      </c>
      <c r="I251" s="85">
        <f t="shared" si="98"/>
        <v>-0.37234042553191493</v>
      </c>
      <c r="J251" s="85">
        <f t="shared" si="99"/>
        <v>4.311787072243356E-2</v>
      </c>
      <c r="K251" s="86">
        <f t="shared" si="100"/>
        <v>-0.40688890751357026</v>
      </c>
      <c r="L251" s="87">
        <f t="shared" si="101"/>
        <v>2.2707415857078167E-2</v>
      </c>
      <c r="M251" s="86">
        <f t="shared" si="102"/>
        <v>-0.17887547862979106</v>
      </c>
      <c r="N251" s="87">
        <f t="shared" si="103"/>
        <v>0.33593828945238075</v>
      </c>
      <c r="O251" s="86">
        <f t="shared" si="104"/>
        <v>-0.52684966761389895</v>
      </c>
      <c r="P251" s="87">
        <f t="shared" si="105"/>
        <v>4.4538488835312348E-2</v>
      </c>
      <c r="Q251" s="86">
        <f t="shared" si="106"/>
        <v>-0.40688890751357032</v>
      </c>
      <c r="R251" s="85">
        <f t="shared" si="107"/>
        <v>-0.44764645743786191</v>
      </c>
    </row>
    <row r="252" spans="2:18">
      <c r="B252" s="83"/>
      <c r="C252" s="84">
        <v>27</v>
      </c>
      <c r="D252" s="84">
        <v>128</v>
      </c>
      <c r="E252" s="84">
        <v>1.2665</v>
      </c>
      <c r="F252" s="78"/>
      <c r="G252" s="85">
        <f t="shared" si="96"/>
        <v>0.52936214415356031</v>
      </c>
      <c r="H252" s="86">
        <f t="shared" si="97"/>
        <v>0.16666666666666663</v>
      </c>
      <c r="I252" s="85">
        <f t="shared" si="98"/>
        <v>-0.35106382978723405</v>
      </c>
      <c r="J252" s="85">
        <f t="shared" si="99"/>
        <v>0.11125475285171105</v>
      </c>
      <c r="K252" s="86">
        <f t="shared" si="100"/>
        <v>-0.38689544749684879</v>
      </c>
      <c r="L252" s="87">
        <f t="shared" si="101"/>
        <v>7.807717455265939E-2</v>
      </c>
      <c r="M252" s="86">
        <f t="shared" si="102"/>
        <v>-0.15888201861306958</v>
      </c>
      <c r="N252" s="87">
        <f t="shared" si="103"/>
        <v>0.39130804814796194</v>
      </c>
      <c r="O252" s="86">
        <f t="shared" si="104"/>
        <v>-0.52684966761389895</v>
      </c>
      <c r="P252" s="87">
        <f t="shared" si="105"/>
        <v>0.10354675969393259</v>
      </c>
      <c r="Q252" s="86">
        <f t="shared" si="106"/>
        <v>-0.38689544749684884</v>
      </c>
      <c r="R252" s="85">
        <f t="shared" si="107"/>
        <v>-0.45128496960090098</v>
      </c>
    </row>
    <row r="253" spans="2:18">
      <c r="B253" s="83"/>
      <c r="C253" s="84">
        <v>27</v>
      </c>
      <c r="D253" s="84">
        <v>144</v>
      </c>
      <c r="E253" s="84">
        <v>1.35</v>
      </c>
      <c r="F253" s="78"/>
      <c r="G253" s="85">
        <f t="shared" si="96"/>
        <v>0.5733549175169067</v>
      </c>
      <c r="H253" s="86">
        <f t="shared" si="97"/>
        <v>0.16666666666666663</v>
      </c>
      <c r="I253" s="85">
        <f t="shared" si="98"/>
        <v>-0.32978723404255317</v>
      </c>
      <c r="J253" s="85">
        <f t="shared" si="99"/>
        <v>0.16205323193916354</v>
      </c>
      <c r="K253" s="86">
        <f t="shared" si="100"/>
        <v>-0.36690198748012731</v>
      </c>
      <c r="L253" s="87">
        <f t="shared" si="101"/>
        <v>0.11843143575296675</v>
      </c>
      <c r="M253" s="86">
        <f t="shared" si="102"/>
        <v>-0.13888855859634808</v>
      </c>
      <c r="N253" s="87">
        <f t="shared" si="103"/>
        <v>0.43166230934826932</v>
      </c>
      <c r="O253" s="86">
        <f t="shared" si="104"/>
        <v>-0.52684966761389895</v>
      </c>
      <c r="P253" s="87">
        <f t="shared" si="105"/>
        <v>0.14753953305727902</v>
      </c>
      <c r="Q253" s="86">
        <f t="shared" si="106"/>
        <v>-0.36690198748012737</v>
      </c>
      <c r="R253" s="85">
        <f t="shared" si="107"/>
        <v>-0.45492348176393999</v>
      </c>
    </row>
    <row r="254" spans="2:18">
      <c r="B254" s="83"/>
      <c r="C254" s="84">
        <v>27</v>
      </c>
      <c r="D254" s="84">
        <v>160</v>
      </c>
      <c r="E254" s="84">
        <v>1.4902500000000001</v>
      </c>
      <c r="F254" s="78"/>
      <c r="G254" s="85">
        <f t="shared" ref="G254:G280" si="108">D$19*(L254-R254)</f>
        <v>0.64724697098049155</v>
      </c>
      <c r="H254" s="86">
        <f t="shared" ref="H254:H280" si="109">(C254-H$16)/H$17-0.5</f>
        <v>0.16666666666666663</v>
      </c>
      <c r="I254" s="85">
        <f t="shared" ref="I254:I280" si="110">(D254-I$16)/I$17-0.5</f>
        <v>-0.30851063829787234</v>
      </c>
      <c r="J254" s="85">
        <f t="shared" ref="J254:J280" si="111">(E254-J$16)/J$17-0.5</f>
        <v>0.24737642585551334</v>
      </c>
      <c r="K254" s="86">
        <f t="shared" ref="K254:K280" si="112">(H254*$H$13+I254*$I$13+J254*$J$13+$D$27)*$C$27</f>
        <v>-0.34690852746340584</v>
      </c>
      <c r="L254" s="87">
        <f t="shared" ref="L254:L280" si="113">(H254*$H$14+I254*$I$14+J254*$J$14+$E$27)*$C$27</f>
        <v>0.1886849770535125</v>
      </c>
      <c r="M254" s="86">
        <f t="shared" ref="M254:M280" si="114">(H$27*$H$13+I254*$I$13+J254*$J$13+$D$27)*$C$27</f>
        <v>-0.11889509857962666</v>
      </c>
      <c r="N254" s="87">
        <f t="shared" ref="N254:N280" si="115">(H$27*$H$14+I254*$I$14+J254*$J$14+$E$27)*$C$27</f>
        <v>0.50191585064881505</v>
      </c>
      <c r="O254" s="86">
        <f t="shared" ref="O254:O280" si="116">(H254*$H$13+I$27*$I$13+J254*$J$13+$D$27)*$C$27</f>
        <v>-0.52684966761389895</v>
      </c>
      <c r="P254" s="87">
        <f t="shared" ref="P254:P280" si="117">(H254*$H$14+I$27*$I$14+J254*$J$14+$E$27)*$C$27</f>
        <v>0.22143158652086381</v>
      </c>
      <c r="Q254" s="86">
        <f t="shared" ref="Q254:Q280" si="118">(H254*$H$13+I254*$I$13+J$27*$J$13+$D$27)*$C$27</f>
        <v>-0.34690852746340595</v>
      </c>
      <c r="R254" s="85">
        <f t="shared" ref="R254:R280" si="119">(H254*$H$14+I254*$I$14+J$27*$J$14+$E$27)*$C$27</f>
        <v>-0.45856199392697905</v>
      </c>
    </row>
    <row r="255" spans="2:18">
      <c r="B255" s="83"/>
      <c r="C255" s="84">
        <v>30</v>
      </c>
      <c r="D255" s="84">
        <v>16</v>
      </c>
      <c r="E255" s="84">
        <v>0.34525</v>
      </c>
      <c r="F255" s="78"/>
      <c r="G255" s="85">
        <f t="shared" si="108"/>
        <v>4.3992773363346394E-2</v>
      </c>
      <c r="H255" s="86">
        <f t="shared" si="109"/>
        <v>0.25</v>
      </c>
      <c r="I255" s="85">
        <f t="shared" si="110"/>
        <v>-0.5</v>
      </c>
      <c r="J255" s="85">
        <f t="shared" si="111"/>
        <v>-0.4492015209125475</v>
      </c>
      <c r="K255" s="86">
        <f t="shared" si="112"/>
        <v>-0.55535134622437132</v>
      </c>
      <c r="L255" s="87">
        <f t="shared" si="113"/>
        <v>-0.42097647029569418</v>
      </c>
      <c r="M255" s="86">
        <f t="shared" si="114"/>
        <v>-0.29883623873011983</v>
      </c>
      <c r="N255" s="87">
        <f t="shared" si="115"/>
        <v>-6.85917375009788E-2</v>
      </c>
      <c r="O255" s="86">
        <f t="shared" si="116"/>
        <v>-0.55535134622437132</v>
      </c>
      <c r="P255" s="87">
        <f t="shared" si="117"/>
        <v>-0.42097647029569418</v>
      </c>
      <c r="Q255" s="86">
        <f t="shared" si="118"/>
        <v>-0.55535134622437143</v>
      </c>
      <c r="R255" s="85">
        <f t="shared" si="119"/>
        <v>-0.46496924365904058</v>
      </c>
    </row>
    <row r="256" spans="2:18">
      <c r="B256" s="83"/>
      <c r="C256" s="84">
        <v>30</v>
      </c>
      <c r="D256" s="84">
        <v>32</v>
      </c>
      <c r="E256" s="84">
        <v>0.63249999999999995</v>
      </c>
      <c r="F256" s="78"/>
      <c r="G256" s="85">
        <f t="shared" si="108"/>
        <v>0.19533318232887037</v>
      </c>
      <c r="H256" s="86">
        <f t="shared" si="109"/>
        <v>0.25</v>
      </c>
      <c r="I256" s="85">
        <f t="shared" si="110"/>
        <v>-0.47872340425531917</v>
      </c>
      <c r="J256" s="85">
        <f t="shared" si="111"/>
        <v>-0.27444866920152095</v>
      </c>
      <c r="K256" s="86">
        <f t="shared" si="112"/>
        <v>-0.5353578862076499</v>
      </c>
      <c r="L256" s="87">
        <f t="shared" si="113"/>
        <v>-0.27327457349320927</v>
      </c>
      <c r="M256" s="86">
        <f t="shared" si="114"/>
        <v>-0.27884277871339841</v>
      </c>
      <c r="N256" s="87">
        <f t="shared" si="115"/>
        <v>7.9110159301506139E-2</v>
      </c>
      <c r="O256" s="86">
        <f t="shared" si="116"/>
        <v>-0.55535134622437132</v>
      </c>
      <c r="P256" s="87">
        <f t="shared" si="117"/>
        <v>-0.26963606133017026</v>
      </c>
      <c r="Q256" s="86">
        <f t="shared" si="118"/>
        <v>-0.53535788620765001</v>
      </c>
      <c r="R256" s="85">
        <f t="shared" si="119"/>
        <v>-0.46860775582207964</v>
      </c>
    </row>
    <row r="257" spans="2:18">
      <c r="B257" s="83"/>
      <c r="C257" s="84">
        <v>30</v>
      </c>
      <c r="D257" s="84">
        <v>48</v>
      </c>
      <c r="E257" s="84">
        <v>0.76700000000000002</v>
      </c>
      <c r="F257" s="78"/>
      <c r="G257" s="85">
        <f t="shared" si="108"/>
        <v>0.26619579331533844</v>
      </c>
      <c r="H257" s="86">
        <f t="shared" si="109"/>
        <v>0.25</v>
      </c>
      <c r="I257" s="85">
        <f t="shared" si="110"/>
        <v>-0.45744680851063829</v>
      </c>
      <c r="J257" s="85">
        <f t="shared" si="111"/>
        <v>-0.19262357414448672</v>
      </c>
      <c r="K257" s="86">
        <f t="shared" si="112"/>
        <v>-0.51536442619092848</v>
      </c>
      <c r="L257" s="87">
        <f t="shared" si="113"/>
        <v>-0.20605047466978021</v>
      </c>
      <c r="M257" s="86">
        <f t="shared" si="114"/>
        <v>-0.25884931869667682</v>
      </c>
      <c r="N257" s="87">
        <f t="shared" si="115"/>
        <v>0.1463342581249352</v>
      </c>
      <c r="O257" s="86">
        <f t="shared" si="116"/>
        <v>-0.55535134622437132</v>
      </c>
      <c r="P257" s="87">
        <f t="shared" si="117"/>
        <v>-0.19877345034370214</v>
      </c>
      <c r="Q257" s="86">
        <f t="shared" si="118"/>
        <v>-0.51536442619092859</v>
      </c>
      <c r="R257" s="85">
        <f t="shared" si="119"/>
        <v>-0.47224626798511865</v>
      </c>
    </row>
    <row r="258" spans="2:18">
      <c r="B258" s="83"/>
      <c r="C258" s="84">
        <v>30</v>
      </c>
      <c r="D258" s="84">
        <v>64</v>
      </c>
      <c r="E258" s="84">
        <v>0.84499999999999997</v>
      </c>
      <c r="F258" s="78"/>
      <c r="G258" s="85">
        <f t="shared" si="108"/>
        <v>0.30729083909187771</v>
      </c>
      <c r="H258" s="86">
        <f t="shared" si="109"/>
        <v>0.25</v>
      </c>
      <c r="I258" s="85">
        <f t="shared" si="110"/>
        <v>-0.43617021276595747</v>
      </c>
      <c r="J258" s="85">
        <f t="shared" si="111"/>
        <v>-0.14517110266159694</v>
      </c>
      <c r="K258" s="86">
        <f t="shared" si="112"/>
        <v>-0.49537096617420706</v>
      </c>
      <c r="L258" s="87">
        <f t="shared" si="113"/>
        <v>-0.16859394105628003</v>
      </c>
      <c r="M258" s="86">
        <f t="shared" si="114"/>
        <v>-0.23885585867995546</v>
      </c>
      <c r="N258" s="87">
        <f t="shared" si="115"/>
        <v>0.18379079173843538</v>
      </c>
      <c r="O258" s="86">
        <f t="shared" si="116"/>
        <v>-0.55535134622437132</v>
      </c>
      <c r="P258" s="87">
        <f t="shared" si="117"/>
        <v>-0.15767840456716295</v>
      </c>
      <c r="Q258" s="86">
        <f t="shared" si="118"/>
        <v>-0.49537096617420712</v>
      </c>
      <c r="R258" s="85">
        <f t="shared" si="119"/>
        <v>-0.47588478014815772</v>
      </c>
    </row>
    <row r="259" spans="2:18">
      <c r="B259" s="83"/>
      <c r="C259" s="84">
        <v>30</v>
      </c>
      <c r="D259" s="84">
        <v>80</v>
      </c>
      <c r="E259" s="84">
        <v>1.022</v>
      </c>
      <c r="F259" s="78"/>
      <c r="G259" s="85">
        <f t="shared" si="108"/>
        <v>0.4005449814309473</v>
      </c>
      <c r="H259" s="86">
        <f t="shared" si="109"/>
        <v>0.25</v>
      </c>
      <c r="I259" s="85">
        <f t="shared" si="110"/>
        <v>-0.41489361702127658</v>
      </c>
      <c r="J259" s="85">
        <f t="shared" si="111"/>
        <v>-3.7490494296577914E-2</v>
      </c>
      <c r="K259" s="86">
        <f t="shared" si="112"/>
        <v>-0.47537750615748553</v>
      </c>
      <c r="L259" s="87">
        <f t="shared" si="113"/>
        <v>-7.8978310880249453E-2</v>
      </c>
      <c r="M259" s="86">
        <f t="shared" si="114"/>
        <v>-0.2188623986632339</v>
      </c>
      <c r="N259" s="87">
        <f t="shared" si="115"/>
        <v>0.27340642191446596</v>
      </c>
      <c r="O259" s="86">
        <f t="shared" si="116"/>
        <v>-0.55535134622437132</v>
      </c>
      <c r="P259" s="87">
        <f t="shared" si="117"/>
        <v>-6.4424262228093332E-2</v>
      </c>
      <c r="Q259" s="86">
        <f t="shared" si="118"/>
        <v>-0.47537750615748559</v>
      </c>
      <c r="R259" s="85">
        <f t="shared" si="119"/>
        <v>-0.47952329231119672</v>
      </c>
    </row>
    <row r="260" spans="2:18">
      <c r="B260" s="83"/>
      <c r="C260" s="84">
        <v>30</v>
      </c>
      <c r="D260" s="84">
        <v>96</v>
      </c>
      <c r="E260" s="84">
        <v>1.1459999999999999</v>
      </c>
      <c r="F260" s="78"/>
      <c r="G260" s="85">
        <f t="shared" si="108"/>
        <v>0.46587556702441973</v>
      </c>
      <c r="H260" s="86">
        <f t="shared" si="109"/>
        <v>0.25</v>
      </c>
      <c r="I260" s="85">
        <f t="shared" si="110"/>
        <v>-0.39361702127659576</v>
      </c>
      <c r="J260" s="85">
        <f t="shared" si="111"/>
        <v>3.7946768060836522E-2</v>
      </c>
      <c r="K260" s="86">
        <f t="shared" si="112"/>
        <v>-0.45538404614076411</v>
      </c>
      <c r="L260" s="87">
        <f t="shared" si="113"/>
        <v>-1.7286237449816E-2</v>
      </c>
      <c r="M260" s="86">
        <f t="shared" si="114"/>
        <v>-0.19886893864651248</v>
      </c>
      <c r="N260" s="87">
        <f t="shared" si="115"/>
        <v>0.33509849534489938</v>
      </c>
      <c r="O260" s="86">
        <f t="shared" si="116"/>
        <v>-0.55535134622437132</v>
      </c>
      <c r="P260" s="87">
        <f t="shared" si="117"/>
        <v>9.0632336537914415E-4</v>
      </c>
      <c r="Q260" s="86">
        <f t="shared" si="118"/>
        <v>-0.45538404614076416</v>
      </c>
      <c r="R260" s="85">
        <f t="shared" si="119"/>
        <v>-0.48316180447423573</v>
      </c>
    </row>
    <row r="261" spans="2:18">
      <c r="B261" s="83"/>
      <c r="C261" s="84">
        <v>30</v>
      </c>
      <c r="D261" s="84">
        <v>112</v>
      </c>
      <c r="E261" s="84">
        <v>1.2450000000000001</v>
      </c>
      <c r="F261" s="78"/>
      <c r="G261" s="85">
        <f t="shared" si="108"/>
        <v>0.51803466358695027</v>
      </c>
      <c r="H261" s="86">
        <f t="shared" si="109"/>
        <v>0.25</v>
      </c>
      <c r="I261" s="85">
        <f t="shared" si="110"/>
        <v>-0.37234042553191493</v>
      </c>
      <c r="J261" s="85">
        <f t="shared" si="111"/>
        <v>9.8174904942965879E-2</v>
      </c>
      <c r="K261" s="86">
        <f t="shared" si="112"/>
        <v>-0.43539058612404269</v>
      </c>
      <c r="L261" s="87">
        <f t="shared" si="113"/>
        <v>3.1234346949675487E-2</v>
      </c>
      <c r="M261" s="86">
        <f t="shared" si="114"/>
        <v>-0.17887547862979106</v>
      </c>
      <c r="N261" s="87">
        <f t="shared" si="115"/>
        <v>0.38361907974439091</v>
      </c>
      <c r="O261" s="86">
        <f t="shared" si="116"/>
        <v>-0.55535134622437132</v>
      </c>
      <c r="P261" s="87">
        <f t="shared" si="117"/>
        <v>5.3065419927909668E-2</v>
      </c>
      <c r="Q261" s="86">
        <f t="shared" si="118"/>
        <v>-0.43539058612404274</v>
      </c>
      <c r="R261" s="85">
        <f t="shared" si="119"/>
        <v>-0.4868003166372748</v>
      </c>
    </row>
    <row r="262" spans="2:18">
      <c r="B262" s="83"/>
      <c r="C262" s="84">
        <v>30</v>
      </c>
      <c r="D262" s="84">
        <v>128</v>
      </c>
      <c r="E262" s="84">
        <v>1.375</v>
      </c>
      <c r="F262" s="78"/>
      <c r="G262" s="85">
        <f t="shared" si="108"/>
        <v>0.58652640654784882</v>
      </c>
      <c r="H262" s="86">
        <f t="shared" si="109"/>
        <v>0.25</v>
      </c>
      <c r="I262" s="85">
        <f t="shared" si="110"/>
        <v>-0.35106382978723405</v>
      </c>
      <c r="J262" s="85">
        <f t="shared" si="111"/>
        <v>0.17726235741444873</v>
      </c>
      <c r="K262" s="86">
        <f t="shared" si="112"/>
        <v>-0.41539712610732121</v>
      </c>
      <c r="L262" s="87">
        <f t="shared" si="113"/>
        <v>9.6087577747535013E-2</v>
      </c>
      <c r="M262" s="86">
        <f t="shared" si="114"/>
        <v>-0.15888201861306955</v>
      </c>
      <c r="N262" s="87">
        <f t="shared" si="115"/>
        <v>0.4484723105422504</v>
      </c>
      <c r="O262" s="86">
        <f t="shared" si="116"/>
        <v>-0.55535134622437132</v>
      </c>
      <c r="P262" s="87">
        <f t="shared" si="117"/>
        <v>0.12155716288880822</v>
      </c>
      <c r="Q262" s="86">
        <f t="shared" si="118"/>
        <v>-0.41539712610732127</v>
      </c>
      <c r="R262" s="85">
        <f t="shared" si="119"/>
        <v>-0.49043882880031381</v>
      </c>
    </row>
    <row r="263" spans="2:18">
      <c r="B263" s="83"/>
      <c r="C263" s="84">
        <v>30</v>
      </c>
      <c r="D263" s="84">
        <v>144</v>
      </c>
      <c r="E263" s="84">
        <v>1.48075</v>
      </c>
      <c r="F263" s="78"/>
      <c r="G263" s="85">
        <f t="shared" si="108"/>
        <v>0.64224180514873364</v>
      </c>
      <c r="H263" s="86">
        <f t="shared" si="109"/>
        <v>0.25</v>
      </c>
      <c r="I263" s="85">
        <f t="shared" si="110"/>
        <v>-0.32978723404255317</v>
      </c>
      <c r="J263" s="85">
        <f t="shared" si="111"/>
        <v>0.24159695817490501</v>
      </c>
      <c r="K263" s="86">
        <f t="shared" si="112"/>
        <v>-0.39540366609059968</v>
      </c>
      <c r="L263" s="87">
        <f t="shared" si="113"/>
        <v>0.14816446418538076</v>
      </c>
      <c r="M263" s="86">
        <f t="shared" si="114"/>
        <v>-0.13888855859634808</v>
      </c>
      <c r="N263" s="87">
        <f t="shared" si="115"/>
        <v>0.50054919698009614</v>
      </c>
      <c r="O263" s="86">
        <f t="shared" si="116"/>
        <v>-0.55535134622437132</v>
      </c>
      <c r="P263" s="87">
        <f t="shared" si="117"/>
        <v>0.177272561489693</v>
      </c>
      <c r="Q263" s="86">
        <f t="shared" si="118"/>
        <v>-0.39540366609059979</v>
      </c>
      <c r="R263" s="85">
        <f t="shared" si="119"/>
        <v>-0.49407734096335287</v>
      </c>
    </row>
    <row r="264" spans="2:18">
      <c r="B264" s="83"/>
      <c r="C264" s="84">
        <v>33</v>
      </c>
      <c r="D264" s="84">
        <v>16</v>
      </c>
      <c r="E264" s="84">
        <v>0.27474999999999999</v>
      </c>
      <c r="F264" s="78"/>
      <c r="G264" s="85">
        <f t="shared" si="108"/>
        <v>6.8491742960898883E-3</v>
      </c>
      <c r="H264" s="86">
        <f t="shared" si="109"/>
        <v>0.33333333333333337</v>
      </c>
      <c r="I264" s="85">
        <f t="shared" si="110"/>
        <v>-0.5</v>
      </c>
      <c r="J264" s="85">
        <f t="shared" si="111"/>
        <v>-0.4920912547528517</v>
      </c>
      <c r="K264" s="86">
        <f t="shared" si="112"/>
        <v>-0.58385302483484391</v>
      </c>
      <c r="L264" s="87">
        <f t="shared" si="113"/>
        <v>-0.49727392856236352</v>
      </c>
      <c r="M264" s="86">
        <f t="shared" si="114"/>
        <v>-0.29883623873011983</v>
      </c>
      <c r="N264" s="87">
        <f t="shared" si="115"/>
        <v>-0.10573533656823531</v>
      </c>
      <c r="O264" s="86">
        <f t="shared" si="116"/>
        <v>-0.58385302483484391</v>
      </c>
      <c r="P264" s="87">
        <f t="shared" si="117"/>
        <v>-0.49727392856236352</v>
      </c>
      <c r="Q264" s="86">
        <f t="shared" si="118"/>
        <v>-0.58385302483484391</v>
      </c>
      <c r="R264" s="85">
        <f t="shared" si="119"/>
        <v>-0.50412310285845341</v>
      </c>
    </row>
    <row r="265" spans="2:18">
      <c r="B265" s="83"/>
      <c r="C265" s="84">
        <v>33</v>
      </c>
      <c r="D265" s="84">
        <v>32</v>
      </c>
      <c r="E265" s="84">
        <v>0.66274999999999995</v>
      </c>
      <c r="F265" s="78"/>
      <c r="G265" s="85">
        <f t="shared" si="108"/>
        <v>0.21127068405631017</v>
      </c>
      <c r="H265" s="86">
        <f t="shared" si="109"/>
        <v>0.33333333333333337</v>
      </c>
      <c r="I265" s="85">
        <f t="shared" si="110"/>
        <v>-0.47872340425531917</v>
      </c>
      <c r="J265" s="85">
        <f t="shared" si="111"/>
        <v>-0.25604562737642589</v>
      </c>
      <c r="K265" s="86">
        <f t="shared" si="112"/>
        <v>-0.56385956481812238</v>
      </c>
      <c r="L265" s="87">
        <f t="shared" si="113"/>
        <v>-0.29649093096518225</v>
      </c>
      <c r="M265" s="86">
        <f t="shared" si="114"/>
        <v>-0.27884277871339841</v>
      </c>
      <c r="N265" s="87">
        <f t="shared" si="115"/>
        <v>9.504766102894599E-2</v>
      </c>
      <c r="O265" s="86">
        <f t="shared" si="116"/>
        <v>-0.5838530248348438</v>
      </c>
      <c r="P265" s="87">
        <f t="shared" si="117"/>
        <v>-0.29285241880214324</v>
      </c>
      <c r="Q265" s="86">
        <f t="shared" si="118"/>
        <v>-0.56385956481812249</v>
      </c>
      <c r="R265" s="85">
        <f t="shared" si="119"/>
        <v>-0.50776161502149242</v>
      </c>
    </row>
    <row r="266" spans="2:18">
      <c r="B266" s="83"/>
      <c r="C266" s="84">
        <v>33</v>
      </c>
      <c r="D266" s="84">
        <v>48</v>
      </c>
      <c r="E266" s="84">
        <v>0.79074999999999995</v>
      </c>
      <c r="F266" s="78"/>
      <c r="G266" s="85">
        <f t="shared" si="108"/>
        <v>0.2787087078947334</v>
      </c>
      <c r="H266" s="86">
        <f t="shared" si="109"/>
        <v>0.33333333333333337</v>
      </c>
      <c r="I266" s="85">
        <f t="shared" si="110"/>
        <v>-0.45744680851063829</v>
      </c>
      <c r="J266" s="85">
        <f t="shared" si="111"/>
        <v>-0.17817490494296584</v>
      </c>
      <c r="K266" s="86">
        <f t="shared" si="112"/>
        <v>-0.54386610480140085</v>
      </c>
      <c r="L266" s="87">
        <f t="shared" si="113"/>
        <v>-0.23269141928979814</v>
      </c>
      <c r="M266" s="86">
        <f t="shared" si="114"/>
        <v>-0.25884931869667682</v>
      </c>
      <c r="N266" s="87">
        <f t="shared" si="115"/>
        <v>0.1588471727043301</v>
      </c>
      <c r="O266" s="86">
        <f t="shared" si="116"/>
        <v>-0.5838530248348438</v>
      </c>
      <c r="P266" s="87">
        <f t="shared" si="117"/>
        <v>-0.22541439496372007</v>
      </c>
      <c r="Q266" s="86">
        <f t="shared" si="118"/>
        <v>-0.54386610480140096</v>
      </c>
      <c r="R266" s="85">
        <f t="shared" si="119"/>
        <v>-0.51140012718453154</v>
      </c>
    </row>
    <row r="267" spans="2:18">
      <c r="B267" s="83"/>
      <c r="C267" s="84">
        <v>33</v>
      </c>
      <c r="D267" s="84">
        <v>64</v>
      </c>
      <c r="E267" s="84">
        <v>0.874</v>
      </c>
      <c r="F267" s="78"/>
      <c r="G267" s="85">
        <f t="shared" si="108"/>
        <v>0.32256976636777041</v>
      </c>
      <c r="H267" s="86">
        <f t="shared" si="109"/>
        <v>0.33333333333333337</v>
      </c>
      <c r="I267" s="85">
        <f t="shared" si="110"/>
        <v>-0.43617021276595747</v>
      </c>
      <c r="J267" s="85">
        <f t="shared" si="111"/>
        <v>-0.12752851711026619</v>
      </c>
      <c r="K267" s="86">
        <f t="shared" si="112"/>
        <v>-0.52387264478467943</v>
      </c>
      <c r="L267" s="87">
        <f t="shared" si="113"/>
        <v>-0.19246887297980014</v>
      </c>
      <c r="M267" s="86">
        <f t="shared" si="114"/>
        <v>-0.23885585867995546</v>
      </c>
      <c r="N267" s="87">
        <f t="shared" si="115"/>
        <v>0.1990697190143281</v>
      </c>
      <c r="O267" s="86">
        <f t="shared" si="116"/>
        <v>-0.5838530248348438</v>
      </c>
      <c r="P267" s="87">
        <f t="shared" si="117"/>
        <v>-0.18155333649068306</v>
      </c>
      <c r="Q267" s="86">
        <f t="shared" si="118"/>
        <v>-0.52387264478467954</v>
      </c>
      <c r="R267" s="85">
        <f t="shared" si="119"/>
        <v>-0.51503863934757055</v>
      </c>
    </row>
    <row r="268" spans="2:18">
      <c r="B268" s="83"/>
      <c r="C268" s="84">
        <v>33</v>
      </c>
      <c r="D268" s="84">
        <v>80</v>
      </c>
      <c r="E268" s="84">
        <v>1.0562499999999999</v>
      </c>
      <c r="F268" s="78"/>
      <c r="G268" s="85">
        <f t="shared" si="108"/>
        <v>0.41858992140333778</v>
      </c>
      <c r="H268" s="86">
        <f t="shared" si="109"/>
        <v>0.33333333333333337</v>
      </c>
      <c r="I268" s="85">
        <f t="shared" si="110"/>
        <v>-0.41489361702127658</v>
      </c>
      <c r="J268" s="85">
        <f t="shared" si="111"/>
        <v>-1.66539923954373E-2</v>
      </c>
      <c r="K268" s="86">
        <f t="shared" si="112"/>
        <v>-0.5038791847679579</v>
      </c>
      <c r="L268" s="87">
        <f t="shared" si="113"/>
        <v>-0.10008723010727176</v>
      </c>
      <c r="M268" s="86">
        <f t="shared" si="114"/>
        <v>-0.2188623986632339</v>
      </c>
      <c r="N268" s="87">
        <f t="shared" si="115"/>
        <v>0.2914513618868565</v>
      </c>
      <c r="O268" s="86">
        <f t="shared" si="116"/>
        <v>-0.5838530248348438</v>
      </c>
      <c r="P268" s="87">
        <f t="shared" si="117"/>
        <v>-8.5533181455115639E-2</v>
      </c>
      <c r="Q268" s="86">
        <f t="shared" si="118"/>
        <v>-0.50387918476795801</v>
      </c>
      <c r="R268" s="85">
        <f t="shared" si="119"/>
        <v>-0.51867715151060956</v>
      </c>
    </row>
    <row r="269" spans="2:18">
      <c r="B269" s="83"/>
      <c r="C269" s="84">
        <v>33</v>
      </c>
      <c r="D269" s="84">
        <v>96</v>
      </c>
      <c r="E269" s="84">
        <v>1.17625</v>
      </c>
      <c r="F269" s="78"/>
      <c r="G269" s="85">
        <f t="shared" si="108"/>
        <v>0.48181306875185964</v>
      </c>
      <c r="H269" s="86">
        <f t="shared" si="109"/>
        <v>0.33333333333333337</v>
      </c>
      <c r="I269" s="85">
        <f t="shared" si="110"/>
        <v>-0.39361702127659576</v>
      </c>
      <c r="J269" s="85">
        <f t="shared" si="111"/>
        <v>5.6349809885931634E-2</v>
      </c>
      <c r="K269" s="86">
        <f t="shared" si="112"/>
        <v>-0.48388572475123648</v>
      </c>
      <c r="L269" s="87">
        <f t="shared" si="113"/>
        <v>-4.0502594921788926E-2</v>
      </c>
      <c r="M269" s="86">
        <f t="shared" si="114"/>
        <v>-0.19886893864651248</v>
      </c>
      <c r="N269" s="87">
        <f t="shared" si="115"/>
        <v>0.35103599707233929</v>
      </c>
      <c r="O269" s="86">
        <f t="shared" si="116"/>
        <v>-0.5838530248348438</v>
      </c>
      <c r="P269" s="87">
        <f t="shared" si="117"/>
        <v>-2.2310034106593782E-2</v>
      </c>
      <c r="Q269" s="86">
        <f t="shared" si="118"/>
        <v>-0.48388572475123653</v>
      </c>
      <c r="R269" s="85">
        <f t="shared" si="119"/>
        <v>-0.52231566367364857</v>
      </c>
    </row>
    <row r="270" spans="2:18">
      <c r="B270" s="83"/>
      <c r="C270" s="84">
        <v>33</v>
      </c>
      <c r="D270" s="84">
        <v>112</v>
      </c>
      <c r="E270" s="84">
        <v>1.3360000000000001</v>
      </c>
      <c r="F270" s="78"/>
      <c r="G270" s="85">
        <f t="shared" si="108"/>
        <v>0.56597888365957927</v>
      </c>
      <c r="H270" s="86">
        <f t="shared" si="109"/>
        <v>0.33333333333333337</v>
      </c>
      <c r="I270" s="85">
        <f t="shared" si="110"/>
        <v>-0.37234042553191493</v>
      </c>
      <c r="J270" s="85">
        <f t="shared" si="111"/>
        <v>0.1535361216730039</v>
      </c>
      <c r="K270" s="86">
        <f t="shared" si="112"/>
        <v>-0.46389226473451506</v>
      </c>
      <c r="L270" s="87">
        <f t="shared" si="113"/>
        <v>4.002470782289165E-2</v>
      </c>
      <c r="M270" s="86">
        <f t="shared" si="114"/>
        <v>-0.17887547862979103</v>
      </c>
      <c r="N270" s="87">
        <f t="shared" si="115"/>
        <v>0.43156329981701991</v>
      </c>
      <c r="O270" s="86">
        <f t="shared" si="116"/>
        <v>-0.5838530248348438</v>
      </c>
      <c r="P270" s="87">
        <f t="shared" si="117"/>
        <v>6.1855780801125831E-2</v>
      </c>
      <c r="Q270" s="86">
        <f t="shared" si="118"/>
        <v>-0.46389226473451511</v>
      </c>
      <c r="R270" s="85">
        <f t="shared" si="119"/>
        <v>-0.52595417583668758</v>
      </c>
    </row>
    <row r="271" spans="2:18">
      <c r="B271" s="83"/>
      <c r="C271" s="84">
        <v>33</v>
      </c>
      <c r="D271" s="84">
        <v>128</v>
      </c>
      <c r="E271" s="84">
        <v>1.492</v>
      </c>
      <c r="F271" s="78"/>
      <c r="G271" s="85">
        <f t="shared" si="108"/>
        <v>0.64816897521265737</v>
      </c>
      <c r="H271" s="86">
        <f t="shared" si="109"/>
        <v>0.33333333333333337</v>
      </c>
      <c r="I271" s="85">
        <f t="shared" si="110"/>
        <v>-0.35106382978723405</v>
      </c>
      <c r="J271" s="85">
        <f t="shared" si="111"/>
        <v>0.24844106463878324</v>
      </c>
      <c r="K271" s="86">
        <f t="shared" si="112"/>
        <v>-0.44389880471779358</v>
      </c>
      <c r="L271" s="87">
        <f t="shared" si="113"/>
        <v>0.11857628721293081</v>
      </c>
      <c r="M271" s="86">
        <f t="shared" si="114"/>
        <v>-0.15888201861306955</v>
      </c>
      <c r="N271" s="87">
        <f t="shared" si="115"/>
        <v>0.510114879207059</v>
      </c>
      <c r="O271" s="86">
        <f t="shared" si="116"/>
        <v>-0.5838530248348438</v>
      </c>
      <c r="P271" s="87">
        <f t="shared" si="117"/>
        <v>0.14404587235420402</v>
      </c>
      <c r="Q271" s="86">
        <f t="shared" si="118"/>
        <v>-0.44389880471779369</v>
      </c>
      <c r="R271" s="85">
        <f t="shared" si="119"/>
        <v>-0.52959268799972659</v>
      </c>
    </row>
    <row r="272" spans="2:18">
      <c r="B272" s="83"/>
      <c r="C272" s="84">
        <v>36</v>
      </c>
      <c r="D272" s="84">
        <v>16</v>
      </c>
      <c r="E272" s="84">
        <v>0.29525000000000001</v>
      </c>
      <c r="F272" s="78"/>
      <c r="G272" s="85">
        <f t="shared" si="108"/>
        <v>1.7649795301462379E-2</v>
      </c>
      <c r="H272" s="86">
        <f t="shared" si="109"/>
        <v>0.41666666666666663</v>
      </c>
      <c r="I272" s="85">
        <f t="shared" si="110"/>
        <v>-0.5</v>
      </c>
      <c r="J272" s="85">
        <f t="shared" si="111"/>
        <v>-0.47961977186311783</v>
      </c>
      <c r="K272" s="86">
        <f t="shared" si="112"/>
        <v>-0.61235470344531628</v>
      </c>
      <c r="L272" s="87">
        <f t="shared" si="113"/>
        <v>-0.52562716675640386</v>
      </c>
      <c r="M272" s="86">
        <f t="shared" si="114"/>
        <v>-0.29883623873011983</v>
      </c>
      <c r="N272" s="87">
        <f t="shared" si="115"/>
        <v>-9.4934715562862815E-2</v>
      </c>
      <c r="O272" s="86">
        <f t="shared" si="116"/>
        <v>-0.61235470344531628</v>
      </c>
      <c r="P272" s="87">
        <f t="shared" si="117"/>
        <v>-0.52562716675640386</v>
      </c>
      <c r="Q272" s="86">
        <f t="shared" si="118"/>
        <v>-0.61235470344531628</v>
      </c>
      <c r="R272" s="85">
        <f t="shared" si="119"/>
        <v>-0.54327696205786624</v>
      </c>
    </row>
    <row r="273" spans="2:18">
      <c r="B273" s="83"/>
      <c r="C273" s="84">
        <v>36</v>
      </c>
      <c r="D273" s="84">
        <v>32</v>
      </c>
      <c r="E273" s="84">
        <v>0.68</v>
      </c>
      <c r="F273" s="78"/>
      <c r="G273" s="85">
        <f t="shared" si="108"/>
        <v>0.22035901148766024</v>
      </c>
      <c r="H273" s="86">
        <f t="shared" si="109"/>
        <v>0.41666666666666663</v>
      </c>
      <c r="I273" s="85">
        <f t="shared" si="110"/>
        <v>-0.47872340425531917</v>
      </c>
      <c r="J273" s="85">
        <f t="shared" si="111"/>
        <v>-0.24555133079847907</v>
      </c>
      <c r="K273" s="86">
        <f t="shared" si="112"/>
        <v>-0.59236124342859475</v>
      </c>
      <c r="L273" s="87">
        <f t="shared" si="113"/>
        <v>-0.32655646273324501</v>
      </c>
      <c r="M273" s="86">
        <f t="shared" si="114"/>
        <v>-0.27884277871339841</v>
      </c>
      <c r="N273" s="87">
        <f t="shared" si="115"/>
        <v>0.10413598846029604</v>
      </c>
      <c r="O273" s="86">
        <f t="shared" si="116"/>
        <v>-0.61235470344531617</v>
      </c>
      <c r="P273" s="87">
        <f t="shared" si="117"/>
        <v>-0.322917950570206</v>
      </c>
      <c r="Q273" s="86">
        <f t="shared" si="118"/>
        <v>-0.59236124342859486</v>
      </c>
      <c r="R273" s="85">
        <f t="shared" si="119"/>
        <v>-0.54691547422090525</v>
      </c>
    </row>
    <row r="274" spans="2:18">
      <c r="B274" s="83"/>
      <c r="C274" s="84">
        <v>36</v>
      </c>
      <c r="D274" s="84">
        <v>48</v>
      </c>
      <c r="E274" s="84">
        <v>0.8125</v>
      </c>
      <c r="F274" s="78"/>
      <c r="G274" s="85">
        <f t="shared" si="108"/>
        <v>0.29016790335165299</v>
      </c>
      <c r="H274" s="86">
        <f t="shared" si="109"/>
        <v>0.41666666666666663</v>
      </c>
      <c r="I274" s="85">
        <f t="shared" si="110"/>
        <v>-0.45744680851063829</v>
      </c>
      <c r="J274" s="85">
        <f t="shared" si="111"/>
        <v>-0.16494296577946765</v>
      </c>
      <c r="K274" s="86">
        <f t="shared" si="112"/>
        <v>-0.57236778341187322</v>
      </c>
      <c r="L274" s="87">
        <f t="shared" si="113"/>
        <v>-0.26038608303229127</v>
      </c>
      <c r="M274" s="86">
        <f t="shared" si="114"/>
        <v>-0.25884931869667682</v>
      </c>
      <c r="N274" s="87">
        <f t="shared" si="115"/>
        <v>0.17030636816124975</v>
      </c>
      <c r="O274" s="86">
        <f t="shared" si="116"/>
        <v>-0.61235470344531617</v>
      </c>
      <c r="P274" s="87">
        <f t="shared" si="117"/>
        <v>-0.25310905870621325</v>
      </c>
      <c r="Q274" s="86">
        <f t="shared" si="118"/>
        <v>-0.57236778341187333</v>
      </c>
      <c r="R274" s="85">
        <f t="shared" si="119"/>
        <v>-0.55055398638394426</v>
      </c>
    </row>
    <row r="275" spans="2:18">
      <c r="B275" s="83"/>
      <c r="C275" s="84">
        <v>36</v>
      </c>
      <c r="D275" s="84">
        <v>64</v>
      </c>
      <c r="E275" s="84">
        <v>0.91749999999999998</v>
      </c>
      <c r="F275" s="78"/>
      <c r="G275" s="85">
        <f t="shared" si="108"/>
        <v>0.34548815728160953</v>
      </c>
      <c r="H275" s="86">
        <f t="shared" si="109"/>
        <v>0.41666666666666663</v>
      </c>
      <c r="I275" s="85">
        <f t="shared" si="110"/>
        <v>-0.43617021276595747</v>
      </c>
      <c r="J275" s="85">
        <f t="shared" si="111"/>
        <v>-0.10106463878326993</v>
      </c>
      <c r="K275" s="86">
        <f t="shared" si="112"/>
        <v>-0.5523743233951518</v>
      </c>
      <c r="L275" s="87">
        <f t="shared" si="113"/>
        <v>-0.20870434126537377</v>
      </c>
      <c r="M275" s="86">
        <f t="shared" si="114"/>
        <v>-0.23885585867995543</v>
      </c>
      <c r="N275" s="87">
        <f t="shared" si="115"/>
        <v>0.22198810992816728</v>
      </c>
      <c r="O275" s="86">
        <f t="shared" si="116"/>
        <v>-0.61235470344531617</v>
      </c>
      <c r="P275" s="87">
        <f t="shared" si="117"/>
        <v>-0.19778880477625668</v>
      </c>
      <c r="Q275" s="86">
        <f t="shared" si="118"/>
        <v>-0.55237432339515191</v>
      </c>
      <c r="R275" s="85">
        <f t="shared" si="119"/>
        <v>-0.55419249854698327</v>
      </c>
    </row>
    <row r="276" spans="2:18">
      <c r="B276" s="83"/>
      <c r="C276" s="84">
        <v>36</v>
      </c>
      <c r="D276" s="84">
        <v>80</v>
      </c>
      <c r="E276" s="84">
        <v>1.1180000000000001</v>
      </c>
      <c r="F276" s="78"/>
      <c r="G276" s="85">
        <f t="shared" si="108"/>
        <v>0.45112349930976481</v>
      </c>
      <c r="H276" s="86">
        <f t="shared" si="109"/>
        <v>0.41666666666666663</v>
      </c>
      <c r="I276" s="85">
        <f t="shared" si="110"/>
        <v>-0.41489361702127658</v>
      </c>
      <c r="J276" s="85">
        <f t="shared" si="111"/>
        <v>2.0912547528517234E-2</v>
      </c>
      <c r="K276" s="86">
        <f t="shared" si="112"/>
        <v>-0.53238086337843027</v>
      </c>
      <c r="L276" s="87">
        <f t="shared" si="113"/>
        <v>-0.10670751140025761</v>
      </c>
      <c r="M276" s="86">
        <f t="shared" si="114"/>
        <v>-0.2188623986632339</v>
      </c>
      <c r="N276" s="87">
        <f t="shared" si="115"/>
        <v>0.32398493979328347</v>
      </c>
      <c r="O276" s="86">
        <f t="shared" si="116"/>
        <v>-0.61235470344531617</v>
      </c>
      <c r="P276" s="87">
        <f t="shared" si="117"/>
        <v>-9.2153462748101489E-2</v>
      </c>
      <c r="Q276" s="86">
        <f t="shared" si="118"/>
        <v>-0.53238086337843038</v>
      </c>
      <c r="R276" s="85">
        <f t="shared" si="119"/>
        <v>-0.55783101071002239</v>
      </c>
    </row>
    <row r="277" spans="2:18">
      <c r="B277" s="83"/>
      <c r="C277" s="84">
        <v>36</v>
      </c>
      <c r="D277" s="84">
        <v>96</v>
      </c>
      <c r="E277" s="84">
        <v>1.2529999999999999</v>
      </c>
      <c r="F277" s="78"/>
      <c r="G277" s="85">
        <f t="shared" si="108"/>
        <v>0.52224954007685165</v>
      </c>
      <c r="H277" s="86">
        <f t="shared" si="109"/>
        <v>0.41666666666666663</v>
      </c>
      <c r="I277" s="85">
        <f t="shared" si="110"/>
        <v>-0.39361702127659576</v>
      </c>
      <c r="J277" s="85">
        <f t="shared" si="111"/>
        <v>0.10304182509505699</v>
      </c>
      <c r="K277" s="86">
        <f t="shared" si="112"/>
        <v>-0.51238740336170885</v>
      </c>
      <c r="L277" s="87">
        <f t="shared" si="113"/>
        <v>-3.9219982796209807E-2</v>
      </c>
      <c r="M277" s="86">
        <f t="shared" si="114"/>
        <v>-0.19886893864651248</v>
      </c>
      <c r="N277" s="87">
        <f t="shared" si="115"/>
        <v>0.39147246839733124</v>
      </c>
      <c r="O277" s="86">
        <f t="shared" si="116"/>
        <v>-0.61235470344531617</v>
      </c>
      <c r="P277" s="87">
        <f t="shared" si="117"/>
        <v>-2.1027421981014649E-2</v>
      </c>
      <c r="Q277" s="86">
        <f t="shared" si="118"/>
        <v>-0.51238740336170896</v>
      </c>
      <c r="R277" s="85">
        <f t="shared" si="119"/>
        <v>-0.5614695228730614</v>
      </c>
    </row>
    <row r="278" spans="2:18">
      <c r="B278" s="83"/>
      <c r="C278" s="84">
        <v>36</v>
      </c>
      <c r="D278" s="84">
        <v>112</v>
      </c>
      <c r="E278" s="84">
        <v>1.4365000000000001</v>
      </c>
      <c r="F278" s="78"/>
      <c r="G278" s="85">
        <f t="shared" si="108"/>
        <v>0.61892826956396618</v>
      </c>
      <c r="H278" s="86">
        <f t="shared" si="109"/>
        <v>0.41666666666666663</v>
      </c>
      <c r="I278" s="85">
        <f t="shared" si="110"/>
        <v>-0.37234042553191493</v>
      </c>
      <c r="J278" s="85">
        <f t="shared" si="111"/>
        <v>0.21467680608365025</v>
      </c>
      <c r="K278" s="86">
        <f t="shared" si="112"/>
        <v>-0.49239394334498743</v>
      </c>
      <c r="L278" s="87">
        <f t="shared" si="113"/>
        <v>5.3820234527865801E-2</v>
      </c>
      <c r="M278" s="86">
        <f t="shared" si="114"/>
        <v>-0.17887547862979103</v>
      </c>
      <c r="N278" s="87">
        <f t="shared" si="115"/>
        <v>0.48451268572140682</v>
      </c>
      <c r="O278" s="86">
        <f t="shared" si="116"/>
        <v>-0.61235470344531617</v>
      </c>
      <c r="P278" s="87">
        <f t="shared" si="117"/>
        <v>7.5651307506099968E-2</v>
      </c>
      <c r="Q278" s="86">
        <f t="shared" si="118"/>
        <v>-0.49239394334498748</v>
      </c>
      <c r="R278" s="85">
        <f t="shared" si="119"/>
        <v>-0.56510803503610041</v>
      </c>
    </row>
    <row r="279" spans="2:18">
      <c r="B279" s="83"/>
      <c r="C279" s="84">
        <v>36</v>
      </c>
      <c r="D279" s="84">
        <v>128</v>
      </c>
      <c r="E279" s="84">
        <v>1.62225</v>
      </c>
      <c r="F279" s="78"/>
      <c r="G279" s="85">
        <f t="shared" si="108"/>
        <v>0.71679243306386542</v>
      </c>
      <c r="H279" s="86">
        <f t="shared" si="109"/>
        <v>0.41666666666666663</v>
      </c>
      <c r="I279" s="85">
        <f t="shared" si="110"/>
        <v>-0.35106382978723405</v>
      </c>
      <c r="J279" s="85">
        <f t="shared" si="111"/>
        <v>0.327680608365019</v>
      </c>
      <c r="K279" s="86">
        <f t="shared" si="112"/>
        <v>-0.47240048332826595</v>
      </c>
      <c r="L279" s="87">
        <f t="shared" si="113"/>
        <v>0.14804588586472603</v>
      </c>
      <c r="M279" s="86">
        <f t="shared" si="114"/>
        <v>-0.15888201861306955</v>
      </c>
      <c r="N279" s="87">
        <f t="shared" si="115"/>
        <v>0.57873833705826705</v>
      </c>
      <c r="O279" s="86">
        <f t="shared" si="116"/>
        <v>-0.61235470344531617</v>
      </c>
      <c r="P279" s="87">
        <f t="shared" si="117"/>
        <v>0.17351547100599923</v>
      </c>
      <c r="Q279" s="86">
        <f t="shared" si="118"/>
        <v>-0.47240048332826606</v>
      </c>
      <c r="R279" s="85">
        <f t="shared" si="119"/>
        <v>-0.56874654719913942</v>
      </c>
    </row>
    <row r="280" spans="2:18">
      <c r="B280" s="83"/>
      <c r="C280" s="84">
        <v>39</v>
      </c>
      <c r="D280" s="84">
        <v>16</v>
      </c>
      <c r="E280" s="84">
        <v>0.32</v>
      </c>
      <c r="F280" s="78"/>
      <c r="G280" s="85">
        <f t="shared" si="108"/>
        <v>3.0689569442094999E-2</v>
      </c>
      <c r="H280" s="86">
        <f t="shared" si="109"/>
        <v>0.5</v>
      </c>
      <c r="I280" s="85">
        <f t="shared" si="110"/>
        <v>-0.5</v>
      </c>
      <c r="J280" s="85">
        <f t="shared" si="111"/>
        <v>-0.46456273764258554</v>
      </c>
      <c r="K280" s="86">
        <f t="shared" si="112"/>
        <v>-0.64085638205578865</v>
      </c>
      <c r="L280" s="87">
        <f t="shared" si="113"/>
        <v>-0.55174125181518408</v>
      </c>
      <c r="M280" s="86">
        <f t="shared" si="114"/>
        <v>-0.29883623873011983</v>
      </c>
      <c r="N280" s="87">
        <f t="shared" si="115"/>
        <v>-8.189494142223025E-2</v>
      </c>
      <c r="O280" s="86">
        <f t="shared" si="116"/>
        <v>-0.64085638205578865</v>
      </c>
      <c r="P280" s="87">
        <f t="shared" si="117"/>
        <v>-0.55174125181518408</v>
      </c>
      <c r="Q280" s="86">
        <f t="shared" si="118"/>
        <v>-0.64085638205578865</v>
      </c>
      <c r="R280" s="85">
        <f t="shared" si="119"/>
        <v>-0.58243082125727907</v>
      </c>
    </row>
    <row r="281" spans="2:18">
      <c r="B281" s="83"/>
      <c r="C281" s="84">
        <v>39</v>
      </c>
      <c r="D281" s="84">
        <v>32</v>
      </c>
      <c r="E281" s="84">
        <v>0.69199999999999995</v>
      </c>
      <c r="F281" s="78"/>
      <c r="G281" s="85">
        <f t="shared" ref="G281:G312" si="120">D$19*(L281-R281)</f>
        <v>0.22668132622251239</v>
      </c>
      <c r="H281" s="86">
        <f t="shared" ref="H281:H312" si="121">(C281-H$16)/H$17-0.5</f>
        <v>-0.30952380952380953</v>
      </c>
      <c r="I281" s="85">
        <f t="shared" ref="I281:I312" si="122">(D281-I$16)/I$17-0.5</f>
        <v>-0.47872340425531917</v>
      </c>
      <c r="J281" s="85">
        <f t="shared" ref="J281:J312" si="123">(E281-J$16)/J$17-0.5</f>
        <v>-0.23825095057034223</v>
      </c>
      <c r="K281" s="86">
        <f t="shared" ref="K281:K312" si="124">(H281*$H$13+I281*$I$13+J281*$J$13+$D$27)*$C$27</f>
        <v>-0.34398947268019242</v>
      </c>
      <c r="L281" s="87">
        <f t="shared" ref="L281:L312" si="125">(H281*$H$14+I281*$I$14+J281*$J$14+$E$27)*$C$27</f>
        <v>2.0963767882204581E-2</v>
      </c>
      <c r="M281" s="86">
        <f t="shared" ref="M281:M312" si="126">(H$27*$H$13+I281*$I$13+J281*$J$13+$D$27)*$C$27</f>
        <v>-0.27884277871339841</v>
      </c>
      <c r="N281" s="87">
        <f t="shared" ref="N281:N312" si="127">(H$27*$H$14+I281*$I$14+J281*$J$14+$E$27)*$C$27</f>
        <v>0.11045830319514818</v>
      </c>
      <c r="O281" s="86">
        <f t="shared" ref="O281:O312" si="128">(H281*$H$13+I$27*$I$13+J281*$J$13+$D$27)*$C$27</f>
        <v>-0.36398293269691384</v>
      </c>
      <c r="P281" s="87">
        <f t="shared" ref="P281:P312" si="129">(H281*$H$14+I$27*$I$14+J281*$J$14+$E$27)*$C$27</f>
        <v>2.4602280045243591E-2</v>
      </c>
      <c r="Q281" s="86">
        <f t="shared" ref="Q281:Q312" si="130">(H281*$H$13+I281*$I$13+J$27*$J$13+$D$27)*$C$27</f>
        <v>-0.34398947268019242</v>
      </c>
      <c r="R281" s="85">
        <f t="shared" ref="R281:R312" si="131">(H281*$H$14+I281*$I$14+J$27*$J$14+$E$27)*$C$27</f>
        <v>-0.2057175583403078</v>
      </c>
    </row>
    <row r="282" spans="2:18">
      <c r="B282" s="83"/>
      <c r="C282" s="84">
        <v>39</v>
      </c>
      <c r="D282" s="84">
        <v>48</v>
      </c>
      <c r="E282" s="84">
        <v>0.84150000000000003</v>
      </c>
      <c r="F282" s="78"/>
      <c r="G282" s="85">
        <f t="shared" si="120"/>
        <v>0.30544683062754574</v>
      </c>
      <c r="H282" s="86">
        <f t="shared" si="121"/>
        <v>-0.30952380952380953</v>
      </c>
      <c r="I282" s="85">
        <f t="shared" si="122"/>
        <v>-0.45744680851063829</v>
      </c>
      <c r="J282" s="85">
        <f t="shared" si="123"/>
        <v>-0.14730038022813691</v>
      </c>
      <c r="K282" s="86">
        <f t="shared" si="124"/>
        <v>-0.32399601266347089</v>
      </c>
      <c r="L282" s="87">
        <f t="shared" si="125"/>
        <v>9.6090760124198871E-2</v>
      </c>
      <c r="M282" s="86">
        <f t="shared" si="126"/>
        <v>-0.25884931869667682</v>
      </c>
      <c r="N282" s="87">
        <f t="shared" si="127"/>
        <v>0.18558529543714247</v>
      </c>
      <c r="O282" s="86">
        <f t="shared" si="128"/>
        <v>-0.36398293269691379</v>
      </c>
      <c r="P282" s="87">
        <f t="shared" si="129"/>
        <v>0.10336778445027694</v>
      </c>
      <c r="Q282" s="86">
        <f t="shared" si="130"/>
        <v>-0.32399601266347094</v>
      </c>
      <c r="R282" s="85">
        <f t="shared" si="131"/>
        <v>-0.20935607050334687</v>
      </c>
    </row>
    <row r="283" spans="2:18">
      <c r="B283" s="83"/>
      <c r="C283" s="84">
        <v>39</v>
      </c>
      <c r="D283" s="84">
        <v>64</v>
      </c>
      <c r="E283" s="84">
        <v>0.95399999999999996</v>
      </c>
      <c r="F283" s="78"/>
      <c r="G283" s="85">
        <f t="shared" si="120"/>
        <v>0.36471853126678488</v>
      </c>
      <c r="H283" s="86">
        <f t="shared" si="121"/>
        <v>-0.30952380952380953</v>
      </c>
      <c r="I283" s="85">
        <f t="shared" si="122"/>
        <v>-0.43617021276595747</v>
      </c>
      <c r="J283" s="85">
        <f t="shared" si="123"/>
        <v>-7.8859315589353607E-2</v>
      </c>
      <c r="K283" s="86">
        <f t="shared" si="124"/>
        <v>-0.30400255264674947</v>
      </c>
      <c r="L283" s="87">
        <f t="shared" si="125"/>
        <v>0.15172394860039903</v>
      </c>
      <c r="M283" s="86">
        <f t="shared" si="126"/>
        <v>-0.23885585867995543</v>
      </c>
      <c r="N283" s="87">
        <f t="shared" si="127"/>
        <v>0.24121848391334264</v>
      </c>
      <c r="O283" s="86">
        <f t="shared" si="128"/>
        <v>-0.36398293269691379</v>
      </c>
      <c r="P283" s="87">
        <f t="shared" si="129"/>
        <v>0.16263948508951612</v>
      </c>
      <c r="Q283" s="86">
        <f t="shared" si="130"/>
        <v>-0.30400255264674952</v>
      </c>
      <c r="R283" s="85">
        <f t="shared" si="131"/>
        <v>-0.21299458266638588</v>
      </c>
    </row>
    <row r="284" spans="2:18">
      <c r="B284" s="83"/>
      <c r="C284" s="84">
        <v>39</v>
      </c>
      <c r="D284" s="84">
        <v>80</v>
      </c>
      <c r="E284" s="84">
        <v>1.18075</v>
      </c>
      <c r="F284" s="78"/>
      <c r="G284" s="85">
        <f t="shared" si="120"/>
        <v>0.48418393677742921</v>
      </c>
      <c r="H284" s="86">
        <f t="shared" si="121"/>
        <v>-0.30952380952380953</v>
      </c>
      <c r="I284" s="85">
        <f t="shared" si="122"/>
        <v>-0.41489361702127658</v>
      </c>
      <c r="J284" s="85">
        <f t="shared" si="123"/>
        <v>5.9087452471482949E-2</v>
      </c>
      <c r="K284" s="86">
        <f t="shared" si="124"/>
        <v>-0.28400909263002794</v>
      </c>
      <c r="L284" s="87">
        <f t="shared" si="125"/>
        <v>0.26755084194800427</v>
      </c>
      <c r="M284" s="86">
        <f t="shared" si="126"/>
        <v>-0.2188623986632339</v>
      </c>
      <c r="N284" s="87">
        <f t="shared" si="127"/>
        <v>0.35704537726094793</v>
      </c>
      <c r="O284" s="86">
        <f t="shared" si="128"/>
        <v>-0.36398293269691379</v>
      </c>
      <c r="P284" s="87">
        <f t="shared" si="129"/>
        <v>0.28210489060016042</v>
      </c>
      <c r="Q284" s="86">
        <f t="shared" si="130"/>
        <v>-0.28400909263002799</v>
      </c>
      <c r="R284" s="85">
        <f t="shared" si="131"/>
        <v>-0.21663309482942492</v>
      </c>
    </row>
    <row r="285" spans="2:18">
      <c r="B285" s="83"/>
      <c r="C285" s="84">
        <v>39</v>
      </c>
      <c r="D285" s="84">
        <v>96</v>
      </c>
      <c r="E285" s="84">
        <v>1.33725</v>
      </c>
      <c r="F285" s="78"/>
      <c r="G285" s="85">
        <f t="shared" si="120"/>
        <v>0.56663745811112631</v>
      </c>
      <c r="H285" s="86">
        <f t="shared" si="121"/>
        <v>-0.30952380952380953</v>
      </c>
      <c r="I285" s="85">
        <f t="shared" si="122"/>
        <v>-0.39361702127659576</v>
      </c>
      <c r="J285" s="85">
        <f t="shared" si="123"/>
        <v>0.1542965779467681</v>
      </c>
      <c r="K285" s="86">
        <f t="shared" si="124"/>
        <v>-0.26401563261330652</v>
      </c>
      <c r="L285" s="87">
        <f t="shared" si="125"/>
        <v>0.34636585111866236</v>
      </c>
      <c r="M285" s="86">
        <f t="shared" si="126"/>
        <v>-0.19886893864651245</v>
      </c>
      <c r="N285" s="87">
        <f t="shared" si="127"/>
        <v>0.43586038643160596</v>
      </c>
      <c r="O285" s="86">
        <f t="shared" si="128"/>
        <v>-0.36398293269691379</v>
      </c>
      <c r="P285" s="87">
        <f t="shared" si="129"/>
        <v>0.36455841193385752</v>
      </c>
      <c r="Q285" s="86">
        <f t="shared" si="130"/>
        <v>-0.26401563261330657</v>
      </c>
      <c r="R285" s="85">
        <f t="shared" si="131"/>
        <v>-0.22027160699246395</v>
      </c>
    </row>
    <row r="286" spans="2:18">
      <c r="B286" s="83"/>
      <c r="C286" s="84">
        <v>39</v>
      </c>
      <c r="D286" s="84">
        <v>112</v>
      </c>
      <c r="E286" s="84">
        <v>1.5365</v>
      </c>
      <c r="F286" s="78"/>
      <c r="G286" s="85">
        <f t="shared" si="120"/>
        <v>0.67161422568773432</v>
      </c>
      <c r="H286" s="86">
        <f t="shared" si="121"/>
        <v>-0.30952380952380953</v>
      </c>
      <c r="I286" s="85">
        <f t="shared" si="122"/>
        <v>-0.37234042553191493</v>
      </c>
      <c r="J286" s="85">
        <f t="shared" si="123"/>
        <v>0.2755133079847909</v>
      </c>
      <c r="K286" s="86">
        <f t="shared" si="124"/>
        <v>-0.24402217259658507</v>
      </c>
      <c r="L286" s="87">
        <f t="shared" si="125"/>
        <v>0.44770410653223136</v>
      </c>
      <c r="M286" s="86">
        <f t="shared" si="126"/>
        <v>-0.17887547862979103</v>
      </c>
      <c r="N286" s="87">
        <f t="shared" si="127"/>
        <v>0.53719864184517496</v>
      </c>
      <c r="O286" s="86">
        <f t="shared" si="128"/>
        <v>-0.36398293269691373</v>
      </c>
      <c r="P286" s="87">
        <f t="shared" si="129"/>
        <v>0.46953517951046553</v>
      </c>
      <c r="Q286" s="86">
        <f t="shared" si="130"/>
        <v>-0.24402217259658515</v>
      </c>
      <c r="R286" s="85">
        <f t="shared" si="131"/>
        <v>-0.22391011915550296</v>
      </c>
    </row>
    <row r="287" spans="2:18">
      <c r="B287" s="83"/>
      <c r="C287" s="84">
        <v>42</v>
      </c>
      <c r="D287" s="84">
        <v>16</v>
      </c>
      <c r="E287" s="84">
        <v>0.34949999999999998</v>
      </c>
      <c r="F287" s="78"/>
      <c r="G287" s="85">
        <f t="shared" si="120"/>
        <v>4.6231926498606524E-2</v>
      </c>
      <c r="H287" s="86">
        <f t="shared" si="121"/>
        <v>-0.29365079365079366</v>
      </c>
      <c r="I287" s="85">
        <f t="shared" si="122"/>
        <v>-0.5</v>
      </c>
      <c r="J287" s="85">
        <f t="shared" si="123"/>
        <v>-0.44661596958174904</v>
      </c>
      <c r="K287" s="86">
        <f t="shared" si="124"/>
        <v>-0.36941182386081334</v>
      </c>
      <c r="L287" s="87">
        <f t="shared" si="125"/>
        <v>-0.16330499762140757</v>
      </c>
      <c r="M287" s="86">
        <f t="shared" si="126"/>
        <v>-0.29883623873011983</v>
      </c>
      <c r="N287" s="87">
        <f t="shared" si="127"/>
        <v>-6.635258436571867E-2</v>
      </c>
      <c r="O287" s="86">
        <f t="shared" si="128"/>
        <v>-0.36941182386081334</v>
      </c>
      <c r="P287" s="87">
        <f t="shared" si="129"/>
        <v>-0.16330499762140757</v>
      </c>
      <c r="Q287" s="86">
        <f t="shared" si="130"/>
        <v>-0.36941182386081334</v>
      </c>
      <c r="R287" s="85">
        <f t="shared" si="131"/>
        <v>-0.2095369241200141</v>
      </c>
    </row>
    <row r="288" spans="2:18">
      <c r="B288" s="83"/>
      <c r="C288" s="84">
        <v>42</v>
      </c>
      <c r="D288" s="84">
        <v>32</v>
      </c>
      <c r="E288" s="84">
        <v>0.70374999999999999</v>
      </c>
      <c r="F288" s="78"/>
      <c r="G288" s="85">
        <f t="shared" si="120"/>
        <v>0.23287192606705515</v>
      </c>
      <c r="H288" s="86">
        <f t="shared" si="121"/>
        <v>-0.29365079365079366</v>
      </c>
      <c r="I288" s="85">
        <f t="shared" si="122"/>
        <v>-0.47872340425531917</v>
      </c>
      <c r="J288" s="85">
        <f t="shared" si="123"/>
        <v>-0.23110266159695819</v>
      </c>
      <c r="K288" s="86">
        <f t="shared" si="124"/>
        <v>-0.34941836384409192</v>
      </c>
      <c r="L288" s="87">
        <f t="shared" si="125"/>
        <v>1.9696489784002014E-2</v>
      </c>
      <c r="M288" s="86">
        <f t="shared" si="126"/>
        <v>-0.27884277871339841</v>
      </c>
      <c r="N288" s="87">
        <f t="shared" si="127"/>
        <v>0.11664890303969094</v>
      </c>
      <c r="O288" s="86">
        <f t="shared" si="128"/>
        <v>-0.36941182386081334</v>
      </c>
      <c r="P288" s="87">
        <f t="shared" si="129"/>
        <v>2.3335001947041051E-2</v>
      </c>
      <c r="Q288" s="86">
        <f t="shared" si="130"/>
        <v>-0.34941836384409192</v>
      </c>
      <c r="R288" s="85">
        <f t="shared" si="131"/>
        <v>-0.21317543628305313</v>
      </c>
    </row>
    <row r="289" spans="2:18">
      <c r="B289" s="83"/>
      <c r="C289" s="84">
        <v>42</v>
      </c>
      <c r="D289" s="84">
        <v>48</v>
      </c>
      <c r="E289" s="84">
        <v>0.86124999999999996</v>
      </c>
      <c r="F289" s="78"/>
      <c r="G289" s="85">
        <f t="shared" si="120"/>
        <v>0.31585230696198996</v>
      </c>
      <c r="H289" s="86">
        <f t="shared" si="121"/>
        <v>-0.29365079365079366</v>
      </c>
      <c r="I289" s="85">
        <f t="shared" si="122"/>
        <v>-0.45744680851063829</v>
      </c>
      <c r="J289" s="85">
        <f t="shared" si="123"/>
        <v>-0.13528517110266164</v>
      </c>
      <c r="K289" s="86">
        <f t="shared" si="124"/>
        <v>-0.32942490382737044</v>
      </c>
      <c r="L289" s="87">
        <f t="shared" si="125"/>
        <v>9.903835851589779E-2</v>
      </c>
      <c r="M289" s="86">
        <f t="shared" si="126"/>
        <v>-0.25884931869667682</v>
      </c>
      <c r="N289" s="87">
        <f t="shared" si="127"/>
        <v>0.19599077177158666</v>
      </c>
      <c r="O289" s="86">
        <f t="shared" si="128"/>
        <v>-0.36941182386081328</v>
      </c>
      <c r="P289" s="87">
        <f t="shared" si="129"/>
        <v>0.10631538284197584</v>
      </c>
      <c r="Q289" s="86">
        <f t="shared" si="130"/>
        <v>-0.3294249038273705</v>
      </c>
      <c r="R289" s="85">
        <f t="shared" si="131"/>
        <v>-0.21681394844609214</v>
      </c>
    </row>
    <row r="290" spans="2:18">
      <c r="B290" s="83"/>
      <c r="C290" s="84">
        <v>42</v>
      </c>
      <c r="D290" s="84">
        <v>64</v>
      </c>
      <c r="E290" s="84">
        <v>0.99299999999999999</v>
      </c>
      <c r="F290" s="78"/>
      <c r="G290" s="85">
        <f t="shared" si="120"/>
        <v>0.38526605415505444</v>
      </c>
      <c r="H290" s="86">
        <f t="shared" si="121"/>
        <v>-0.29365079365079366</v>
      </c>
      <c r="I290" s="85">
        <f t="shared" si="122"/>
        <v>-0.43617021276595747</v>
      </c>
      <c r="J290" s="85">
        <f t="shared" si="123"/>
        <v>-5.5133079847908772E-2</v>
      </c>
      <c r="K290" s="86">
        <f t="shared" si="124"/>
        <v>-0.30943144381064902</v>
      </c>
      <c r="L290" s="87">
        <f t="shared" si="125"/>
        <v>0.16481359354592329</v>
      </c>
      <c r="M290" s="86">
        <f t="shared" si="126"/>
        <v>-0.23885585867995543</v>
      </c>
      <c r="N290" s="87">
        <f t="shared" si="127"/>
        <v>0.26176600680161216</v>
      </c>
      <c r="O290" s="86">
        <f t="shared" si="128"/>
        <v>-0.36941182386081328</v>
      </c>
      <c r="P290" s="87">
        <f t="shared" si="129"/>
        <v>0.17572913003504037</v>
      </c>
      <c r="Q290" s="86">
        <f t="shared" si="130"/>
        <v>-0.30943144381064908</v>
      </c>
      <c r="R290" s="85">
        <f t="shared" si="131"/>
        <v>-0.22045246060913118</v>
      </c>
    </row>
    <row r="291" spans="2:18">
      <c r="B291" s="83"/>
      <c r="C291" s="84">
        <v>42</v>
      </c>
      <c r="D291" s="84">
        <v>80</v>
      </c>
      <c r="E291" s="84">
        <v>1.24475</v>
      </c>
      <c r="F291" s="78"/>
      <c r="G291" s="85">
        <f t="shared" si="120"/>
        <v>0.51790294869664089</v>
      </c>
      <c r="H291" s="86">
        <f t="shared" si="121"/>
        <v>-0.29365079365079366</v>
      </c>
      <c r="I291" s="85">
        <f t="shared" si="122"/>
        <v>-0.41489361702127658</v>
      </c>
      <c r="J291" s="85">
        <f t="shared" si="123"/>
        <v>9.8022813688212973E-2</v>
      </c>
      <c r="K291" s="86">
        <f t="shared" si="124"/>
        <v>-0.28943798379392749</v>
      </c>
      <c r="L291" s="87">
        <f t="shared" si="125"/>
        <v>0.29381197592447061</v>
      </c>
      <c r="M291" s="86">
        <f t="shared" si="126"/>
        <v>-0.2188623986632339</v>
      </c>
      <c r="N291" s="87">
        <f t="shared" si="127"/>
        <v>0.39076438918015954</v>
      </c>
      <c r="O291" s="86">
        <f t="shared" si="128"/>
        <v>-0.36941182386081328</v>
      </c>
      <c r="P291" s="87">
        <f t="shared" si="129"/>
        <v>0.30836602457662671</v>
      </c>
      <c r="Q291" s="86">
        <f t="shared" si="130"/>
        <v>-0.28943798379392754</v>
      </c>
      <c r="R291" s="85">
        <f t="shared" si="131"/>
        <v>-0.22409097277217022</v>
      </c>
    </row>
    <row r="292" spans="2:18">
      <c r="B292" s="83"/>
      <c r="C292" s="84">
        <v>42</v>
      </c>
      <c r="D292" s="84">
        <v>96</v>
      </c>
      <c r="E292" s="84">
        <v>1.4177500000000001</v>
      </c>
      <c r="F292" s="78"/>
      <c r="G292" s="85">
        <f t="shared" si="120"/>
        <v>0.60904965279075962</v>
      </c>
      <c r="H292" s="86">
        <f t="shared" si="121"/>
        <v>-0.29365079365079366</v>
      </c>
      <c r="I292" s="85">
        <f t="shared" si="122"/>
        <v>-0.39361702127659576</v>
      </c>
      <c r="J292" s="85">
        <f t="shared" si="123"/>
        <v>0.20326996197718639</v>
      </c>
      <c r="K292" s="86">
        <f t="shared" si="124"/>
        <v>-0.26944452377720607</v>
      </c>
      <c r="L292" s="87">
        <f t="shared" si="125"/>
        <v>0.38132016785555045</v>
      </c>
      <c r="M292" s="86">
        <f t="shared" si="126"/>
        <v>-0.19886893864651245</v>
      </c>
      <c r="N292" s="87">
        <f t="shared" si="127"/>
        <v>0.47827258111123938</v>
      </c>
      <c r="O292" s="86">
        <f t="shared" si="128"/>
        <v>-0.36941182386081328</v>
      </c>
      <c r="P292" s="87">
        <f t="shared" si="129"/>
        <v>0.39951272867074561</v>
      </c>
      <c r="Q292" s="86">
        <f t="shared" si="130"/>
        <v>-0.26944452377720612</v>
      </c>
      <c r="R292" s="85">
        <f t="shared" si="131"/>
        <v>-0.22772948493520923</v>
      </c>
    </row>
    <row r="293" spans="2:18">
      <c r="B293" s="83"/>
      <c r="C293" s="84">
        <v>45</v>
      </c>
      <c r="D293" s="84">
        <v>16</v>
      </c>
      <c r="E293" s="84">
        <v>0.3805</v>
      </c>
      <c r="F293" s="78"/>
      <c r="G293" s="85">
        <f t="shared" si="120"/>
        <v>6.2564572896974646E-2</v>
      </c>
      <c r="H293" s="86">
        <f t="shared" si="121"/>
        <v>-0.27777777777777779</v>
      </c>
      <c r="I293" s="85">
        <f t="shared" si="122"/>
        <v>-0.5</v>
      </c>
      <c r="J293" s="85">
        <f t="shared" si="123"/>
        <v>-0.42775665399239543</v>
      </c>
      <c r="K293" s="86">
        <f t="shared" si="124"/>
        <v>-0.37484071502471289</v>
      </c>
      <c r="L293" s="87">
        <f t="shared" si="125"/>
        <v>-0.15443022916578475</v>
      </c>
      <c r="M293" s="86">
        <f t="shared" si="126"/>
        <v>-0.29883623873011983</v>
      </c>
      <c r="N293" s="87">
        <f t="shared" si="127"/>
        <v>-5.0019937967350547E-2</v>
      </c>
      <c r="O293" s="86">
        <f t="shared" si="128"/>
        <v>-0.37484071502471289</v>
      </c>
      <c r="P293" s="87">
        <f t="shared" si="129"/>
        <v>-0.15443022916578475</v>
      </c>
      <c r="Q293" s="86">
        <f t="shared" si="130"/>
        <v>-0.37484071502471289</v>
      </c>
      <c r="R293" s="85">
        <f t="shared" si="131"/>
        <v>-0.2169948020627594</v>
      </c>
    </row>
    <row r="294" spans="2:18">
      <c r="B294" s="83"/>
      <c r="C294" s="84">
        <v>45</v>
      </c>
      <c r="D294" s="84">
        <v>32</v>
      </c>
      <c r="E294" s="84">
        <v>0.71825000000000006</v>
      </c>
      <c r="F294" s="78"/>
      <c r="G294" s="85">
        <f t="shared" si="120"/>
        <v>0.24051138970500158</v>
      </c>
      <c r="H294" s="86">
        <f t="shared" si="121"/>
        <v>-0.27777777777777779</v>
      </c>
      <c r="I294" s="85">
        <f t="shared" si="122"/>
        <v>-0.47872340425531917</v>
      </c>
      <c r="J294" s="85">
        <f t="shared" si="123"/>
        <v>-0.22228136882129274</v>
      </c>
      <c r="K294" s="86">
        <f t="shared" si="124"/>
        <v>-0.35484725500799141</v>
      </c>
      <c r="L294" s="87">
        <f t="shared" si="125"/>
        <v>1.9878075479203172E-2</v>
      </c>
      <c r="M294" s="86">
        <f t="shared" si="126"/>
        <v>-0.27884277871339835</v>
      </c>
      <c r="N294" s="87">
        <f t="shared" si="127"/>
        <v>0.12428836667763737</v>
      </c>
      <c r="O294" s="86">
        <f t="shared" si="128"/>
        <v>-0.37484071502471283</v>
      </c>
      <c r="P294" s="87">
        <f t="shared" si="129"/>
        <v>2.3516587642242182E-2</v>
      </c>
      <c r="Q294" s="86">
        <f t="shared" si="130"/>
        <v>-0.35484725500799147</v>
      </c>
      <c r="R294" s="85">
        <f t="shared" si="131"/>
        <v>-0.2206333142257984</v>
      </c>
    </row>
    <row r="295" spans="2:18">
      <c r="B295" s="83"/>
      <c r="C295" s="84">
        <v>45</v>
      </c>
      <c r="D295" s="84">
        <v>48</v>
      </c>
      <c r="E295" s="84">
        <v>0.88824999999999998</v>
      </c>
      <c r="F295" s="78"/>
      <c r="G295" s="85">
        <f t="shared" si="120"/>
        <v>0.33007751511540739</v>
      </c>
      <c r="H295" s="86">
        <f t="shared" si="121"/>
        <v>-0.27777777777777779</v>
      </c>
      <c r="I295" s="85">
        <f t="shared" si="122"/>
        <v>-0.45744680851063829</v>
      </c>
      <c r="J295" s="85">
        <f t="shared" si="123"/>
        <v>-0.11885931558935359</v>
      </c>
      <c r="K295" s="86">
        <f t="shared" si="124"/>
        <v>-0.33485379499126994</v>
      </c>
      <c r="L295" s="87">
        <f t="shared" si="125"/>
        <v>0.10580568872656991</v>
      </c>
      <c r="M295" s="86">
        <f t="shared" si="126"/>
        <v>-0.25884931869667682</v>
      </c>
      <c r="N295" s="87">
        <f t="shared" si="127"/>
        <v>0.21021597992500413</v>
      </c>
      <c r="O295" s="86">
        <f t="shared" si="128"/>
        <v>-0.37484071502471283</v>
      </c>
      <c r="P295" s="87">
        <f t="shared" si="129"/>
        <v>0.11308271305264798</v>
      </c>
      <c r="Q295" s="86">
        <f t="shared" si="130"/>
        <v>-0.33485379499126999</v>
      </c>
      <c r="R295" s="85">
        <f t="shared" si="131"/>
        <v>-0.22427182638883747</v>
      </c>
    </row>
    <row r="296" spans="2:18">
      <c r="B296" s="83"/>
      <c r="C296" s="84">
        <v>45</v>
      </c>
      <c r="D296" s="84">
        <v>64</v>
      </c>
      <c r="E296" s="84">
        <v>1.0385</v>
      </c>
      <c r="F296" s="78"/>
      <c r="G296" s="85">
        <f t="shared" si="120"/>
        <v>0.40923816419136899</v>
      </c>
      <c r="H296" s="86">
        <f t="shared" si="121"/>
        <v>-0.27777777777777779</v>
      </c>
      <c r="I296" s="85">
        <f t="shared" si="122"/>
        <v>-0.43617021276595747</v>
      </c>
      <c r="J296" s="85">
        <f t="shared" si="123"/>
        <v>-2.7452471482889707E-2</v>
      </c>
      <c r="K296" s="86">
        <f t="shared" si="124"/>
        <v>-0.31486033497454852</v>
      </c>
      <c r="L296" s="87">
        <f t="shared" si="125"/>
        <v>0.18132782563949251</v>
      </c>
      <c r="M296" s="86">
        <f t="shared" si="126"/>
        <v>-0.23885585867995543</v>
      </c>
      <c r="N296" s="87">
        <f t="shared" si="127"/>
        <v>0.28573811683792671</v>
      </c>
      <c r="O296" s="86">
        <f t="shared" si="128"/>
        <v>-0.37484071502471283</v>
      </c>
      <c r="P296" s="87">
        <f t="shared" si="129"/>
        <v>0.1922433621286096</v>
      </c>
      <c r="Q296" s="86">
        <f t="shared" si="130"/>
        <v>-0.31486033497454857</v>
      </c>
      <c r="R296" s="85">
        <f t="shared" si="131"/>
        <v>-0.22791033855187648</v>
      </c>
    </row>
    <row r="297" spans="2:18">
      <c r="B297" s="83"/>
      <c r="C297" s="84">
        <v>45</v>
      </c>
      <c r="D297" s="84">
        <v>80</v>
      </c>
      <c r="E297" s="84">
        <v>1.3080000000000001</v>
      </c>
      <c r="F297" s="78"/>
      <c r="G297" s="85">
        <f t="shared" si="120"/>
        <v>0.55122681594492418</v>
      </c>
      <c r="H297" s="86">
        <f t="shared" si="121"/>
        <v>-0.27777777777777779</v>
      </c>
      <c r="I297" s="85">
        <f t="shared" si="122"/>
        <v>-0.41489361702127658</v>
      </c>
      <c r="J297" s="85">
        <f t="shared" si="123"/>
        <v>0.1365019011406845</v>
      </c>
      <c r="K297" s="86">
        <f t="shared" si="124"/>
        <v>-0.29486687495782699</v>
      </c>
      <c r="L297" s="87">
        <f t="shared" si="125"/>
        <v>0.31967796523000869</v>
      </c>
      <c r="M297" s="86">
        <f t="shared" si="126"/>
        <v>-0.21886239866323387</v>
      </c>
      <c r="N297" s="87">
        <f t="shared" si="127"/>
        <v>0.42408825642844289</v>
      </c>
      <c r="O297" s="86">
        <f t="shared" si="128"/>
        <v>-0.37484071502471283</v>
      </c>
      <c r="P297" s="87">
        <f t="shared" si="129"/>
        <v>0.33423201388216478</v>
      </c>
      <c r="Q297" s="86">
        <f t="shared" si="130"/>
        <v>-0.29486687495782704</v>
      </c>
      <c r="R297" s="85">
        <f t="shared" si="131"/>
        <v>-0.23154885071491552</v>
      </c>
    </row>
    <row r="298" spans="2:18">
      <c r="B298" s="83"/>
      <c r="C298" s="84">
        <v>45</v>
      </c>
      <c r="D298" s="84">
        <v>96</v>
      </c>
      <c r="E298" s="84">
        <v>1.506</v>
      </c>
      <c r="F298" s="78"/>
      <c r="G298" s="85">
        <f t="shared" si="120"/>
        <v>0.65554500906998503</v>
      </c>
      <c r="H298" s="86">
        <f t="shared" si="121"/>
        <v>-0.27777777777777779</v>
      </c>
      <c r="I298" s="85">
        <f t="shared" si="122"/>
        <v>-0.39361702127659576</v>
      </c>
      <c r="J298" s="85">
        <f t="shared" si="123"/>
        <v>0.25695817490494299</v>
      </c>
      <c r="K298" s="86">
        <f t="shared" si="124"/>
        <v>-0.27487341494110551</v>
      </c>
      <c r="L298" s="87">
        <f t="shared" si="125"/>
        <v>0.42035764619203048</v>
      </c>
      <c r="M298" s="86">
        <f t="shared" si="126"/>
        <v>-0.19886893864651245</v>
      </c>
      <c r="N298" s="87">
        <f t="shared" si="127"/>
        <v>0.52476793739046468</v>
      </c>
      <c r="O298" s="86">
        <f t="shared" si="128"/>
        <v>-0.37484071502471278</v>
      </c>
      <c r="P298" s="87">
        <f t="shared" si="129"/>
        <v>0.43855020700722563</v>
      </c>
      <c r="Q298" s="86">
        <f t="shared" si="130"/>
        <v>-0.27487341494110562</v>
      </c>
      <c r="R298" s="85">
        <f t="shared" si="131"/>
        <v>-0.23518736287795455</v>
      </c>
    </row>
    <row r="299" spans="2:18">
      <c r="B299" s="83"/>
      <c r="C299" s="84">
        <v>48</v>
      </c>
      <c r="D299" s="84">
        <v>16</v>
      </c>
      <c r="E299" s="84">
        <v>0.40525</v>
      </c>
      <c r="F299" s="78"/>
      <c r="G299" s="85">
        <f t="shared" si="120"/>
        <v>7.5604347037607322E-2</v>
      </c>
      <c r="H299" s="86">
        <f t="shared" si="121"/>
        <v>-0.26190476190476192</v>
      </c>
      <c r="I299" s="85">
        <f t="shared" si="122"/>
        <v>-0.5</v>
      </c>
      <c r="J299" s="85">
        <f t="shared" si="123"/>
        <v>-0.41269961977186309</v>
      </c>
      <c r="K299" s="86">
        <f t="shared" si="124"/>
        <v>-0.38026960618861239</v>
      </c>
      <c r="L299" s="87">
        <f t="shared" si="125"/>
        <v>-0.14884833296789735</v>
      </c>
      <c r="M299" s="86">
        <f t="shared" si="126"/>
        <v>-0.29883623873011983</v>
      </c>
      <c r="N299" s="87">
        <f t="shared" si="127"/>
        <v>-3.6980163826717871E-2</v>
      </c>
      <c r="O299" s="86">
        <f t="shared" si="128"/>
        <v>-0.38026960618861239</v>
      </c>
      <c r="P299" s="87">
        <f t="shared" si="129"/>
        <v>-0.14884833296789735</v>
      </c>
      <c r="Q299" s="86">
        <f t="shared" si="130"/>
        <v>-0.38026960618861239</v>
      </c>
      <c r="R299" s="85">
        <f t="shared" si="131"/>
        <v>-0.22445268000550467</v>
      </c>
    </row>
    <row r="300" spans="2:18">
      <c r="B300" s="83"/>
      <c r="C300" s="84">
        <v>48</v>
      </c>
      <c r="D300" s="84">
        <v>32</v>
      </c>
      <c r="E300" s="84">
        <v>0.73299999999999998</v>
      </c>
      <c r="F300" s="78"/>
      <c r="G300" s="85">
        <f t="shared" si="120"/>
        <v>0.24828256823325731</v>
      </c>
      <c r="H300" s="86">
        <f t="shared" si="121"/>
        <v>-0.26190476190476192</v>
      </c>
      <c r="I300" s="85">
        <f t="shared" si="122"/>
        <v>-0.47872340425531917</v>
      </c>
      <c r="J300" s="85">
        <f t="shared" si="123"/>
        <v>-0.21330798479087454</v>
      </c>
      <c r="K300" s="86">
        <f t="shared" si="124"/>
        <v>-0.36027614617189091</v>
      </c>
      <c r="L300" s="87">
        <f t="shared" si="125"/>
        <v>2.0191376064713606E-2</v>
      </c>
      <c r="M300" s="86">
        <f t="shared" si="126"/>
        <v>-0.27884277871339835</v>
      </c>
      <c r="N300" s="87">
        <f t="shared" si="127"/>
        <v>0.13205954520589311</v>
      </c>
      <c r="O300" s="86">
        <f t="shared" si="128"/>
        <v>-0.38026960618861233</v>
      </c>
      <c r="P300" s="87">
        <f t="shared" si="129"/>
        <v>2.3829888227752644E-2</v>
      </c>
      <c r="Q300" s="86">
        <f t="shared" si="130"/>
        <v>-0.36027614617189097</v>
      </c>
      <c r="R300" s="85">
        <f t="shared" si="131"/>
        <v>-0.2280911921685437</v>
      </c>
    </row>
    <row r="301" spans="2:18">
      <c r="B301" s="83"/>
      <c r="C301" s="84">
        <v>48</v>
      </c>
      <c r="D301" s="84">
        <v>48</v>
      </c>
      <c r="E301" s="84">
        <v>0.92274999999999996</v>
      </c>
      <c r="F301" s="78"/>
      <c r="G301" s="85">
        <f t="shared" si="120"/>
        <v>0.34825416997810738</v>
      </c>
      <c r="H301" s="86">
        <f t="shared" si="121"/>
        <v>-0.26190476190476192</v>
      </c>
      <c r="I301" s="85">
        <f t="shared" si="122"/>
        <v>-0.45744680851063829</v>
      </c>
      <c r="J301" s="85">
        <f t="shared" si="123"/>
        <v>-9.7870722433460067E-2</v>
      </c>
      <c r="K301" s="86">
        <f t="shared" si="124"/>
        <v>-0.34028268615516943</v>
      </c>
      <c r="L301" s="87">
        <f t="shared" si="125"/>
        <v>0.11652446564652463</v>
      </c>
      <c r="M301" s="86">
        <f t="shared" si="126"/>
        <v>-0.25884931869667682</v>
      </c>
      <c r="N301" s="87">
        <f t="shared" si="127"/>
        <v>0.22839263478770411</v>
      </c>
      <c r="O301" s="86">
        <f t="shared" si="128"/>
        <v>-0.38026960618861233</v>
      </c>
      <c r="P301" s="87">
        <f t="shared" si="129"/>
        <v>0.12380148997260271</v>
      </c>
      <c r="Q301" s="86">
        <f t="shared" si="130"/>
        <v>-0.34028268615516949</v>
      </c>
      <c r="R301" s="85">
        <f t="shared" si="131"/>
        <v>-0.23172970433158274</v>
      </c>
    </row>
    <row r="302" spans="2:18">
      <c r="B302" s="83"/>
      <c r="C302" s="84">
        <v>48</v>
      </c>
      <c r="D302" s="84">
        <v>64</v>
      </c>
      <c r="E302" s="84">
        <v>1.0880000000000001</v>
      </c>
      <c r="F302" s="78"/>
      <c r="G302" s="85">
        <f t="shared" si="120"/>
        <v>0.43531771247263429</v>
      </c>
      <c r="H302" s="86">
        <f t="shared" si="121"/>
        <v>-0.26190476190476192</v>
      </c>
      <c r="I302" s="85">
        <f t="shared" si="122"/>
        <v>-0.43617021276595747</v>
      </c>
      <c r="J302" s="85">
        <f t="shared" si="123"/>
        <v>2.6615969581750276E-3</v>
      </c>
      <c r="K302" s="86">
        <f t="shared" si="124"/>
        <v>-0.32028922613844801</v>
      </c>
      <c r="L302" s="87">
        <f t="shared" si="125"/>
        <v>0.19994949597801256</v>
      </c>
      <c r="M302" s="86">
        <f t="shared" si="126"/>
        <v>-0.23885585867995543</v>
      </c>
      <c r="N302" s="87">
        <f t="shared" si="127"/>
        <v>0.31181766511919207</v>
      </c>
      <c r="O302" s="86">
        <f t="shared" si="128"/>
        <v>-0.38026960618861233</v>
      </c>
      <c r="P302" s="87">
        <f t="shared" si="129"/>
        <v>0.21086503246712965</v>
      </c>
      <c r="Q302" s="86">
        <f t="shared" si="130"/>
        <v>-0.32028922613844807</v>
      </c>
      <c r="R302" s="85">
        <f t="shared" si="131"/>
        <v>-0.23536821649462175</v>
      </c>
    </row>
    <row r="303" spans="2:18">
      <c r="B303" s="83"/>
      <c r="C303" s="84">
        <v>48</v>
      </c>
      <c r="D303" s="84">
        <v>80</v>
      </c>
      <c r="E303" s="84">
        <v>1.37825</v>
      </c>
      <c r="F303" s="78"/>
      <c r="G303" s="85">
        <f t="shared" si="120"/>
        <v>0.58823870012187118</v>
      </c>
      <c r="H303" s="86">
        <f t="shared" si="121"/>
        <v>-0.26190476190476192</v>
      </c>
      <c r="I303" s="85">
        <f t="shared" si="122"/>
        <v>-0.41489361702127658</v>
      </c>
      <c r="J303" s="85">
        <f t="shared" si="123"/>
        <v>0.17923954372623574</v>
      </c>
      <c r="K303" s="86">
        <f t="shared" si="124"/>
        <v>-0.30029576612172648</v>
      </c>
      <c r="L303" s="87">
        <f t="shared" si="125"/>
        <v>0.34923197146421037</v>
      </c>
      <c r="M303" s="86">
        <f t="shared" si="126"/>
        <v>-0.21886239866323387</v>
      </c>
      <c r="N303" s="87">
        <f t="shared" si="127"/>
        <v>0.46110014060538995</v>
      </c>
      <c r="O303" s="86">
        <f t="shared" si="128"/>
        <v>-0.38026960618861233</v>
      </c>
      <c r="P303" s="87">
        <f t="shared" si="129"/>
        <v>0.36378602011636652</v>
      </c>
      <c r="Q303" s="86">
        <f t="shared" si="130"/>
        <v>-0.30029576612172654</v>
      </c>
      <c r="R303" s="85">
        <f t="shared" si="131"/>
        <v>-0.23900672865766082</v>
      </c>
    </row>
    <row r="304" spans="2:18">
      <c r="B304" s="83"/>
      <c r="C304" s="84">
        <v>48</v>
      </c>
      <c r="D304" s="84">
        <v>96</v>
      </c>
      <c r="E304" s="84">
        <v>1.6052500000000001</v>
      </c>
      <c r="F304" s="78"/>
      <c r="G304" s="85">
        <f t="shared" si="120"/>
        <v>0.70783582052282501</v>
      </c>
      <c r="H304" s="86">
        <f t="shared" si="121"/>
        <v>-0.26190476190476192</v>
      </c>
      <c r="I304" s="85">
        <f t="shared" si="122"/>
        <v>-0.39361702127659576</v>
      </c>
      <c r="J304" s="85">
        <f t="shared" si="123"/>
        <v>0.31733840304182515</v>
      </c>
      <c r="K304" s="86">
        <f t="shared" si="124"/>
        <v>-0.28030230610500501</v>
      </c>
      <c r="L304" s="87">
        <f t="shared" si="125"/>
        <v>0.46519057970212513</v>
      </c>
      <c r="M304" s="86">
        <f t="shared" si="126"/>
        <v>-0.19886893864651245</v>
      </c>
      <c r="N304" s="87">
        <f t="shared" si="127"/>
        <v>0.57705874884330455</v>
      </c>
      <c r="O304" s="86">
        <f t="shared" si="128"/>
        <v>-0.38026960618861227</v>
      </c>
      <c r="P304" s="87">
        <f t="shared" si="129"/>
        <v>0.48338314051732029</v>
      </c>
      <c r="Q304" s="86">
        <f t="shared" si="130"/>
        <v>-0.28030230610500512</v>
      </c>
      <c r="R304" s="85">
        <f t="shared" si="131"/>
        <v>-0.24264524082069983</v>
      </c>
    </row>
    <row r="305" spans="2:18">
      <c r="B305" s="83"/>
      <c r="C305" s="84">
        <v>51</v>
      </c>
      <c r="D305" s="84">
        <v>16</v>
      </c>
      <c r="E305" s="84">
        <v>0.43149999999999999</v>
      </c>
      <c r="F305" s="78"/>
      <c r="G305" s="85">
        <f t="shared" si="120"/>
        <v>8.9434410520096375E-2</v>
      </c>
      <c r="H305" s="86">
        <f t="shared" si="121"/>
        <v>-0.24603174603174605</v>
      </c>
      <c r="I305" s="85">
        <f t="shared" si="122"/>
        <v>-0.5</v>
      </c>
      <c r="J305" s="85">
        <f t="shared" si="123"/>
        <v>-0.3967300380228137</v>
      </c>
      <c r="K305" s="86">
        <f t="shared" si="124"/>
        <v>-0.38569849735251188</v>
      </c>
      <c r="L305" s="87">
        <f t="shared" si="125"/>
        <v>-0.14247614742815362</v>
      </c>
      <c r="M305" s="86">
        <f t="shared" si="126"/>
        <v>-0.29883623873011983</v>
      </c>
      <c r="N305" s="87">
        <f t="shared" si="127"/>
        <v>-2.3150100344228819E-2</v>
      </c>
      <c r="O305" s="86">
        <f t="shared" si="128"/>
        <v>-0.38569849735251188</v>
      </c>
      <c r="P305" s="87">
        <f t="shared" si="129"/>
        <v>-0.14247614742815362</v>
      </c>
      <c r="Q305" s="86">
        <f t="shared" si="130"/>
        <v>-0.38569849735251188</v>
      </c>
      <c r="R305" s="85">
        <f t="shared" si="131"/>
        <v>-0.23191055794825</v>
      </c>
    </row>
    <row r="306" spans="2:18">
      <c r="B306" s="83"/>
      <c r="C306" s="84">
        <v>51</v>
      </c>
      <c r="D306" s="84">
        <v>32</v>
      </c>
      <c r="E306" s="84">
        <v>0.75124999999999997</v>
      </c>
      <c r="F306" s="78"/>
      <c r="G306" s="85">
        <f t="shared" si="120"/>
        <v>0.25789775522584502</v>
      </c>
      <c r="H306" s="86">
        <f t="shared" si="121"/>
        <v>-0.24603174603174605</v>
      </c>
      <c r="I306" s="85">
        <f t="shared" si="122"/>
        <v>-0.47872340425531917</v>
      </c>
      <c r="J306" s="85">
        <f t="shared" si="123"/>
        <v>-0.20220532319391638</v>
      </c>
      <c r="K306" s="86">
        <f t="shared" si="124"/>
        <v>-0.36570503733579041</v>
      </c>
      <c r="L306" s="87">
        <f t="shared" si="125"/>
        <v>2.2348685114555983E-2</v>
      </c>
      <c r="M306" s="86">
        <f t="shared" si="126"/>
        <v>-0.27884277871339835</v>
      </c>
      <c r="N306" s="87">
        <f t="shared" si="127"/>
        <v>0.14167473219848079</v>
      </c>
      <c r="O306" s="86">
        <f t="shared" si="128"/>
        <v>-0.38569849735251183</v>
      </c>
      <c r="P306" s="87">
        <f t="shared" si="129"/>
        <v>2.5987197277594992E-2</v>
      </c>
      <c r="Q306" s="86">
        <f t="shared" si="130"/>
        <v>-0.36570503733579046</v>
      </c>
      <c r="R306" s="85">
        <f t="shared" si="131"/>
        <v>-0.23554907011128901</v>
      </c>
    </row>
    <row r="307" spans="2:18">
      <c r="B307" s="83"/>
      <c r="C307" s="84">
        <v>51</v>
      </c>
      <c r="D307" s="84">
        <v>48</v>
      </c>
      <c r="E307" s="84">
        <v>0.95274999999999999</v>
      </c>
      <c r="F307" s="78"/>
      <c r="G307" s="85">
        <f t="shared" si="120"/>
        <v>0.36405995681523784</v>
      </c>
      <c r="H307" s="86">
        <f t="shared" si="121"/>
        <v>-0.24603174603174605</v>
      </c>
      <c r="I307" s="85">
        <f t="shared" si="122"/>
        <v>-0.45744680851063829</v>
      </c>
      <c r="J307" s="85">
        <f t="shared" si="123"/>
        <v>-7.9619771863117861E-2</v>
      </c>
      <c r="K307" s="86">
        <f t="shared" si="124"/>
        <v>-0.34571157731906893</v>
      </c>
      <c r="L307" s="87">
        <f t="shared" si="125"/>
        <v>0.12487237454090977</v>
      </c>
      <c r="M307" s="86">
        <f t="shared" si="126"/>
        <v>-0.25884931869667682</v>
      </c>
      <c r="N307" s="87">
        <f t="shared" si="127"/>
        <v>0.24419842162483454</v>
      </c>
      <c r="O307" s="86">
        <f t="shared" si="128"/>
        <v>-0.38569849735251183</v>
      </c>
      <c r="P307" s="87">
        <f t="shared" si="129"/>
        <v>0.13214939886698782</v>
      </c>
      <c r="Q307" s="86">
        <f t="shared" si="130"/>
        <v>-0.34571157731906899</v>
      </c>
      <c r="R307" s="85">
        <f t="shared" si="131"/>
        <v>-0.23918758227432804</v>
      </c>
    </row>
    <row r="308" spans="2:18">
      <c r="B308" s="83"/>
      <c r="C308" s="84">
        <v>51</v>
      </c>
      <c r="D308" s="84">
        <v>64</v>
      </c>
      <c r="E308" s="84">
        <v>1.1359999999999999</v>
      </c>
      <c r="F308" s="78"/>
      <c r="G308" s="85">
        <f t="shared" si="120"/>
        <v>0.46060697141204288</v>
      </c>
      <c r="H308" s="86">
        <f t="shared" si="121"/>
        <v>-0.24603174603174605</v>
      </c>
      <c r="I308" s="85">
        <f t="shared" si="122"/>
        <v>-0.43617021276595747</v>
      </c>
      <c r="J308" s="85">
        <f t="shared" si="123"/>
        <v>3.1863117870722379E-2</v>
      </c>
      <c r="K308" s="86">
        <f t="shared" si="124"/>
        <v>-0.32571811730234751</v>
      </c>
      <c r="L308" s="87">
        <f t="shared" si="125"/>
        <v>0.2177808769746758</v>
      </c>
      <c r="M308" s="86">
        <f t="shared" si="126"/>
        <v>-0.23885585867995543</v>
      </c>
      <c r="N308" s="87">
        <f t="shared" si="127"/>
        <v>0.3371069240586006</v>
      </c>
      <c r="O308" s="86">
        <f t="shared" si="128"/>
        <v>-0.38569849735251183</v>
      </c>
      <c r="P308" s="87">
        <f t="shared" si="129"/>
        <v>0.22869641346379288</v>
      </c>
      <c r="Q308" s="86">
        <f t="shared" si="130"/>
        <v>-0.32571811730234757</v>
      </c>
      <c r="R308" s="85">
        <f t="shared" si="131"/>
        <v>-0.24282609443736708</v>
      </c>
    </row>
    <row r="309" spans="2:18">
      <c r="B309" s="83"/>
      <c r="C309" s="84">
        <v>51</v>
      </c>
      <c r="D309" s="84">
        <v>80</v>
      </c>
      <c r="E309" s="84">
        <v>1.4490000000000001</v>
      </c>
      <c r="F309" s="78"/>
      <c r="G309" s="85">
        <f t="shared" si="120"/>
        <v>0.62551401407943719</v>
      </c>
      <c r="H309" s="86">
        <f t="shared" si="121"/>
        <v>-0.24603174603174605</v>
      </c>
      <c r="I309" s="85">
        <f t="shared" si="122"/>
        <v>-0.41489361702127658</v>
      </c>
      <c r="J309" s="85">
        <f t="shared" si="123"/>
        <v>0.22228136882129279</v>
      </c>
      <c r="K309" s="86">
        <f t="shared" si="124"/>
        <v>-0.30572465728562598</v>
      </c>
      <c r="L309" s="87">
        <f t="shared" si="125"/>
        <v>0.3790494074790311</v>
      </c>
      <c r="M309" s="86">
        <f t="shared" si="126"/>
        <v>-0.21886239866323387</v>
      </c>
      <c r="N309" s="87">
        <f t="shared" si="127"/>
        <v>0.4983754545629559</v>
      </c>
      <c r="O309" s="86">
        <f t="shared" si="128"/>
        <v>-0.38569849735251183</v>
      </c>
      <c r="P309" s="87">
        <f t="shared" si="129"/>
        <v>0.39360345613118719</v>
      </c>
      <c r="Q309" s="86">
        <f t="shared" si="130"/>
        <v>-0.30572465728562603</v>
      </c>
      <c r="R309" s="85">
        <f t="shared" si="131"/>
        <v>-0.24646460660040609</v>
      </c>
    </row>
    <row r="310" spans="2:18">
      <c r="B310" s="83"/>
      <c r="C310" s="84">
        <v>54</v>
      </c>
      <c r="D310" s="84">
        <v>16</v>
      </c>
      <c r="E310" s="84">
        <v>0.46200000000000002</v>
      </c>
      <c r="F310" s="78"/>
      <c r="G310" s="85">
        <f t="shared" si="120"/>
        <v>0.10550362713784572</v>
      </c>
      <c r="H310" s="86">
        <f t="shared" si="121"/>
        <v>-0.23015873015873017</v>
      </c>
      <c r="I310" s="85">
        <f t="shared" si="122"/>
        <v>-0.5</v>
      </c>
      <c r="J310" s="85">
        <f t="shared" si="123"/>
        <v>-0.37817490494296574</v>
      </c>
      <c r="K310" s="86">
        <f t="shared" si="124"/>
        <v>-0.39112738851641138</v>
      </c>
      <c r="L310" s="87">
        <f t="shared" si="125"/>
        <v>-0.13386480875314954</v>
      </c>
      <c r="M310" s="86">
        <f t="shared" si="126"/>
        <v>-0.29883623873011983</v>
      </c>
      <c r="N310" s="87">
        <f t="shared" si="127"/>
        <v>-7.08088372647947E-3</v>
      </c>
      <c r="O310" s="86">
        <f t="shared" si="128"/>
        <v>-0.39112738851641138</v>
      </c>
      <c r="P310" s="87">
        <f t="shared" si="129"/>
        <v>-0.13386480875314954</v>
      </c>
      <c r="Q310" s="86">
        <f t="shared" si="130"/>
        <v>-0.39112738851641138</v>
      </c>
      <c r="R310" s="85">
        <f t="shared" si="131"/>
        <v>-0.23936843589099527</v>
      </c>
    </row>
    <row r="311" spans="2:18">
      <c r="B311" s="83"/>
      <c r="C311" s="84">
        <v>54</v>
      </c>
      <c r="D311" s="84">
        <v>32</v>
      </c>
      <c r="E311" s="84">
        <v>0.76175000000000004</v>
      </c>
      <c r="F311" s="78"/>
      <c r="G311" s="85">
        <f t="shared" si="120"/>
        <v>0.2634297806188407</v>
      </c>
      <c r="H311" s="86">
        <f t="shared" si="121"/>
        <v>-0.23015873015873017</v>
      </c>
      <c r="I311" s="85">
        <f t="shared" si="122"/>
        <v>-0.47872340425531917</v>
      </c>
      <c r="J311" s="85">
        <f t="shared" si="123"/>
        <v>-0.19581749049429659</v>
      </c>
      <c r="K311" s="86">
        <f t="shared" si="124"/>
        <v>-0.3711339284996899</v>
      </c>
      <c r="L311" s="87">
        <f t="shared" si="125"/>
        <v>2.042283256480637E-2</v>
      </c>
      <c r="M311" s="86">
        <f t="shared" si="126"/>
        <v>-0.27884277871339835</v>
      </c>
      <c r="N311" s="87">
        <f t="shared" si="127"/>
        <v>0.14720675759147647</v>
      </c>
      <c r="O311" s="86">
        <f t="shared" si="128"/>
        <v>-0.39112738851641132</v>
      </c>
      <c r="P311" s="87">
        <f t="shared" si="129"/>
        <v>2.4061344727845407E-2</v>
      </c>
      <c r="Q311" s="86">
        <f t="shared" si="130"/>
        <v>-0.37113392849968996</v>
      </c>
      <c r="R311" s="85">
        <f t="shared" si="131"/>
        <v>-0.24300694805403431</v>
      </c>
    </row>
    <row r="312" spans="2:18">
      <c r="B312" s="83"/>
      <c r="C312" s="84">
        <v>54</v>
      </c>
      <c r="D312" s="84">
        <v>48</v>
      </c>
      <c r="E312" s="84">
        <v>0.97975000000000001</v>
      </c>
      <c r="F312" s="78"/>
      <c r="G312" s="85">
        <f t="shared" si="120"/>
        <v>0.37828516496865516</v>
      </c>
      <c r="H312" s="86">
        <f t="shared" si="121"/>
        <v>-0.23015873015873017</v>
      </c>
      <c r="I312" s="85">
        <f t="shared" si="122"/>
        <v>-0.45744680851063829</v>
      </c>
      <c r="J312" s="85">
        <f t="shared" si="123"/>
        <v>-6.319391634980992E-2</v>
      </c>
      <c r="K312" s="86">
        <f t="shared" si="124"/>
        <v>-0.35114046848296843</v>
      </c>
      <c r="L312" s="87">
        <f t="shared" si="125"/>
        <v>0.13163970475158182</v>
      </c>
      <c r="M312" s="86">
        <f t="shared" si="126"/>
        <v>-0.25884931869667682</v>
      </c>
      <c r="N312" s="87">
        <f t="shared" si="127"/>
        <v>0.2584236297782519</v>
      </c>
      <c r="O312" s="86">
        <f t="shared" si="128"/>
        <v>-0.39112738851641132</v>
      </c>
      <c r="P312" s="87">
        <f t="shared" si="129"/>
        <v>0.1389167290776599</v>
      </c>
      <c r="Q312" s="86">
        <f t="shared" si="130"/>
        <v>-0.35114046848296848</v>
      </c>
      <c r="R312" s="85">
        <f t="shared" si="131"/>
        <v>-0.24664546021707334</v>
      </c>
    </row>
    <row r="313" spans="2:18">
      <c r="B313" s="83"/>
      <c r="C313" s="84">
        <v>54</v>
      </c>
      <c r="D313" s="84">
        <v>64</v>
      </c>
      <c r="E313" s="84">
        <v>1.1872499999999999</v>
      </c>
      <c r="F313" s="78"/>
      <c r="G313" s="85">
        <f t="shared" ref="G313:G344" si="132">D$19*(L313-R313)</f>
        <v>0.48760852392547405</v>
      </c>
      <c r="H313" s="86">
        <f t="shared" ref="H313:H344" si="133">(C313-H$16)/H$17-0.5</f>
        <v>-0.23015873015873017</v>
      </c>
      <c r="I313" s="85">
        <f t="shared" ref="I313:I344" si="134">(D313-I$16)/I$17-0.5</f>
        <v>-0.43617021276595747</v>
      </c>
      <c r="J313" s="85">
        <f t="shared" ref="J313:J344" si="135">(E313-J$16)/J$17-0.5</f>
        <v>6.3041825095056958E-2</v>
      </c>
      <c r="K313" s="86">
        <f t="shared" ref="K313:K344" si="136">(H313*$H$13+I313*$I$13+J313*$J$13+$D$27)*$C$27</f>
        <v>-0.33114700846624701</v>
      </c>
      <c r="L313" s="87">
        <f t="shared" ref="L313:L344" si="137">(H313*$H$14+I313*$I$14+J313*$J$14+$E$27)*$C$27</f>
        <v>0.23732455154536167</v>
      </c>
      <c r="M313" s="86">
        <f t="shared" ref="M313:M344" si="138">(H$27*$H$13+I313*$I$13+J313*$J$13+$D$27)*$C$27</f>
        <v>-0.23885585867995543</v>
      </c>
      <c r="N313" s="87">
        <f t="shared" ref="N313:N344" si="139">(H$27*$H$14+I313*$I$14+J313*$J$14+$E$27)*$C$27</f>
        <v>0.36410847657203171</v>
      </c>
      <c r="O313" s="86">
        <f t="shared" ref="O313:O344" si="140">(H313*$H$13+I$27*$I$13+J313*$J$13+$D$27)*$C$27</f>
        <v>-0.39112738851641132</v>
      </c>
      <c r="P313" s="87">
        <f t="shared" ref="P313:P344" si="141">(H313*$H$14+I$27*$I$14+J313*$J$14+$E$27)*$C$27</f>
        <v>0.24824008803447875</v>
      </c>
      <c r="Q313" s="86">
        <f t="shared" ref="Q313:Q344" si="142">(H313*$H$13+I313*$I$13+J$27*$J$13+$D$27)*$C$27</f>
        <v>-0.33114700846624706</v>
      </c>
      <c r="R313" s="85">
        <f t="shared" ref="R313:R344" si="143">(H313*$H$14+I313*$I$14+J$27*$J$14+$E$27)*$C$27</f>
        <v>-0.25028397238011235</v>
      </c>
    </row>
    <row r="314" spans="2:18">
      <c r="B314" s="83"/>
      <c r="C314" s="84">
        <v>54</v>
      </c>
      <c r="D314" s="84">
        <v>80</v>
      </c>
      <c r="E314" s="84">
        <v>1.524</v>
      </c>
      <c r="F314" s="78"/>
      <c r="G314" s="85">
        <f t="shared" si="132"/>
        <v>0.66502848117226332</v>
      </c>
      <c r="H314" s="86">
        <f t="shared" si="133"/>
        <v>-0.23015873015873017</v>
      </c>
      <c r="I314" s="85">
        <f t="shared" si="134"/>
        <v>-0.41489361702127658</v>
      </c>
      <c r="J314" s="85">
        <f t="shared" si="135"/>
        <v>0.26790874524714836</v>
      </c>
      <c r="K314" s="86">
        <f t="shared" si="136"/>
        <v>-0.31115354844952542</v>
      </c>
      <c r="L314" s="87">
        <f t="shared" si="137"/>
        <v>0.41110599662911196</v>
      </c>
      <c r="M314" s="86">
        <f t="shared" si="138"/>
        <v>-0.21886239866323387</v>
      </c>
      <c r="N314" s="87">
        <f t="shared" si="139"/>
        <v>0.53788992165578209</v>
      </c>
      <c r="O314" s="86">
        <f t="shared" si="140"/>
        <v>-0.39112738851641127</v>
      </c>
      <c r="P314" s="87">
        <f t="shared" si="141"/>
        <v>0.42566004528126811</v>
      </c>
      <c r="Q314" s="86">
        <f t="shared" si="142"/>
        <v>-0.31115354844952553</v>
      </c>
      <c r="R314" s="85">
        <f t="shared" si="143"/>
        <v>-0.25392248454315142</v>
      </c>
    </row>
    <row r="315" spans="2:18">
      <c r="B315" s="83"/>
      <c r="C315" s="84">
        <v>57</v>
      </c>
      <c r="D315" s="84">
        <v>16</v>
      </c>
      <c r="E315" s="84">
        <v>0.49425000000000002</v>
      </c>
      <c r="F315" s="78"/>
      <c r="G315" s="85">
        <f t="shared" si="132"/>
        <v>0.12249484798776095</v>
      </c>
      <c r="H315" s="86">
        <f t="shared" si="133"/>
        <v>-0.2142857142857143</v>
      </c>
      <c r="I315" s="85">
        <f t="shared" si="134"/>
        <v>-0.5</v>
      </c>
      <c r="J315" s="85">
        <f t="shared" si="135"/>
        <v>-0.35855513307984788</v>
      </c>
      <c r="K315" s="86">
        <f t="shared" si="136"/>
        <v>-0.39655627968031087</v>
      </c>
      <c r="L315" s="87">
        <f t="shared" si="137"/>
        <v>-0.12433146584597965</v>
      </c>
      <c r="M315" s="86">
        <f t="shared" si="138"/>
        <v>-0.29883623873011983</v>
      </c>
      <c r="N315" s="87">
        <f t="shared" si="139"/>
        <v>9.9103371234357529E-3</v>
      </c>
      <c r="O315" s="86">
        <f t="shared" si="140"/>
        <v>-0.39655627968031087</v>
      </c>
      <c r="P315" s="87">
        <f t="shared" si="141"/>
        <v>-0.12433146584597965</v>
      </c>
      <c r="Q315" s="86">
        <f t="shared" si="142"/>
        <v>-0.39655627968031087</v>
      </c>
      <c r="R315" s="85">
        <f t="shared" si="143"/>
        <v>-0.2468263138337406</v>
      </c>
    </row>
    <row r="316" spans="2:18">
      <c r="B316" s="83"/>
      <c r="C316" s="84">
        <v>57</v>
      </c>
      <c r="D316" s="84">
        <v>32</v>
      </c>
      <c r="E316" s="84">
        <v>0.77925</v>
      </c>
      <c r="F316" s="78"/>
      <c r="G316" s="85">
        <f t="shared" si="132"/>
        <v>0.27264982294050011</v>
      </c>
      <c r="H316" s="86">
        <f t="shared" si="133"/>
        <v>-0.2142857142857143</v>
      </c>
      <c r="I316" s="85">
        <f t="shared" si="134"/>
        <v>-0.47872340425531917</v>
      </c>
      <c r="J316" s="85">
        <f t="shared" si="135"/>
        <v>-0.18517110266159692</v>
      </c>
      <c r="K316" s="86">
        <f t="shared" si="136"/>
        <v>-0.3765628196635894</v>
      </c>
      <c r="L316" s="87">
        <f t="shared" si="137"/>
        <v>2.2184996943720531E-2</v>
      </c>
      <c r="M316" s="86">
        <f t="shared" si="138"/>
        <v>-0.27884277871339835</v>
      </c>
      <c r="N316" s="87">
        <f t="shared" si="139"/>
        <v>0.15642679991313593</v>
      </c>
      <c r="O316" s="86">
        <f t="shared" si="140"/>
        <v>-0.39655627968031082</v>
      </c>
      <c r="P316" s="87">
        <f t="shared" si="141"/>
        <v>2.582350910675954E-2</v>
      </c>
      <c r="Q316" s="86">
        <f t="shared" si="142"/>
        <v>-0.37656281966358945</v>
      </c>
      <c r="R316" s="85">
        <f t="shared" si="143"/>
        <v>-0.25046482599677961</v>
      </c>
    </row>
    <row r="317" spans="2:18">
      <c r="B317" s="83"/>
      <c r="C317" s="84">
        <v>57</v>
      </c>
      <c r="D317" s="84">
        <v>48</v>
      </c>
      <c r="E317" s="84">
        <v>1.01075</v>
      </c>
      <c r="F317" s="78"/>
      <c r="G317" s="85">
        <f t="shared" si="132"/>
        <v>0.39461781136702345</v>
      </c>
      <c r="H317" s="86">
        <f t="shared" si="133"/>
        <v>-0.2142857142857143</v>
      </c>
      <c r="I317" s="85">
        <f t="shared" si="134"/>
        <v>-0.45744680851063829</v>
      </c>
      <c r="J317" s="85">
        <f t="shared" si="135"/>
        <v>-4.43346007604562E-2</v>
      </c>
      <c r="K317" s="86">
        <f t="shared" si="136"/>
        <v>-0.35656935964686792</v>
      </c>
      <c r="L317" s="87">
        <f t="shared" si="137"/>
        <v>0.14051447320720475</v>
      </c>
      <c r="M317" s="86">
        <f t="shared" si="138"/>
        <v>-0.25884931869667682</v>
      </c>
      <c r="N317" s="87">
        <f t="shared" si="139"/>
        <v>0.27475627617662013</v>
      </c>
      <c r="O317" s="86">
        <f t="shared" si="140"/>
        <v>-0.39655627968031082</v>
      </c>
      <c r="P317" s="87">
        <f t="shared" si="141"/>
        <v>0.1477914975332828</v>
      </c>
      <c r="Q317" s="86">
        <f t="shared" si="142"/>
        <v>-0.35656935964686798</v>
      </c>
      <c r="R317" s="85">
        <f t="shared" si="143"/>
        <v>-0.25410333815981867</v>
      </c>
    </row>
    <row r="318" spans="2:18">
      <c r="B318" s="83"/>
      <c r="C318" s="84">
        <v>57</v>
      </c>
      <c r="D318" s="84">
        <v>64</v>
      </c>
      <c r="E318" s="84">
        <v>1.2430000000000001</v>
      </c>
      <c r="F318" s="78"/>
      <c r="G318" s="85">
        <f t="shared" si="132"/>
        <v>0.51698094446447485</v>
      </c>
      <c r="H318" s="86">
        <f t="shared" si="133"/>
        <v>-0.2142857142857143</v>
      </c>
      <c r="I318" s="85">
        <f t="shared" si="134"/>
        <v>-0.43617021276595747</v>
      </c>
      <c r="J318" s="85">
        <f t="shared" si="135"/>
        <v>9.6958174904943073E-2</v>
      </c>
      <c r="K318" s="86">
        <f t="shared" si="136"/>
        <v>-0.3365758996301465</v>
      </c>
      <c r="L318" s="87">
        <f t="shared" si="137"/>
        <v>0.25923909414161722</v>
      </c>
      <c r="M318" s="86">
        <f t="shared" si="138"/>
        <v>-0.23885585867995543</v>
      </c>
      <c r="N318" s="87">
        <f t="shared" si="139"/>
        <v>0.39348089711103262</v>
      </c>
      <c r="O318" s="86">
        <f t="shared" si="140"/>
        <v>-0.39655627968031082</v>
      </c>
      <c r="P318" s="87">
        <f t="shared" si="141"/>
        <v>0.2701546306307343</v>
      </c>
      <c r="Q318" s="86">
        <f t="shared" si="142"/>
        <v>-0.33657589963014656</v>
      </c>
      <c r="R318" s="85">
        <f t="shared" si="143"/>
        <v>-0.25774185032285768</v>
      </c>
    </row>
    <row r="319" spans="2:18">
      <c r="B319" s="83"/>
      <c r="C319" s="84">
        <v>57</v>
      </c>
      <c r="D319" s="84">
        <v>80</v>
      </c>
      <c r="E319" s="84">
        <v>1.6060000000000001</v>
      </c>
      <c r="F319" s="78"/>
      <c r="G319" s="85">
        <f t="shared" si="132"/>
        <v>0.70823096519375328</v>
      </c>
      <c r="H319" s="86">
        <f t="shared" si="133"/>
        <v>-0.2142857142857143</v>
      </c>
      <c r="I319" s="85">
        <f t="shared" si="134"/>
        <v>-0.41489361702127658</v>
      </c>
      <c r="J319" s="85">
        <f t="shared" si="135"/>
        <v>0.31779467680608375</v>
      </c>
      <c r="K319" s="86">
        <f t="shared" si="136"/>
        <v>-0.31658243961342492</v>
      </c>
      <c r="L319" s="87">
        <f t="shared" si="137"/>
        <v>0.44685060270785654</v>
      </c>
      <c r="M319" s="86">
        <f t="shared" si="138"/>
        <v>-0.21886239866323387</v>
      </c>
      <c r="N319" s="87">
        <f t="shared" si="139"/>
        <v>0.58109240567727194</v>
      </c>
      <c r="O319" s="86">
        <f t="shared" si="140"/>
        <v>-0.39655627968031076</v>
      </c>
      <c r="P319" s="87">
        <f t="shared" si="141"/>
        <v>0.46140465136001263</v>
      </c>
      <c r="Q319" s="86">
        <f t="shared" si="142"/>
        <v>-0.31658243961342503</v>
      </c>
      <c r="R319" s="85">
        <f t="shared" si="143"/>
        <v>-0.26138036248589669</v>
      </c>
    </row>
    <row r="320" spans="2:18">
      <c r="B320" s="83"/>
      <c r="C320" s="84">
        <v>60</v>
      </c>
      <c r="D320" s="84">
        <v>16</v>
      </c>
      <c r="E320" s="84">
        <v>0.52349999999999997</v>
      </c>
      <c r="F320" s="78"/>
      <c r="G320" s="85">
        <f t="shared" si="132"/>
        <v>0.13790549015396308</v>
      </c>
      <c r="H320" s="86">
        <f t="shared" si="133"/>
        <v>-0.19841269841269843</v>
      </c>
      <c r="I320" s="85">
        <f t="shared" si="134"/>
        <v>-0.5</v>
      </c>
      <c r="J320" s="85">
        <f t="shared" si="135"/>
        <v>-0.34076045627376428</v>
      </c>
      <c r="K320" s="86">
        <f t="shared" si="136"/>
        <v>-0.40198517084421043</v>
      </c>
      <c r="L320" s="87">
        <f t="shared" si="137"/>
        <v>-0.11637870162252278</v>
      </c>
      <c r="M320" s="86">
        <f t="shared" si="138"/>
        <v>-0.29883623873011983</v>
      </c>
      <c r="N320" s="87">
        <f t="shared" si="139"/>
        <v>2.532097928963789E-2</v>
      </c>
      <c r="O320" s="86">
        <f t="shared" si="140"/>
        <v>-0.40198517084421043</v>
      </c>
      <c r="P320" s="87">
        <f t="shared" si="141"/>
        <v>-0.11637870162252278</v>
      </c>
      <c r="Q320" s="86">
        <f t="shared" si="142"/>
        <v>-0.40198517084421043</v>
      </c>
      <c r="R320" s="85">
        <f t="shared" si="143"/>
        <v>-0.25428419177648587</v>
      </c>
    </row>
    <row r="321" spans="2:18">
      <c r="B321" s="83"/>
      <c r="C321" s="84">
        <v>60</v>
      </c>
      <c r="D321" s="84">
        <v>32</v>
      </c>
      <c r="E321" s="84">
        <v>0.8</v>
      </c>
      <c r="F321" s="78"/>
      <c r="G321" s="85">
        <f t="shared" si="132"/>
        <v>0.28358215883618199</v>
      </c>
      <c r="H321" s="86">
        <f t="shared" si="133"/>
        <v>-0.19841269841269843</v>
      </c>
      <c r="I321" s="85">
        <f t="shared" si="134"/>
        <v>-0.47872340425531917</v>
      </c>
      <c r="J321" s="85">
        <f t="shared" si="135"/>
        <v>-0.17254752851711019</v>
      </c>
      <c r="K321" s="86">
        <f t="shared" si="136"/>
        <v>-0.38199171082748895</v>
      </c>
      <c r="L321" s="87">
        <f t="shared" si="137"/>
        <v>2.5659454896657136E-2</v>
      </c>
      <c r="M321" s="86">
        <f t="shared" si="138"/>
        <v>-0.27884277871339835</v>
      </c>
      <c r="N321" s="87">
        <f t="shared" si="139"/>
        <v>0.16735913580881784</v>
      </c>
      <c r="O321" s="86">
        <f t="shared" si="140"/>
        <v>-0.40198517084421037</v>
      </c>
      <c r="P321" s="87">
        <f t="shared" si="141"/>
        <v>2.9297967059696173E-2</v>
      </c>
      <c r="Q321" s="86">
        <f t="shared" si="142"/>
        <v>-0.38199171082748901</v>
      </c>
      <c r="R321" s="85">
        <f t="shared" si="143"/>
        <v>-0.25792270393952488</v>
      </c>
    </row>
    <row r="322" spans="2:18">
      <c r="B322" s="83"/>
      <c r="C322" s="84">
        <v>60</v>
      </c>
      <c r="D322" s="84">
        <v>48</v>
      </c>
      <c r="E322" s="84">
        <v>1.0449999999999999</v>
      </c>
      <c r="F322" s="78"/>
      <c r="G322" s="85">
        <f t="shared" si="132"/>
        <v>0.41266275133941388</v>
      </c>
      <c r="H322" s="86">
        <f t="shared" si="133"/>
        <v>-0.19841269841269843</v>
      </c>
      <c r="I322" s="85">
        <f t="shared" si="134"/>
        <v>-0.45744680851063829</v>
      </c>
      <c r="J322" s="85">
        <f t="shared" si="135"/>
        <v>-2.3498098859315586E-2</v>
      </c>
      <c r="K322" s="86">
        <f t="shared" si="136"/>
        <v>-0.36199825081076742</v>
      </c>
      <c r="L322" s="87">
        <f t="shared" si="137"/>
        <v>0.15110153523684997</v>
      </c>
      <c r="M322" s="86">
        <f t="shared" si="138"/>
        <v>-0.25884931869667682</v>
      </c>
      <c r="N322" s="87">
        <f t="shared" si="139"/>
        <v>0.29280121614901067</v>
      </c>
      <c r="O322" s="86">
        <f t="shared" si="140"/>
        <v>-0.40198517084421037</v>
      </c>
      <c r="P322" s="87">
        <f t="shared" si="141"/>
        <v>0.15837855956292804</v>
      </c>
      <c r="Q322" s="86">
        <f t="shared" si="142"/>
        <v>-0.36199825081076747</v>
      </c>
      <c r="R322" s="85">
        <f t="shared" si="143"/>
        <v>-0.26156121610256394</v>
      </c>
    </row>
    <row r="323" spans="2:18">
      <c r="B323" s="83"/>
      <c r="C323" s="84">
        <v>60</v>
      </c>
      <c r="D323" s="84">
        <v>64</v>
      </c>
      <c r="E323" s="84">
        <v>1.2955000000000001</v>
      </c>
      <c r="F323" s="78"/>
      <c r="G323" s="85">
        <f t="shared" si="132"/>
        <v>0.54464107142945317</v>
      </c>
      <c r="H323" s="86">
        <f t="shared" si="133"/>
        <v>-0.19841269841269843</v>
      </c>
      <c r="I323" s="85">
        <f t="shared" si="134"/>
        <v>-0.43617021276595747</v>
      </c>
      <c r="J323" s="85">
        <f t="shared" si="135"/>
        <v>0.12889733840304196</v>
      </c>
      <c r="K323" s="86">
        <f t="shared" si="136"/>
        <v>-0.342004790794046</v>
      </c>
      <c r="L323" s="87">
        <f t="shared" si="137"/>
        <v>0.27944134316385028</v>
      </c>
      <c r="M323" s="86">
        <f t="shared" si="138"/>
        <v>-0.2388558586799554</v>
      </c>
      <c r="N323" s="87">
        <f t="shared" si="139"/>
        <v>0.42114102407601095</v>
      </c>
      <c r="O323" s="86">
        <f t="shared" si="140"/>
        <v>-0.40198517084421037</v>
      </c>
      <c r="P323" s="87">
        <f t="shared" si="141"/>
        <v>0.2903568796529673</v>
      </c>
      <c r="Q323" s="86">
        <f t="shared" si="142"/>
        <v>-0.34200479079404605</v>
      </c>
      <c r="R323" s="85">
        <f t="shared" si="143"/>
        <v>-0.26519972826560295</v>
      </c>
    </row>
    <row r="324" spans="2:18">
      <c r="B324" s="83"/>
      <c r="C324" s="84">
        <v>63</v>
      </c>
      <c r="D324" s="84">
        <v>16</v>
      </c>
      <c r="E324" s="84">
        <v>0.54474999999999996</v>
      </c>
      <c r="F324" s="78"/>
      <c r="G324" s="85">
        <f t="shared" si="132"/>
        <v>0.14910125583026379</v>
      </c>
      <c r="H324" s="86">
        <f t="shared" si="133"/>
        <v>-0.18253968253968256</v>
      </c>
      <c r="I324" s="85">
        <f t="shared" si="134"/>
        <v>-0.5</v>
      </c>
      <c r="J324" s="85">
        <f t="shared" si="135"/>
        <v>-0.32783269961977191</v>
      </c>
      <c r="K324" s="86">
        <f t="shared" si="136"/>
        <v>-0.40741406200810992</v>
      </c>
      <c r="L324" s="87">
        <f t="shared" si="137"/>
        <v>-0.11264081388896741</v>
      </c>
      <c r="M324" s="86">
        <f t="shared" si="138"/>
        <v>-0.29883623873011983</v>
      </c>
      <c r="N324" s="87">
        <f t="shared" si="139"/>
        <v>3.6516744965938597E-2</v>
      </c>
      <c r="O324" s="86">
        <f t="shared" si="140"/>
        <v>-0.40741406200810992</v>
      </c>
      <c r="P324" s="87">
        <f t="shared" si="141"/>
        <v>-0.11264081388896741</v>
      </c>
      <c r="Q324" s="86">
        <f t="shared" si="142"/>
        <v>-0.40741406200810992</v>
      </c>
      <c r="R324" s="85">
        <f t="shared" si="143"/>
        <v>-0.2617420697192312</v>
      </c>
    </row>
    <row r="325" spans="2:18">
      <c r="B325" s="83"/>
      <c r="C325" s="84">
        <v>63</v>
      </c>
      <c r="D325" s="84">
        <v>32</v>
      </c>
      <c r="E325" s="84">
        <v>0.8115</v>
      </c>
      <c r="F325" s="78"/>
      <c r="G325" s="85">
        <f t="shared" si="132"/>
        <v>0.28964104379041533</v>
      </c>
      <c r="H325" s="86">
        <f t="shared" si="133"/>
        <v>-0.18253968253968256</v>
      </c>
      <c r="I325" s="85">
        <f t="shared" si="134"/>
        <v>-0.47872340425531917</v>
      </c>
      <c r="J325" s="85">
        <f t="shared" si="135"/>
        <v>-0.16555133079847911</v>
      </c>
      <c r="K325" s="86">
        <f t="shared" si="136"/>
        <v>-0.38742060199138845</v>
      </c>
      <c r="L325" s="87">
        <f t="shared" si="137"/>
        <v>2.4260461908145098E-2</v>
      </c>
      <c r="M325" s="86">
        <f t="shared" si="138"/>
        <v>-0.27884277871339835</v>
      </c>
      <c r="N325" s="87">
        <f t="shared" si="139"/>
        <v>0.1734180207630511</v>
      </c>
      <c r="O325" s="86">
        <f t="shared" si="140"/>
        <v>-0.40741406200810987</v>
      </c>
      <c r="P325" s="87">
        <f t="shared" si="141"/>
        <v>2.7898974071184107E-2</v>
      </c>
      <c r="Q325" s="86">
        <f t="shared" si="142"/>
        <v>-0.3874206019913885</v>
      </c>
      <c r="R325" s="85">
        <f t="shared" si="143"/>
        <v>-0.26538058188227021</v>
      </c>
    </row>
    <row r="326" spans="2:18">
      <c r="B326" s="83"/>
      <c r="C326" s="84">
        <v>63</v>
      </c>
      <c r="D326" s="84">
        <v>48</v>
      </c>
      <c r="E326" s="84">
        <v>1.08</v>
      </c>
      <c r="F326" s="78"/>
      <c r="G326" s="85">
        <f t="shared" si="132"/>
        <v>0.4311028359827328</v>
      </c>
      <c r="H326" s="86">
        <f t="shared" si="133"/>
        <v>-0.18253968253968256</v>
      </c>
      <c r="I326" s="85">
        <f t="shared" si="134"/>
        <v>-0.45744680851063829</v>
      </c>
      <c r="J326" s="85">
        <f t="shared" si="135"/>
        <v>-2.2053231939162532E-3</v>
      </c>
      <c r="K326" s="86">
        <f t="shared" si="136"/>
        <v>-0.36742714197466697</v>
      </c>
      <c r="L326" s="87">
        <f t="shared" si="137"/>
        <v>0.16208374193742359</v>
      </c>
      <c r="M326" s="86">
        <f t="shared" si="138"/>
        <v>-0.25884931869667682</v>
      </c>
      <c r="N326" s="87">
        <f t="shared" si="139"/>
        <v>0.31124130079232959</v>
      </c>
      <c r="O326" s="86">
        <f t="shared" si="140"/>
        <v>-0.40741406200810987</v>
      </c>
      <c r="P326" s="87">
        <f t="shared" si="141"/>
        <v>0.16936076626350163</v>
      </c>
      <c r="Q326" s="86">
        <f t="shared" si="142"/>
        <v>-0.36742714197466703</v>
      </c>
      <c r="R326" s="85">
        <f t="shared" si="143"/>
        <v>-0.26901909404530921</v>
      </c>
    </row>
    <row r="327" spans="2:18">
      <c r="B327" s="83"/>
      <c r="C327" s="84">
        <v>63</v>
      </c>
      <c r="D327" s="84">
        <v>64</v>
      </c>
      <c r="E327" s="84">
        <v>1.3525</v>
      </c>
      <c r="F327" s="78"/>
      <c r="G327" s="85">
        <f t="shared" si="132"/>
        <v>0.5746720664200009</v>
      </c>
      <c r="H327" s="86">
        <f t="shared" si="133"/>
        <v>-0.18253968253968256</v>
      </c>
      <c r="I327" s="85">
        <f t="shared" si="134"/>
        <v>-0.43617021276595747</v>
      </c>
      <c r="J327" s="85">
        <f t="shared" si="135"/>
        <v>0.16357414448669205</v>
      </c>
      <c r="K327" s="86">
        <f t="shared" si="136"/>
        <v>-0.34743368195794555</v>
      </c>
      <c r="L327" s="87">
        <f t="shared" si="137"/>
        <v>0.30201446021165268</v>
      </c>
      <c r="M327" s="86">
        <f t="shared" si="138"/>
        <v>-0.2388558586799554</v>
      </c>
      <c r="N327" s="87">
        <f t="shared" si="139"/>
        <v>0.45117201906655868</v>
      </c>
      <c r="O327" s="86">
        <f t="shared" si="140"/>
        <v>-0.40741406200810987</v>
      </c>
      <c r="P327" s="87">
        <f t="shared" si="141"/>
        <v>0.31292999670076976</v>
      </c>
      <c r="Q327" s="86">
        <f t="shared" si="142"/>
        <v>-0.34743368195794561</v>
      </c>
      <c r="R327" s="85">
        <f t="shared" si="143"/>
        <v>-0.27265760620834828</v>
      </c>
    </row>
    <row r="328" spans="2:18">
      <c r="B328" s="83"/>
      <c r="C328" s="84">
        <v>66</v>
      </c>
      <c r="D328" s="84">
        <v>16</v>
      </c>
      <c r="E328" s="84">
        <v>0.57999999999999996</v>
      </c>
      <c r="F328" s="78"/>
      <c r="G328" s="85">
        <f t="shared" si="132"/>
        <v>0.1676730553638921</v>
      </c>
      <c r="H328" s="86">
        <f t="shared" si="133"/>
        <v>-0.16666666666666669</v>
      </c>
      <c r="I328" s="85">
        <f t="shared" si="134"/>
        <v>-0.5</v>
      </c>
      <c r="J328" s="85">
        <f t="shared" si="135"/>
        <v>-0.30638783269961978</v>
      </c>
      <c r="K328" s="86">
        <f t="shared" si="136"/>
        <v>-0.41284295317200942</v>
      </c>
      <c r="L328" s="87">
        <f t="shared" si="137"/>
        <v>-0.10152689229808437</v>
      </c>
      <c r="M328" s="86">
        <f t="shared" si="138"/>
        <v>-0.29883623873011983</v>
      </c>
      <c r="N328" s="87">
        <f t="shared" si="139"/>
        <v>5.5088544499566905E-2</v>
      </c>
      <c r="O328" s="86">
        <f t="shared" si="140"/>
        <v>-0.41284295317200942</v>
      </c>
      <c r="P328" s="87">
        <f t="shared" si="141"/>
        <v>-0.10152689229808437</v>
      </c>
      <c r="Q328" s="86">
        <f t="shared" si="142"/>
        <v>-0.41284295317200942</v>
      </c>
      <c r="R328" s="85">
        <f t="shared" si="143"/>
        <v>-0.26919994766197647</v>
      </c>
    </row>
    <row r="329" spans="2:18">
      <c r="B329" s="83"/>
      <c r="C329" s="84">
        <v>66</v>
      </c>
      <c r="D329" s="84">
        <v>32</v>
      </c>
      <c r="E329" s="84">
        <v>0.82925000000000004</v>
      </c>
      <c r="F329" s="78"/>
      <c r="G329" s="85">
        <f t="shared" si="132"/>
        <v>0.29899280100238423</v>
      </c>
      <c r="H329" s="86">
        <f t="shared" si="133"/>
        <v>-0.16666666666666669</v>
      </c>
      <c r="I329" s="85">
        <f t="shared" si="134"/>
        <v>-0.47872340425531917</v>
      </c>
      <c r="J329" s="85">
        <f t="shared" si="135"/>
        <v>-0.15475285171102654</v>
      </c>
      <c r="K329" s="86">
        <f t="shared" si="136"/>
        <v>-0.39284949315528794</v>
      </c>
      <c r="L329" s="87">
        <f t="shared" si="137"/>
        <v>2.6154341177368728E-2</v>
      </c>
      <c r="M329" s="86">
        <f t="shared" si="138"/>
        <v>-0.27884277871339835</v>
      </c>
      <c r="N329" s="87">
        <f t="shared" si="139"/>
        <v>0.18276977797502003</v>
      </c>
      <c r="O329" s="86">
        <f t="shared" si="140"/>
        <v>-0.41284295317200936</v>
      </c>
      <c r="P329" s="87">
        <f t="shared" si="141"/>
        <v>2.9792853340407766E-2</v>
      </c>
      <c r="Q329" s="86">
        <f t="shared" si="142"/>
        <v>-0.392849493155288</v>
      </c>
      <c r="R329" s="85">
        <f t="shared" si="143"/>
        <v>-0.27283845982501553</v>
      </c>
    </row>
    <row r="330" spans="2:18">
      <c r="B330" s="83"/>
      <c r="C330" s="84">
        <v>66</v>
      </c>
      <c r="D330" s="84">
        <v>48</v>
      </c>
      <c r="E330" s="84">
        <v>1.11775</v>
      </c>
      <c r="F330" s="78"/>
      <c r="G330" s="85">
        <f t="shared" si="132"/>
        <v>0.45099178441945531</v>
      </c>
      <c r="H330" s="86">
        <f t="shared" si="133"/>
        <v>-0.16666666666666669</v>
      </c>
      <c r="I330" s="85">
        <f t="shared" si="134"/>
        <v>-0.45744680851063829</v>
      </c>
      <c r="J330" s="85">
        <f t="shared" si="135"/>
        <v>2.0760456273764327E-2</v>
      </c>
      <c r="K330" s="86">
        <f t="shared" si="136"/>
        <v>-0.37285603313856647</v>
      </c>
      <c r="L330" s="87">
        <f t="shared" si="137"/>
        <v>0.17451481243140074</v>
      </c>
      <c r="M330" s="86">
        <f t="shared" si="138"/>
        <v>-0.25884931869667682</v>
      </c>
      <c r="N330" s="87">
        <f t="shared" si="139"/>
        <v>0.33113024922905204</v>
      </c>
      <c r="O330" s="86">
        <f t="shared" si="140"/>
        <v>-0.41284295317200936</v>
      </c>
      <c r="P330" s="87">
        <f t="shared" si="141"/>
        <v>0.18179183675747881</v>
      </c>
      <c r="Q330" s="86">
        <f t="shared" si="142"/>
        <v>-0.37285603313856652</v>
      </c>
      <c r="R330" s="85">
        <f t="shared" si="143"/>
        <v>-0.27647697198805454</v>
      </c>
    </row>
    <row r="331" spans="2:18">
      <c r="B331" s="83"/>
      <c r="C331" s="84">
        <v>66</v>
      </c>
      <c r="D331" s="84">
        <v>64</v>
      </c>
      <c r="E331" s="84">
        <v>1.41025</v>
      </c>
      <c r="F331" s="78"/>
      <c r="G331" s="85">
        <f t="shared" si="132"/>
        <v>0.60509820608147702</v>
      </c>
      <c r="H331" s="86">
        <f t="shared" si="133"/>
        <v>-0.16666666666666669</v>
      </c>
      <c r="I331" s="85">
        <f t="shared" si="134"/>
        <v>-0.43617021276595747</v>
      </c>
      <c r="J331" s="85">
        <f t="shared" si="135"/>
        <v>0.19870722433460075</v>
      </c>
      <c r="K331" s="86">
        <f t="shared" si="136"/>
        <v>-0.35286257312184505</v>
      </c>
      <c r="L331" s="87">
        <f t="shared" si="137"/>
        <v>0.32498272193038347</v>
      </c>
      <c r="M331" s="86">
        <f t="shared" si="138"/>
        <v>-0.2388558586799554</v>
      </c>
      <c r="N331" s="87">
        <f t="shared" si="139"/>
        <v>0.48159815872803474</v>
      </c>
      <c r="O331" s="86">
        <f t="shared" si="140"/>
        <v>-0.41284295317200936</v>
      </c>
      <c r="P331" s="87">
        <f t="shared" si="141"/>
        <v>0.33589825841950055</v>
      </c>
      <c r="Q331" s="86">
        <f t="shared" si="142"/>
        <v>-0.3528625731218451</v>
      </c>
      <c r="R331" s="85">
        <f t="shared" si="143"/>
        <v>-0.28011548415109355</v>
      </c>
    </row>
    <row r="332" spans="2:18">
      <c r="B332" s="83"/>
      <c r="C332" s="84">
        <v>69</v>
      </c>
      <c r="D332" s="84">
        <v>16</v>
      </c>
      <c r="E332" s="84">
        <v>0.62649999999999995</v>
      </c>
      <c r="F332" s="78"/>
      <c r="G332" s="85">
        <f t="shared" si="132"/>
        <v>0.19217202496144423</v>
      </c>
      <c r="H332" s="86">
        <f t="shared" si="133"/>
        <v>-0.15079365079365081</v>
      </c>
      <c r="I332" s="85">
        <f t="shared" si="134"/>
        <v>-0.5</v>
      </c>
      <c r="J332" s="85">
        <f t="shared" si="135"/>
        <v>-0.27809885931558942</v>
      </c>
      <c r="K332" s="86">
        <f t="shared" si="136"/>
        <v>-0.41827184433590892</v>
      </c>
      <c r="L332" s="87">
        <f t="shared" si="137"/>
        <v>-8.448580064327757E-2</v>
      </c>
      <c r="M332" s="86">
        <f t="shared" si="138"/>
        <v>-0.29883623873011983</v>
      </c>
      <c r="N332" s="87">
        <f t="shared" si="139"/>
        <v>7.9587514097119033E-2</v>
      </c>
      <c r="O332" s="86">
        <f t="shared" si="140"/>
        <v>-0.41827184433590892</v>
      </c>
      <c r="P332" s="87">
        <f t="shared" si="141"/>
        <v>-8.448580064327757E-2</v>
      </c>
      <c r="Q332" s="86">
        <f t="shared" si="142"/>
        <v>-0.41827184433590892</v>
      </c>
      <c r="R332" s="85">
        <f t="shared" si="143"/>
        <v>-0.2766578256047218</v>
      </c>
    </row>
    <row r="333" spans="2:18">
      <c r="B333" s="83"/>
      <c r="C333" s="84">
        <v>69</v>
      </c>
      <c r="D333" s="84">
        <v>32</v>
      </c>
      <c r="E333" s="84">
        <v>0.85350000000000004</v>
      </c>
      <c r="F333" s="78"/>
      <c r="G333" s="85">
        <f t="shared" si="132"/>
        <v>0.31176914536239791</v>
      </c>
      <c r="H333" s="86">
        <f t="shared" si="133"/>
        <v>-0.15079365079365081</v>
      </c>
      <c r="I333" s="85">
        <f t="shared" si="134"/>
        <v>-0.47872340425531917</v>
      </c>
      <c r="J333" s="85">
        <f t="shared" si="135"/>
        <v>-0.14000000000000001</v>
      </c>
      <c r="K333" s="86">
        <f t="shared" si="136"/>
        <v>-0.39827838431918744</v>
      </c>
      <c r="L333" s="87">
        <f t="shared" si="137"/>
        <v>3.1472807594637123E-2</v>
      </c>
      <c r="M333" s="86">
        <f t="shared" si="138"/>
        <v>-0.27884277871339835</v>
      </c>
      <c r="N333" s="87">
        <f t="shared" si="139"/>
        <v>0.19554612233503371</v>
      </c>
      <c r="O333" s="86">
        <f t="shared" si="140"/>
        <v>-0.41827184433590886</v>
      </c>
      <c r="P333" s="87">
        <f t="shared" si="141"/>
        <v>3.5111319757676132E-2</v>
      </c>
      <c r="Q333" s="86">
        <f t="shared" si="142"/>
        <v>-0.3982783843191875</v>
      </c>
      <c r="R333" s="85">
        <f t="shared" si="143"/>
        <v>-0.28029633776776081</v>
      </c>
    </row>
    <row r="334" spans="2:18">
      <c r="B334" s="83"/>
      <c r="C334" s="84">
        <v>69</v>
      </c>
      <c r="D334" s="84">
        <v>48</v>
      </c>
      <c r="E334" s="84">
        <v>1.1565000000000001</v>
      </c>
      <c r="F334" s="78"/>
      <c r="G334" s="85">
        <f t="shared" si="132"/>
        <v>0.47140759241741548</v>
      </c>
      <c r="H334" s="86">
        <f t="shared" si="133"/>
        <v>-0.15079365079365081</v>
      </c>
      <c r="I334" s="85">
        <f t="shared" si="134"/>
        <v>-0.45744680851063829</v>
      </c>
      <c r="J334" s="85">
        <f t="shared" si="135"/>
        <v>4.4334600760456366E-2</v>
      </c>
      <c r="K334" s="86">
        <f t="shared" si="136"/>
        <v>-0.37828492430246596</v>
      </c>
      <c r="L334" s="87">
        <f t="shared" si="137"/>
        <v>0.18747274248661561</v>
      </c>
      <c r="M334" s="86">
        <f t="shared" si="138"/>
        <v>-0.25884931869667682</v>
      </c>
      <c r="N334" s="87">
        <f t="shared" si="139"/>
        <v>0.35154605722701221</v>
      </c>
      <c r="O334" s="86">
        <f t="shared" si="140"/>
        <v>-0.41827184433590886</v>
      </c>
      <c r="P334" s="87">
        <f t="shared" si="141"/>
        <v>0.19474976681269368</v>
      </c>
      <c r="Q334" s="86">
        <f t="shared" si="142"/>
        <v>-0.37828492430246602</v>
      </c>
      <c r="R334" s="85">
        <f t="shared" si="143"/>
        <v>-0.28393484993079987</v>
      </c>
    </row>
    <row r="335" spans="2:18">
      <c r="B335" s="83"/>
      <c r="C335" s="84">
        <v>69</v>
      </c>
      <c r="D335" s="84">
        <v>64</v>
      </c>
      <c r="E335" s="84">
        <v>1.4677500000000001</v>
      </c>
      <c r="F335" s="78"/>
      <c r="G335" s="85">
        <f t="shared" si="132"/>
        <v>0.63539263085264386</v>
      </c>
      <c r="H335" s="86">
        <f t="shared" si="133"/>
        <v>-0.15079365079365081</v>
      </c>
      <c r="I335" s="85">
        <f t="shared" si="134"/>
        <v>-0.43617021276595747</v>
      </c>
      <c r="J335" s="85">
        <f t="shared" si="135"/>
        <v>0.23368821292775677</v>
      </c>
      <c r="K335" s="86">
        <f t="shared" si="136"/>
        <v>-0.35829146428574449</v>
      </c>
      <c r="L335" s="87">
        <f t="shared" si="137"/>
        <v>0.34781926875880492</v>
      </c>
      <c r="M335" s="86">
        <f t="shared" si="138"/>
        <v>-0.2388558586799554</v>
      </c>
      <c r="N335" s="87">
        <f t="shared" si="139"/>
        <v>0.51189258349920153</v>
      </c>
      <c r="O335" s="86">
        <f t="shared" si="140"/>
        <v>-0.4182718443359088</v>
      </c>
      <c r="P335" s="87">
        <f t="shared" si="141"/>
        <v>0.35873480524792201</v>
      </c>
      <c r="Q335" s="86">
        <f t="shared" si="142"/>
        <v>-0.3582914642857446</v>
      </c>
      <c r="R335" s="85">
        <f t="shared" si="143"/>
        <v>-0.28757336209383888</v>
      </c>
    </row>
    <row r="336" spans="2:18">
      <c r="B336" s="83"/>
      <c r="C336" s="84">
        <v>72</v>
      </c>
      <c r="D336" s="84">
        <v>16</v>
      </c>
      <c r="E336" s="84">
        <v>0.63800000000000001</v>
      </c>
      <c r="F336" s="78"/>
      <c r="G336" s="85">
        <f t="shared" si="132"/>
        <v>0.1982309099156776</v>
      </c>
      <c r="H336" s="86">
        <f t="shared" si="133"/>
        <v>-0.13492063492063494</v>
      </c>
      <c r="I336" s="85">
        <f t="shared" si="134"/>
        <v>-0.5</v>
      </c>
      <c r="J336" s="85">
        <f t="shared" si="135"/>
        <v>-0.27110266159695817</v>
      </c>
      <c r="K336" s="86">
        <f t="shared" si="136"/>
        <v>-0.42370073549980841</v>
      </c>
      <c r="L336" s="87">
        <f t="shared" si="137"/>
        <v>-8.5884793631789469E-2</v>
      </c>
      <c r="M336" s="86">
        <f t="shared" si="138"/>
        <v>-0.29883623873011983</v>
      </c>
      <c r="N336" s="87">
        <f t="shared" si="139"/>
        <v>8.5646399051352406E-2</v>
      </c>
      <c r="O336" s="86">
        <f t="shared" si="140"/>
        <v>-0.42370073549980841</v>
      </c>
      <c r="P336" s="87">
        <f t="shared" si="141"/>
        <v>-8.5884793631789469E-2</v>
      </c>
      <c r="Q336" s="86">
        <f t="shared" si="142"/>
        <v>-0.42370073549980841</v>
      </c>
      <c r="R336" s="85">
        <f t="shared" si="143"/>
        <v>-0.28411570354746707</v>
      </c>
    </row>
    <row r="337" spans="2:18">
      <c r="B337" s="83"/>
      <c r="C337" s="84">
        <v>72</v>
      </c>
      <c r="D337" s="84">
        <v>32</v>
      </c>
      <c r="E337" s="84">
        <v>0.87224999999999997</v>
      </c>
      <c r="F337" s="78"/>
      <c r="G337" s="85">
        <f t="shared" si="132"/>
        <v>0.32164776213560448</v>
      </c>
      <c r="H337" s="86">
        <f t="shared" si="133"/>
        <v>-0.13492063492063494</v>
      </c>
      <c r="I337" s="85">
        <f t="shared" si="134"/>
        <v>-0.47872340425531917</v>
      </c>
      <c r="J337" s="85">
        <f t="shared" si="135"/>
        <v>-0.12859315589353609</v>
      </c>
      <c r="K337" s="86">
        <f t="shared" si="136"/>
        <v>-0.40370727548308694</v>
      </c>
      <c r="L337" s="87">
        <f t="shared" si="137"/>
        <v>3.3893546425098384E-2</v>
      </c>
      <c r="M337" s="86">
        <f t="shared" si="138"/>
        <v>-0.27884277871339835</v>
      </c>
      <c r="N337" s="87">
        <f t="shared" si="139"/>
        <v>0.20542473910824027</v>
      </c>
      <c r="O337" s="86">
        <f t="shared" si="140"/>
        <v>-0.42370073549980836</v>
      </c>
      <c r="P337" s="87">
        <f t="shared" si="141"/>
        <v>3.7532058588137421E-2</v>
      </c>
      <c r="Q337" s="86">
        <f t="shared" si="142"/>
        <v>-0.40370727548308699</v>
      </c>
      <c r="R337" s="85">
        <f t="shared" si="143"/>
        <v>-0.28775421571050608</v>
      </c>
    </row>
    <row r="338" spans="2:18">
      <c r="B338" s="83"/>
      <c r="C338" s="84">
        <v>72</v>
      </c>
      <c r="D338" s="84">
        <v>48</v>
      </c>
      <c r="E338" s="84">
        <v>1.19425</v>
      </c>
      <c r="F338" s="78"/>
      <c r="G338" s="85">
        <f t="shared" si="132"/>
        <v>0.49129654085413788</v>
      </c>
      <c r="H338" s="86">
        <f t="shared" si="133"/>
        <v>-0.13492063492063494</v>
      </c>
      <c r="I338" s="85">
        <f t="shared" si="134"/>
        <v>-0.45744680851063829</v>
      </c>
      <c r="J338" s="85">
        <f t="shared" si="135"/>
        <v>6.7300380228136891E-2</v>
      </c>
      <c r="K338" s="86">
        <f t="shared" si="136"/>
        <v>-0.38371381546636546</v>
      </c>
      <c r="L338" s="87">
        <f t="shared" si="137"/>
        <v>0.19990381298059273</v>
      </c>
      <c r="M338" s="86">
        <f t="shared" si="138"/>
        <v>-0.25884931869667682</v>
      </c>
      <c r="N338" s="87">
        <f t="shared" si="139"/>
        <v>0.37143500566373461</v>
      </c>
      <c r="O338" s="86">
        <f t="shared" si="140"/>
        <v>-0.42370073549980836</v>
      </c>
      <c r="P338" s="87">
        <f t="shared" si="141"/>
        <v>0.20718083730667081</v>
      </c>
      <c r="Q338" s="86">
        <f t="shared" si="142"/>
        <v>-0.38371381546636552</v>
      </c>
      <c r="R338" s="85">
        <f t="shared" si="143"/>
        <v>-0.29139272787354514</v>
      </c>
    </row>
    <row r="339" spans="2:18">
      <c r="B339" s="83"/>
      <c r="C339" s="84">
        <v>72</v>
      </c>
      <c r="D339" s="84">
        <v>64</v>
      </c>
      <c r="E339" s="84">
        <v>1.5389999999999999</v>
      </c>
      <c r="F339" s="78"/>
      <c r="G339" s="85">
        <f t="shared" si="132"/>
        <v>0.67293137459082852</v>
      </c>
      <c r="H339" s="86">
        <f t="shared" si="133"/>
        <v>-0.13492063492063494</v>
      </c>
      <c r="I339" s="85">
        <f t="shared" si="134"/>
        <v>-0.43617021276595747</v>
      </c>
      <c r="J339" s="85">
        <f t="shared" si="135"/>
        <v>0.27703422053231941</v>
      </c>
      <c r="K339" s="86">
        <f t="shared" si="136"/>
        <v>-0.36372035544964398</v>
      </c>
      <c r="L339" s="87">
        <f t="shared" si="137"/>
        <v>0.37790013455424437</v>
      </c>
      <c r="M339" s="86">
        <f t="shared" si="138"/>
        <v>-0.2388558586799554</v>
      </c>
      <c r="N339" s="87">
        <f t="shared" si="139"/>
        <v>0.5494313272373863</v>
      </c>
      <c r="O339" s="86">
        <f t="shared" si="140"/>
        <v>-0.4237007354998083</v>
      </c>
      <c r="P339" s="87">
        <f t="shared" si="141"/>
        <v>0.38881567104336145</v>
      </c>
      <c r="Q339" s="86">
        <f t="shared" si="142"/>
        <v>-0.36372035544964409</v>
      </c>
      <c r="R339" s="85">
        <f t="shared" si="143"/>
        <v>-0.29503124003658415</v>
      </c>
    </row>
    <row r="340" spans="2:18">
      <c r="B340" s="83"/>
      <c r="C340" s="84">
        <v>75</v>
      </c>
      <c r="D340" s="84">
        <v>16</v>
      </c>
      <c r="E340" s="84">
        <v>0.64849999999999997</v>
      </c>
      <c r="F340" s="78"/>
      <c r="G340" s="85">
        <f t="shared" si="132"/>
        <v>0.20376293530867326</v>
      </c>
      <c r="H340" s="86">
        <f t="shared" si="133"/>
        <v>-0.11904761904761907</v>
      </c>
      <c r="I340" s="85">
        <f t="shared" si="134"/>
        <v>-0.5</v>
      </c>
      <c r="J340" s="85">
        <f t="shared" si="135"/>
        <v>-0.26471482889733844</v>
      </c>
      <c r="K340" s="86">
        <f t="shared" si="136"/>
        <v>-0.42912962666370791</v>
      </c>
      <c r="L340" s="87">
        <f t="shared" si="137"/>
        <v>-8.7810646181539137E-2</v>
      </c>
      <c r="M340" s="86">
        <f t="shared" si="138"/>
        <v>-0.29883623873011983</v>
      </c>
      <c r="N340" s="87">
        <f t="shared" si="139"/>
        <v>9.1178424444348039E-2</v>
      </c>
      <c r="O340" s="86">
        <f t="shared" si="140"/>
        <v>-0.42912962666370791</v>
      </c>
      <c r="P340" s="87">
        <f t="shared" si="141"/>
        <v>-8.7810646181539137E-2</v>
      </c>
      <c r="Q340" s="86">
        <f t="shared" si="142"/>
        <v>-0.42912962666370791</v>
      </c>
      <c r="R340" s="85">
        <f t="shared" si="143"/>
        <v>-0.2915735814902124</v>
      </c>
    </row>
    <row r="341" spans="2:18">
      <c r="B341" s="83"/>
      <c r="C341" s="84">
        <v>75</v>
      </c>
      <c r="D341" s="84">
        <v>32</v>
      </c>
      <c r="E341" s="84">
        <v>0.89200000000000002</v>
      </c>
      <c r="F341" s="78"/>
      <c r="G341" s="85">
        <f t="shared" si="132"/>
        <v>0.33205323847004864</v>
      </c>
      <c r="H341" s="86">
        <f t="shared" si="133"/>
        <v>-0.11904761904761907</v>
      </c>
      <c r="I341" s="85">
        <f t="shared" si="134"/>
        <v>-0.47872340425531917</v>
      </c>
      <c r="J341" s="85">
        <f t="shared" si="135"/>
        <v>-0.11657794676806088</v>
      </c>
      <c r="K341" s="86">
        <f t="shared" si="136"/>
        <v>-0.40913616664698643</v>
      </c>
      <c r="L341" s="87">
        <f t="shared" si="137"/>
        <v>3.6841144816797219E-2</v>
      </c>
      <c r="M341" s="86">
        <f t="shared" si="138"/>
        <v>-0.27884277871339835</v>
      </c>
      <c r="N341" s="87">
        <f t="shared" si="139"/>
        <v>0.21583021544268444</v>
      </c>
      <c r="O341" s="86">
        <f t="shared" si="140"/>
        <v>-0.42912962666370785</v>
      </c>
      <c r="P341" s="87">
        <f t="shared" si="141"/>
        <v>4.0479656979836257E-2</v>
      </c>
      <c r="Q341" s="86">
        <f t="shared" si="142"/>
        <v>-0.40913616664698649</v>
      </c>
      <c r="R341" s="85">
        <f t="shared" si="143"/>
        <v>-0.29521209365325141</v>
      </c>
    </row>
    <row r="342" spans="2:18">
      <c r="B342" s="83"/>
      <c r="C342" s="84">
        <v>75</v>
      </c>
      <c r="D342" s="84">
        <v>48</v>
      </c>
      <c r="E342" s="84">
        <v>1.234</v>
      </c>
      <c r="F342" s="78"/>
      <c r="G342" s="85">
        <f t="shared" si="132"/>
        <v>0.5122392084133357</v>
      </c>
      <c r="H342" s="86">
        <f t="shared" si="133"/>
        <v>-0.11904761904761907</v>
      </c>
      <c r="I342" s="85">
        <f t="shared" si="134"/>
        <v>-0.45744680851063829</v>
      </c>
      <c r="J342" s="85">
        <f t="shared" si="135"/>
        <v>9.1482889733840334E-2</v>
      </c>
      <c r="K342" s="86">
        <f t="shared" si="136"/>
        <v>-0.38914270663026496</v>
      </c>
      <c r="L342" s="87">
        <f t="shared" si="137"/>
        <v>0.21338860259704528</v>
      </c>
      <c r="M342" s="86">
        <f t="shared" si="138"/>
        <v>-0.25884931869667682</v>
      </c>
      <c r="N342" s="87">
        <f t="shared" si="139"/>
        <v>0.39237767322293243</v>
      </c>
      <c r="O342" s="86">
        <f t="shared" si="140"/>
        <v>-0.42912962666370785</v>
      </c>
      <c r="P342" s="87">
        <f t="shared" si="141"/>
        <v>0.22066562692312336</v>
      </c>
      <c r="Q342" s="86">
        <f t="shared" si="142"/>
        <v>-0.38914270663026501</v>
      </c>
      <c r="R342" s="85">
        <f t="shared" si="143"/>
        <v>-0.29885060581629042</v>
      </c>
    </row>
    <row r="343" spans="2:18">
      <c r="B343" s="83"/>
      <c r="C343" s="84">
        <v>78</v>
      </c>
      <c r="D343" s="84">
        <v>16</v>
      </c>
      <c r="E343" s="84">
        <v>0.65749999999999997</v>
      </c>
      <c r="F343" s="78"/>
      <c r="G343" s="85">
        <f t="shared" si="132"/>
        <v>0.20850467135981238</v>
      </c>
      <c r="H343" s="86">
        <f t="shared" si="133"/>
        <v>-0.1031746031746032</v>
      </c>
      <c r="I343" s="85">
        <f t="shared" si="134"/>
        <v>-0.5</v>
      </c>
      <c r="J343" s="85">
        <f t="shared" si="135"/>
        <v>-0.25923954372623575</v>
      </c>
      <c r="K343" s="86">
        <f t="shared" si="136"/>
        <v>-0.4345585178276074</v>
      </c>
      <c r="L343" s="87">
        <f t="shared" si="137"/>
        <v>-9.0526788073145292E-2</v>
      </c>
      <c r="M343" s="86">
        <f t="shared" si="138"/>
        <v>-0.29883623873011983</v>
      </c>
      <c r="N343" s="87">
        <f t="shared" si="139"/>
        <v>9.5920160495487183E-2</v>
      </c>
      <c r="O343" s="86">
        <f t="shared" si="140"/>
        <v>-0.4345585178276074</v>
      </c>
      <c r="P343" s="87">
        <f t="shared" si="141"/>
        <v>-9.0526788073145292E-2</v>
      </c>
      <c r="Q343" s="86">
        <f t="shared" si="142"/>
        <v>-0.4345585178276074</v>
      </c>
      <c r="R343" s="85">
        <f t="shared" si="143"/>
        <v>-0.29903145943295767</v>
      </c>
    </row>
    <row r="344" spans="2:18">
      <c r="B344" s="83"/>
      <c r="C344" s="84">
        <v>78</v>
      </c>
      <c r="D344" s="84">
        <v>32</v>
      </c>
      <c r="E344" s="84">
        <v>0.90900000000000003</v>
      </c>
      <c r="F344" s="78"/>
      <c r="G344" s="85">
        <f t="shared" si="132"/>
        <v>0.34100985101108933</v>
      </c>
      <c r="H344" s="86">
        <f t="shared" si="133"/>
        <v>-0.1031746031746032</v>
      </c>
      <c r="I344" s="85">
        <f t="shared" si="134"/>
        <v>-0.47872340425531917</v>
      </c>
      <c r="J344" s="85">
        <f t="shared" si="135"/>
        <v>-0.10623574144486686</v>
      </c>
      <c r="K344" s="86">
        <f t="shared" si="136"/>
        <v>-0.41456505781088593</v>
      </c>
      <c r="L344" s="87">
        <f t="shared" si="137"/>
        <v>3.8339879415092593E-2</v>
      </c>
      <c r="M344" s="86">
        <f t="shared" si="138"/>
        <v>-0.27884277871339835</v>
      </c>
      <c r="N344" s="87">
        <f t="shared" si="139"/>
        <v>0.2247868279837251</v>
      </c>
      <c r="O344" s="86">
        <f t="shared" si="140"/>
        <v>-0.43455851782760735</v>
      </c>
      <c r="P344" s="87">
        <f t="shared" si="141"/>
        <v>4.197839157813163E-2</v>
      </c>
      <c r="Q344" s="86">
        <f t="shared" si="142"/>
        <v>-0.41456505781088598</v>
      </c>
      <c r="R344" s="85">
        <f t="shared" si="143"/>
        <v>-0.30266997159599673</v>
      </c>
    </row>
    <row r="345" spans="2:18">
      <c r="B345" s="83"/>
      <c r="C345" s="84">
        <v>78</v>
      </c>
      <c r="D345" s="84">
        <v>48</v>
      </c>
      <c r="E345" s="84">
        <v>1.2797499999999999</v>
      </c>
      <c r="F345" s="78"/>
      <c r="G345" s="85">
        <f t="shared" ref="G345:G376" si="144">D$19*(L345-R345)</f>
        <v>0.5363430333399597</v>
      </c>
      <c r="H345" s="86">
        <f t="shared" ref="H345:H376" si="145">(C345-H$16)/H$17-0.5</f>
        <v>-0.1031746031746032</v>
      </c>
      <c r="I345" s="85">
        <f t="shared" ref="I345:I376" si="146">(D345-I$16)/I$17-0.5</f>
        <v>-0.45744680851063829</v>
      </c>
      <c r="J345" s="85">
        <f t="shared" ref="J345:J376" si="147">(E345-J$16)/J$17-0.5</f>
        <v>0.11931558935361219</v>
      </c>
      <c r="K345" s="86">
        <f t="shared" ref="K345:K376" si="148">(H345*$H$13+I345*$I$13+J345*$J$13+$D$27)*$C$27</f>
        <v>-0.39457159779416445</v>
      </c>
      <c r="L345" s="87">
        <f t="shared" ref="L345:L376" si="149">(H345*$H$14+I345*$I$14+J345*$J$14+$E$27)*$C$27</f>
        <v>0.2300345495809239</v>
      </c>
      <c r="M345" s="86">
        <f t="shared" ref="M345:M376" si="150">(H$27*$H$13+I345*$I$13+J345*$J$13+$D$27)*$C$27</f>
        <v>-0.25884931869667682</v>
      </c>
      <c r="N345" s="87">
        <f t="shared" ref="N345:N376" si="151">(H$27*$H$14+I345*$I$14+J345*$J$14+$E$27)*$C$27</f>
        <v>0.41648149814955637</v>
      </c>
      <c r="O345" s="86">
        <f t="shared" ref="O345:O376" si="152">(H345*$H$13+I$27*$I$13+J345*$J$13+$D$27)*$C$27</f>
        <v>-0.43455851782760735</v>
      </c>
      <c r="P345" s="87">
        <f t="shared" ref="P345:P376" si="153">(H345*$H$14+I$27*$I$14+J345*$J$14+$E$27)*$C$27</f>
        <v>0.23731157390700197</v>
      </c>
      <c r="Q345" s="86">
        <f t="shared" ref="Q345:Q376" si="154">(H345*$H$13+I345*$I$13+J$27*$J$13+$D$27)*$C$27</f>
        <v>-0.39457159779416451</v>
      </c>
      <c r="R345" s="85">
        <f t="shared" ref="R345:R376" si="155">(H345*$H$14+I345*$I$14+J$27*$J$14+$E$27)*$C$27</f>
        <v>-0.30630848375903574</v>
      </c>
    </row>
    <row r="346" spans="2:18">
      <c r="B346" s="83"/>
      <c r="C346" s="84">
        <v>81</v>
      </c>
      <c r="D346" s="84">
        <v>16</v>
      </c>
      <c r="E346" s="84">
        <v>0.66449999999999998</v>
      </c>
      <c r="F346" s="78"/>
      <c r="G346" s="85">
        <f t="shared" si="144"/>
        <v>0.21219268828847615</v>
      </c>
      <c r="H346" s="86">
        <f t="shared" si="145"/>
        <v>-8.7301587301587324E-2</v>
      </c>
      <c r="I346" s="85">
        <f t="shared" si="146"/>
        <v>-0.5</v>
      </c>
      <c r="J346" s="85">
        <f t="shared" si="147"/>
        <v>-0.25498098859315588</v>
      </c>
      <c r="K346" s="86">
        <f t="shared" si="148"/>
        <v>-0.43998740899150696</v>
      </c>
      <c r="L346" s="87">
        <f t="shared" si="149"/>
        <v>-9.4296649087226792E-2</v>
      </c>
      <c r="M346" s="86">
        <f t="shared" si="150"/>
        <v>-0.29883623873011983</v>
      </c>
      <c r="N346" s="87">
        <f t="shared" si="151"/>
        <v>9.9608177424150984E-2</v>
      </c>
      <c r="O346" s="86">
        <f t="shared" si="152"/>
        <v>-0.43998740899150696</v>
      </c>
      <c r="P346" s="87">
        <f t="shared" si="153"/>
        <v>-9.4296649087226792E-2</v>
      </c>
      <c r="Q346" s="86">
        <f t="shared" si="154"/>
        <v>-0.43998740899150696</v>
      </c>
      <c r="R346" s="85">
        <f t="shared" si="155"/>
        <v>-0.30648933737570294</v>
      </c>
    </row>
    <row r="347" spans="2:18">
      <c r="B347" s="83"/>
      <c r="C347" s="84">
        <v>81</v>
      </c>
      <c r="D347" s="84">
        <v>32</v>
      </c>
      <c r="E347" s="84">
        <v>0.92849999999999999</v>
      </c>
      <c r="F347" s="78"/>
      <c r="G347" s="85">
        <f t="shared" si="144"/>
        <v>0.35128361245522399</v>
      </c>
      <c r="H347" s="86">
        <f t="shared" si="145"/>
        <v>-8.7301587301587324E-2</v>
      </c>
      <c r="I347" s="85">
        <f t="shared" si="146"/>
        <v>-0.47872340425531917</v>
      </c>
      <c r="J347" s="85">
        <f t="shared" si="147"/>
        <v>-9.4372623574144499E-2</v>
      </c>
      <c r="K347" s="86">
        <f t="shared" si="148"/>
        <v>-0.41999394897478548</v>
      </c>
      <c r="L347" s="87">
        <f t="shared" si="149"/>
        <v>4.1155762916482014E-2</v>
      </c>
      <c r="M347" s="86">
        <f t="shared" si="150"/>
        <v>-0.27884277871339835</v>
      </c>
      <c r="N347" s="87">
        <f t="shared" si="151"/>
        <v>0.23506058942785982</v>
      </c>
      <c r="O347" s="86">
        <f t="shared" si="152"/>
        <v>-0.4399874089915069</v>
      </c>
      <c r="P347" s="87">
        <f t="shared" si="153"/>
        <v>4.4794275079521051E-2</v>
      </c>
      <c r="Q347" s="86">
        <f t="shared" si="154"/>
        <v>-0.41999394897478554</v>
      </c>
      <c r="R347" s="85">
        <f t="shared" si="155"/>
        <v>-0.31012784953874201</v>
      </c>
    </row>
    <row r="348" spans="2:18">
      <c r="B348" s="83"/>
      <c r="C348" s="84">
        <v>81</v>
      </c>
      <c r="D348" s="84">
        <v>48</v>
      </c>
      <c r="E348" s="84">
        <v>1.3169999999999999</v>
      </c>
      <c r="F348" s="78"/>
      <c r="G348" s="85">
        <f t="shared" si="144"/>
        <v>0.55596855199606321</v>
      </c>
      <c r="H348" s="86">
        <f t="shared" si="145"/>
        <v>-8.7301587301587324E-2</v>
      </c>
      <c r="I348" s="85">
        <f t="shared" si="146"/>
        <v>-0.45744680851063829</v>
      </c>
      <c r="J348" s="85">
        <f t="shared" si="147"/>
        <v>0.14197718631178702</v>
      </c>
      <c r="K348" s="86">
        <f t="shared" si="148"/>
        <v>-0.40000048895806395</v>
      </c>
      <c r="L348" s="87">
        <f t="shared" si="149"/>
        <v>0.24220219029428214</v>
      </c>
      <c r="M348" s="86">
        <f t="shared" si="150"/>
        <v>-0.25884931869667682</v>
      </c>
      <c r="N348" s="87">
        <f t="shared" si="151"/>
        <v>0.43610701680565994</v>
      </c>
      <c r="O348" s="86">
        <f t="shared" si="152"/>
        <v>-0.4399874089915069</v>
      </c>
      <c r="P348" s="87">
        <f t="shared" si="153"/>
        <v>0.24947921462036021</v>
      </c>
      <c r="Q348" s="86">
        <f t="shared" si="154"/>
        <v>-0.400000488958064</v>
      </c>
      <c r="R348" s="85">
        <f t="shared" si="155"/>
        <v>-0.31376636170178107</v>
      </c>
    </row>
    <row r="349" spans="2:18">
      <c r="B349" s="83"/>
      <c r="C349" s="84">
        <v>84</v>
      </c>
      <c r="D349" s="84">
        <v>16</v>
      </c>
      <c r="E349" s="84">
        <v>0.67200000000000004</v>
      </c>
      <c r="F349" s="78"/>
      <c r="G349" s="85">
        <f t="shared" si="144"/>
        <v>0.21614413499775875</v>
      </c>
      <c r="H349" s="86">
        <f t="shared" si="145"/>
        <v>-7.1428571428571452E-2</v>
      </c>
      <c r="I349" s="85">
        <f t="shared" si="146"/>
        <v>-0.5</v>
      </c>
      <c r="J349" s="85">
        <f t="shared" si="147"/>
        <v>-0.25041825095057035</v>
      </c>
      <c r="K349" s="86">
        <f t="shared" si="148"/>
        <v>-0.44541630015540645</v>
      </c>
      <c r="L349" s="87">
        <f t="shared" si="149"/>
        <v>-9.7803080320689517E-2</v>
      </c>
      <c r="M349" s="86">
        <f t="shared" si="150"/>
        <v>-0.29883623873011983</v>
      </c>
      <c r="N349" s="87">
        <f t="shared" si="151"/>
        <v>0.10355962413343356</v>
      </c>
      <c r="O349" s="86">
        <f t="shared" si="152"/>
        <v>-0.44541630015540645</v>
      </c>
      <c r="P349" s="87">
        <f t="shared" si="153"/>
        <v>-9.7803080320689517E-2</v>
      </c>
      <c r="Q349" s="86">
        <f t="shared" si="154"/>
        <v>-0.44541630015540645</v>
      </c>
      <c r="R349" s="85">
        <f t="shared" si="155"/>
        <v>-0.31394721531844827</v>
      </c>
    </row>
    <row r="350" spans="2:18">
      <c r="B350" s="83"/>
      <c r="C350" s="84">
        <v>84</v>
      </c>
      <c r="D350" s="84">
        <v>32</v>
      </c>
      <c r="E350" s="84">
        <v>0.94774999999999998</v>
      </c>
      <c r="F350" s="78"/>
      <c r="G350" s="85">
        <f t="shared" si="144"/>
        <v>0.36142565900904933</v>
      </c>
      <c r="H350" s="86">
        <f t="shared" si="145"/>
        <v>-7.1428571428571452E-2</v>
      </c>
      <c r="I350" s="85">
        <f t="shared" si="146"/>
        <v>-0.47872340425531917</v>
      </c>
      <c r="J350" s="85">
        <f t="shared" si="147"/>
        <v>-8.2661596958174932E-2</v>
      </c>
      <c r="K350" s="86">
        <f t="shared" si="148"/>
        <v>-0.42542284013868498</v>
      </c>
      <c r="L350" s="87">
        <f t="shared" si="149"/>
        <v>4.3839931527562076E-2</v>
      </c>
      <c r="M350" s="86">
        <f t="shared" si="150"/>
        <v>-0.27884277871339835</v>
      </c>
      <c r="N350" s="87">
        <f t="shared" si="151"/>
        <v>0.24520263598168518</v>
      </c>
      <c r="O350" s="86">
        <f t="shared" si="152"/>
        <v>-0.4454163001554064</v>
      </c>
      <c r="P350" s="87">
        <f t="shared" si="153"/>
        <v>4.7478443690601113E-2</v>
      </c>
      <c r="Q350" s="86">
        <f t="shared" si="154"/>
        <v>-0.42542284013868503</v>
      </c>
      <c r="R350" s="85">
        <f t="shared" si="155"/>
        <v>-0.31758572748148728</v>
      </c>
    </row>
    <row r="351" spans="2:18">
      <c r="B351" s="83"/>
      <c r="C351" s="84">
        <v>84</v>
      </c>
      <c r="D351" s="84">
        <v>48</v>
      </c>
      <c r="E351" s="84">
        <v>1.3605</v>
      </c>
      <c r="F351" s="78"/>
      <c r="G351" s="85">
        <f t="shared" si="144"/>
        <v>0.57888694290990239</v>
      </c>
      <c r="H351" s="86">
        <f t="shared" si="145"/>
        <v>-7.1428571428571452E-2</v>
      </c>
      <c r="I351" s="85">
        <f t="shared" si="146"/>
        <v>-0.45744680851063829</v>
      </c>
      <c r="J351" s="85">
        <f t="shared" si="147"/>
        <v>0.16844106463878328</v>
      </c>
      <c r="K351" s="86">
        <f t="shared" si="148"/>
        <v>-0.4054293801219635</v>
      </c>
      <c r="L351" s="87">
        <f t="shared" si="149"/>
        <v>0.25766270326537605</v>
      </c>
      <c r="M351" s="86">
        <f t="shared" si="150"/>
        <v>-0.25884931869667682</v>
      </c>
      <c r="N351" s="87">
        <f t="shared" si="151"/>
        <v>0.45902540771949912</v>
      </c>
      <c r="O351" s="86">
        <f t="shared" si="152"/>
        <v>-0.4454163001554064</v>
      </c>
      <c r="P351" s="87">
        <f t="shared" si="153"/>
        <v>0.26493972759145412</v>
      </c>
      <c r="Q351" s="86">
        <f t="shared" si="154"/>
        <v>-0.40542938012196356</v>
      </c>
      <c r="R351" s="85">
        <f t="shared" si="155"/>
        <v>-0.32122423964452634</v>
      </c>
    </row>
    <row r="352" spans="2:18">
      <c r="B352" s="83"/>
      <c r="C352" s="84">
        <v>87</v>
      </c>
      <c r="D352" s="84">
        <v>16</v>
      </c>
      <c r="E352" s="84">
        <v>0.68074999999999997</v>
      </c>
      <c r="F352" s="78"/>
      <c r="G352" s="85">
        <f t="shared" si="144"/>
        <v>0.22075415615858848</v>
      </c>
      <c r="H352" s="86">
        <f t="shared" si="145"/>
        <v>-5.555555555555558E-2</v>
      </c>
      <c r="I352" s="85">
        <f t="shared" si="146"/>
        <v>-0.5</v>
      </c>
      <c r="J352" s="85">
        <f t="shared" si="147"/>
        <v>-0.24509505703422058</v>
      </c>
      <c r="K352" s="86">
        <f t="shared" si="148"/>
        <v>-0.45084519131930595</v>
      </c>
      <c r="L352" s="87">
        <f t="shared" si="149"/>
        <v>-0.10065093710260511</v>
      </c>
      <c r="M352" s="86">
        <f t="shared" si="150"/>
        <v>-0.29883623873011983</v>
      </c>
      <c r="N352" s="87">
        <f t="shared" si="151"/>
        <v>0.10816964529426326</v>
      </c>
      <c r="O352" s="86">
        <f t="shared" si="152"/>
        <v>-0.45084519131930595</v>
      </c>
      <c r="P352" s="87">
        <f t="shared" si="153"/>
        <v>-0.10065093710260511</v>
      </c>
      <c r="Q352" s="86">
        <f t="shared" si="154"/>
        <v>-0.45084519131930595</v>
      </c>
      <c r="R352" s="85">
        <f t="shared" si="155"/>
        <v>-0.3214050932611936</v>
      </c>
    </row>
    <row r="353" spans="2:18">
      <c r="B353" s="83"/>
      <c r="C353" s="84">
        <v>87</v>
      </c>
      <c r="D353" s="84">
        <v>32</v>
      </c>
      <c r="E353" s="84">
        <v>0.96625000000000005</v>
      </c>
      <c r="F353" s="78"/>
      <c r="G353" s="85">
        <f t="shared" si="144"/>
        <v>0.37117256089194661</v>
      </c>
      <c r="H353" s="86">
        <f t="shared" si="145"/>
        <v>-5.555555555555558E-2</v>
      </c>
      <c r="I353" s="85">
        <f t="shared" si="146"/>
        <v>-0.47872340425531917</v>
      </c>
      <c r="J353" s="85">
        <f t="shared" si="147"/>
        <v>-7.1406844106463807E-2</v>
      </c>
      <c r="K353" s="86">
        <f t="shared" si="148"/>
        <v>-0.43085173130258447</v>
      </c>
      <c r="L353" s="87">
        <f t="shared" si="149"/>
        <v>4.6128955467713978E-2</v>
      </c>
      <c r="M353" s="86">
        <f t="shared" si="150"/>
        <v>-0.27884277871339835</v>
      </c>
      <c r="N353" s="87">
        <f t="shared" si="151"/>
        <v>0.25494953786458235</v>
      </c>
      <c r="O353" s="86">
        <f t="shared" si="152"/>
        <v>-0.45084519131930589</v>
      </c>
      <c r="P353" s="87">
        <f t="shared" si="153"/>
        <v>4.9767467630753001E-2</v>
      </c>
      <c r="Q353" s="86">
        <f t="shared" si="154"/>
        <v>-0.43085173130258453</v>
      </c>
      <c r="R353" s="85">
        <f t="shared" si="155"/>
        <v>-0.32504360542423261</v>
      </c>
    </row>
    <row r="354" spans="2:18">
      <c r="B354" s="83"/>
      <c r="C354" s="84">
        <v>87</v>
      </c>
      <c r="D354" s="84">
        <v>48</v>
      </c>
      <c r="E354" s="84">
        <v>1.4052500000000001</v>
      </c>
      <c r="F354" s="78"/>
      <c r="G354" s="85">
        <f t="shared" si="144"/>
        <v>0.60246390827528873</v>
      </c>
      <c r="H354" s="86">
        <f t="shared" si="145"/>
        <v>-5.555555555555558E-2</v>
      </c>
      <c r="I354" s="85">
        <f t="shared" si="146"/>
        <v>-0.45744680851063829</v>
      </c>
      <c r="J354" s="85">
        <f t="shared" si="147"/>
        <v>0.19566539923954385</v>
      </c>
      <c r="K354" s="86">
        <f t="shared" si="148"/>
        <v>-0.410858271285863</v>
      </c>
      <c r="L354" s="87">
        <f t="shared" si="149"/>
        <v>0.27378179068801711</v>
      </c>
      <c r="M354" s="86">
        <f t="shared" si="150"/>
        <v>-0.25884931869667682</v>
      </c>
      <c r="N354" s="87">
        <f t="shared" si="151"/>
        <v>0.48260237308488546</v>
      </c>
      <c r="O354" s="86">
        <f t="shared" si="152"/>
        <v>-0.45084519131930589</v>
      </c>
      <c r="P354" s="87">
        <f t="shared" si="153"/>
        <v>0.28105881501409513</v>
      </c>
      <c r="Q354" s="86">
        <f t="shared" si="154"/>
        <v>-0.41085827128586305</v>
      </c>
      <c r="R354" s="85">
        <f t="shared" si="155"/>
        <v>-0.32868211758727162</v>
      </c>
    </row>
    <row r="355" spans="2:18">
      <c r="B355" s="83"/>
      <c r="C355" s="84">
        <v>90</v>
      </c>
      <c r="D355" s="84">
        <v>16</v>
      </c>
      <c r="E355" s="84">
        <v>0.68700000000000006</v>
      </c>
      <c r="F355" s="78"/>
      <c r="G355" s="85">
        <f t="shared" si="144"/>
        <v>0.22404702841632404</v>
      </c>
      <c r="H355" s="86">
        <f t="shared" si="145"/>
        <v>-3.9682539682539708E-2</v>
      </c>
      <c r="I355" s="85">
        <f t="shared" si="146"/>
        <v>-0.5</v>
      </c>
      <c r="J355" s="85">
        <f t="shared" si="147"/>
        <v>-0.2412927756653992</v>
      </c>
      <c r="K355" s="86">
        <f t="shared" si="148"/>
        <v>-0.45627408248320545</v>
      </c>
      <c r="L355" s="87">
        <f t="shared" si="149"/>
        <v>-0.10481594278761483</v>
      </c>
      <c r="M355" s="86">
        <f t="shared" si="150"/>
        <v>-0.29883623873011983</v>
      </c>
      <c r="N355" s="87">
        <f t="shared" si="151"/>
        <v>0.11146251755199885</v>
      </c>
      <c r="O355" s="86">
        <f t="shared" si="152"/>
        <v>-0.45627408248320545</v>
      </c>
      <c r="P355" s="87">
        <f t="shared" si="153"/>
        <v>-0.10481594278761483</v>
      </c>
      <c r="Q355" s="86">
        <f t="shared" si="154"/>
        <v>-0.45627408248320545</v>
      </c>
      <c r="R355" s="85">
        <f t="shared" si="155"/>
        <v>-0.32886297120393887</v>
      </c>
    </row>
    <row r="356" spans="2:18">
      <c r="B356" s="83"/>
      <c r="C356" s="84">
        <v>90</v>
      </c>
      <c r="D356" s="84">
        <v>32</v>
      </c>
      <c r="E356" s="84">
        <v>0.99299999999999999</v>
      </c>
      <c r="F356" s="78"/>
      <c r="G356" s="85">
        <f t="shared" si="144"/>
        <v>0.38526605415505444</v>
      </c>
      <c r="H356" s="86">
        <f t="shared" si="145"/>
        <v>-3.9682539682539708E-2</v>
      </c>
      <c r="I356" s="85">
        <f t="shared" si="146"/>
        <v>-0.47872340425531917</v>
      </c>
      <c r="J356" s="85">
        <f t="shared" si="147"/>
        <v>-5.5133079847908772E-2</v>
      </c>
      <c r="K356" s="86">
        <f t="shared" si="148"/>
        <v>-0.43628062246648397</v>
      </c>
      <c r="L356" s="87">
        <f t="shared" si="149"/>
        <v>5.2764570788076566E-2</v>
      </c>
      <c r="M356" s="86">
        <f t="shared" si="150"/>
        <v>-0.27884277871339835</v>
      </c>
      <c r="N356" s="87">
        <f t="shared" si="151"/>
        <v>0.26904303112769024</v>
      </c>
      <c r="O356" s="86">
        <f t="shared" si="152"/>
        <v>-0.45627408248320539</v>
      </c>
      <c r="P356" s="87">
        <f t="shared" si="153"/>
        <v>5.6403082951115589E-2</v>
      </c>
      <c r="Q356" s="86">
        <f t="shared" si="154"/>
        <v>-0.43628062246648402</v>
      </c>
      <c r="R356" s="85">
        <f t="shared" si="155"/>
        <v>-0.33250148336697788</v>
      </c>
    </row>
    <row r="357" spans="2:18">
      <c r="B357" s="83"/>
      <c r="C357" s="84">
        <v>90</v>
      </c>
      <c r="D357" s="84">
        <v>48</v>
      </c>
      <c r="E357" s="84">
        <v>1.4490000000000001</v>
      </c>
      <c r="F357" s="78"/>
      <c r="G357" s="85">
        <f t="shared" si="144"/>
        <v>0.62551401407943719</v>
      </c>
      <c r="H357" s="86">
        <f t="shared" si="145"/>
        <v>-3.9682539682539708E-2</v>
      </c>
      <c r="I357" s="85">
        <f t="shared" si="146"/>
        <v>-0.45744680851063829</v>
      </c>
      <c r="J357" s="85">
        <f t="shared" si="147"/>
        <v>0.22228136882129279</v>
      </c>
      <c r="K357" s="86">
        <f t="shared" si="148"/>
        <v>-0.41628716244976249</v>
      </c>
      <c r="L357" s="87">
        <f t="shared" si="149"/>
        <v>0.28937401854942024</v>
      </c>
      <c r="M357" s="86">
        <f t="shared" si="150"/>
        <v>-0.25884931869667682</v>
      </c>
      <c r="N357" s="87">
        <f t="shared" si="151"/>
        <v>0.50565247888903397</v>
      </c>
      <c r="O357" s="86">
        <f t="shared" si="152"/>
        <v>-0.45627408248320539</v>
      </c>
      <c r="P357" s="87">
        <f t="shared" si="153"/>
        <v>0.29665104287549832</v>
      </c>
      <c r="Q357" s="86">
        <f t="shared" si="154"/>
        <v>-0.41628716244976255</v>
      </c>
      <c r="R357" s="85">
        <f t="shared" si="155"/>
        <v>-0.33613999553001694</v>
      </c>
    </row>
    <row r="358" spans="2:18">
      <c r="B358" s="83"/>
      <c r="C358" s="84">
        <v>93</v>
      </c>
      <c r="D358" s="84">
        <v>16</v>
      </c>
      <c r="E358" s="84">
        <v>0.69374999999999998</v>
      </c>
      <c r="F358" s="78"/>
      <c r="G358" s="85">
        <f t="shared" si="144"/>
        <v>0.22760333045467829</v>
      </c>
      <c r="H358" s="86">
        <f t="shared" si="145"/>
        <v>-2.3809523809523836E-2</v>
      </c>
      <c r="I358" s="85">
        <f t="shared" si="146"/>
        <v>-0.5</v>
      </c>
      <c r="J358" s="85">
        <f t="shared" si="147"/>
        <v>-0.23718631178707228</v>
      </c>
      <c r="K358" s="86">
        <f t="shared" si="148"/>
        <v>-0.46170297364710494</v>
      </c>
      <c r="L358" s="87">
        <f t="shared" si="149"/>
        <v>-0.10871751869200585</v>
      </c>
      <c r="M358" s="86">
        <f t="shared" si="150"/>
        <v>-0.29883623873011983</v>
      </c>
      <c r="N358" s="87">
        <f t="shared" si="151"/>
        <v>0.11501881959035312</v>
      </c>
      <c r="O358" s="86">
        <f t="shared" si="152"/>
        <v>-0.46170297364710494</v>
      </c>
      <c r="P358" s="87">
        <f t="shared" si="153"/>
        <v>-0.10871751869200585</v>
      </c>
      <c r="Q358" s="86">
        <f t="shared" si="154"/>
        <v>-0.46170297364710494</v>
      </c>
      <c r="R358" s="85">
        <f t="shared" si="155"/>
        <v>-0.33632084914668414</v>
      </c>
    </row>
    <row r="359" spans="2:18">
      <c r="B359" s="83"/>
      <c r="C359" s="84">
        <v>93</v>
      </c>
      <c r="D359" s="84">
        <v>32</v>
      </c>
      <c r="E359" s="84">
        <v>1.0122500000000001</v>
      </c>
      <c r="F359" s="78"/>
      <c r="G359" s="85">
        <f t="shared" si="144"/>
        <v>0.39540810070887994</v>
      </c>
      <c r="H359" s="86">
        <f t="shared" si="145"/>
        <v>-2.3809523809523836E-2</v>
      </c>
      <c r="I359" s="85">
        <f t="shared" si="146"/>
        <v>-0.47872340425531917</v>
      </c>
      <c r="J359" s="85">
        <f t="shared" si="147"/>
        <v>-4.3422053231939095E-2</v>
      </c>
      <c r="K359" s="86">
        <f t="shared" si="148"/>
        <v>-0.44170951363038347</v>
      </c>
      <c r="L359" s="87">
        <f t="shared" si="149"/>
        <v>5.5448739399156712E-2</v>
      </c>
      <c r="M359" s="86">
        <f t="shared" si="150"/>
        <v>-0.27884277871339835</v>
      </c>
      <c r="N359" s="87">
        <f t="shared" si="151"/>
        <v>0.27918507768151568</v>
      </c>
      <c r="O359" s="86">
        <f t="shared" si="152"/>
        <v>-0.46170297364710489</v>
      </c>
      <c r="P359" s="87">
        <f t="shared" si="153"/>
        <v>5.9087251562195735E-2</v>
      </c>
      <c r="Q359" s="86">
        <f t="shared" si="154"/>
        <v>-0.44170951363038352</v>
      </c>
      <c r="R359" s="85">
        <f t="shared" si="155"/>
        <v>-0.33995936130972321</v>
      </c>
    </row>
    <row r="360" spans="2:18">
      <c r="B360" s="83"/>
      <c r="C360" s="84">
        <v>93</v>
      </c>
      <c r="D360" s="84">
        <v>48</v>
      </c>
      <c r="E360" s="84">
        <v>1.494</v>
      </c>
      <c r="F360" s="78"/>
      <c r="G360" s="85">
        <f t="shared" si="144"/>
        <v>0.64922269433513291</v>
      </c>
      <c r="H360" s="86">
        <f t="shared" si="145"/>
        <v>-2.3809523809523836E-2</v>
      </c>
      <c r="I360" s="85">
        <f t="shared" si="146"/>
        <v>-0.45744680851063829</v>
      </c>
      <c r="J360" s="85">
        <f t="shared" si="147"/>
        <v>0.24965779467680616</v>
      </c>
      <c r="K360" s="86">
        <f t="shared" si="148"/>
        <v>-0.42171605361366193</v>
      </c>
      <c r="L360" s="87">
        <f t="shared" si="149"/>
        <v>0.30562482086237069</v>
      </c>
      <c r="M360" s="86">
        <f t="shared" si="150"/>
        <v>-0.25884931869667677</v>
      </c>
      <c r="N360" s="87">
        <f t="shared" si="151"/>
        <v>0.52936115914472959</v>
      </c>
      <c r="O360" s="86">
        <f t="shared" si="152"/>
        <v>-0.46170297364710483</v>
      </c>
      <c r="P360" s="87">
        <f t="shared" si="153"/>
        <v>0.31290184518844877</v>
      </c>
      <c r="Q360" s="86">
        <f t="shared" si="154"/>
        <v>-0.42171605361366205</v>
      </c>
      <c r="R360" s="85">
        <f t="shared" si="155"/>
        <v>-0.34359787347276222</v>
      </c>
    </row>
    <row r="361" spans="2:18">
      <c r="B361" s="83"/>
      <c r="C361" s="84">
        <v>96</v>
      </c>
      <c r="D361" s="84">
        <v>16</v>
      </c>
      <c r="E361" s="84">
        <v>1.33325</v>
      </c>
      <c r="F361" s="78"/>
      <c r="G361" s="85">
        <f t="shared" si="144"/>
        <v>0.56453001986617557</v>
      </c>
      <c r="H361" s="86">
        <f t="shared" si="145"/>
        <v>-7.9365079365079638E-3</v>
      </c>
      <c r="I361" s="85">
        <f t="shared" si="146"/>
        <v>-0.5</v>
      </c>
      <c r="J361" s="85">
        <f t="shared" si="147"/>
        <v>0.15186311787072249</v>
      </c>
      <c r="K361" s="86">
        <f t="shared" si="148"/>
        <v>-0.46713186481100438</v>
      </c>
      <c r="L361" s="87">
        <f t="shared" si="149"/>
        <v>0.22075129277674613</v>
      </c>
      <c r="M361" s="86">
        <f t="shared" si="150"/>
        <v>-0.29883623873011977</v>
      </c>
      <c r="N361" s="87">
        <f t="shared" si="151"/>
        <v>0.45194550900185038</v>
      </c>
      <c r="O361" s="86">
        <f t="shared" si="152"/>
        <v>-0.46713186481100438</v>
      </c>
      <c r="P361" s="87">
        <f t="shared" si="153"/>
        <v>0.22075129277674613</v>
      </c>
      <c r="Q361" s="86">
        <f t="shared" si="154"/>
        <v>-0.46713186481100444</v>
      </c>
      <c r="R361" s="85">
        <f t="shared" si="155"/>
        <v>-0.34377872708942947</v>
      </c>
    </row>
    <row r="362" spans="2:18">
      <c r="B362" s="83"/>
      <c r="C362" s="84">
        <v>96</v>
      </c>
      <c r="D362" s="84">
        <v>32</v>
      </c>
      <c r="E362" s="84">
        <v>1.0427500000000001</v>
      </c>
      <c r="F362" s="78"/>
      <c r="G362" s="85">
        <f t="shared" si="144"/>
        <v>0.41147731732662918</v>
      </c>
      <c r="H362" s="86">
        <f t="shared" si="145"/>
        <v>-7.9365079365079638E-3</v>
      </c>
      <c r="I362" s="85">
        <f t="shared" si="146"/>
        <v>-0.47872340425531917</v>
      </c>
      <c r="J362" s="85">
        <f t="shared" si="147"/>
        <v>-2.4866920152091188E-2</v>
      </c>
      <c r="K362" s="86">
        <f t="shared" si="148"/>
        <v>-0.44713840479428296</v>
      </c>
      <c r="L362" s="87">
        <f t="shared" si="149"/>
        <v>6.4060078074160698E-2</v>
      </c>
      <c r="M362" s="86">
        <f t="shared" si="150"/>
        <v>-0.27884277871339835</v>
      </c>
      <c r="N362" s="87">
        <f t="shared" si="151"/>
        <v>0.29525429429926497</v>
      </c>
      <c r="O362" s="86">
        <f t="shared" si="152"/>
        <v>-0.46713186481100438</v>
      </c>
      <c r="P362" s="87">
        <f t="shared" si="153"/>
        <v>6.7698590237199721E-2</v>
      </c>
      <c r="Q362" s="86">
        <f t="shared" si="154"/>
        <v>-0.44713840479428302</v>
      </c>
      <c r="R362" s="85">
        <f t="shared" si="155"/>
        <v>-0.34741723925246848</v>
      </c>
    </row>
    <row r="363" spans="2:18">
      <c r="B363" s="83"/>
      <c r="C363" s="84">
        <v>96</v>
      </c>
      <c r="D363" s="84">
        <v>48</v>
      </c>
      <c r="E363" s="84">
        <v>1.54925</v>
      </c>
      <c r="F363" s="78"/>
      <c r="G363" s="85">
        <f t="shared" si="144"/>
        <v>0.67833168509351482</v>
      </c>
      <c r="H363" s="86">
        <f t="shared" si="145"/>
        <v>-7.9365079365079638E-3</v>
      </c>
      <c r="I363" s="85">
        <f t="shared" si="146"/>
        <v>-0.45744680851063829</v>
      </c>
      <c r="J363" s="85">
        <f t="shared" si="147"/>
        <v>0.28326996197718635</v>
      </c>
      <c r="K363" s="86">
        <f t="shared" si="148"/>
        <v>-0.42714494477756143</v>
      </c>
      <c r="L363" s="87">
        <f t="shared" si="149"/>
        <v>0.32727593367800722</v>
      </c>
      <c r="M363" s="86">
        <f t="shared" si="150"/>
        <v>-0.25884931869667677</v>
      </c>
      <c r="N363" s="87">
        <f t="shared" si="151"/>
        <v>0.5584701499031115</v>
      </c>
      <c r="O363" s="86">
        <f t="shared" si="152"/>
        <v>-0.46713186481100433</v>
      </c>
      <c r="P363" s="87">
        <f t="shared" si="153"/>
        <v>0.3345529580040853</v>
      </c>
      <c r="Q363" s="86">
        <f t="shared" si="154"/>
        <v>-0.42714494477756154</v>
      </c>
      <c r="R363" s="85">
        <f t="shared" si="155"/>
        <v>-0.35105575141550754</v>
      </c>
    </row>
    <row r="364" spans="2:18">
      <c r="B364" s="83"/>
      <c r="C364" s="84">
        <v>99</v>
      </c>
      <c r="D364" s="84">
        <v>16</v>
      </c>
      <c r="E364" s="84">
        <v>1.347</v>
      </c>
      <c r="F364" s="78"/>
      <c r="G364" s="85">
        <f t="shared" si="144"/>
        <v>0.57177433883319373</v>
      </c>
      <c r="H364" s="86">
        <f t="shared" si="145"/>
        <v>7.9365079365079083E-3</v>
      </c>
      <c r="I364" s="85">
        <f t="shared" si="146"/>
        <v>-0.5</v>
      </c>
      <c r="J364" s="85">
        <f t="shared" si="147"/>
        <v>0.16022813688212934</v>
      </c>
      <c r="K364" s="86">
        <f t="shared" si="148"/>
        <v>-0.47256075597490388</v>
      </c>
      <c r="L364" s="87">
        <f t="shared" si="149"/>
        <v>0.22053773380101896</v>
      </c>
      <c r="M364" s="86">
        <f t="shared" si="150"/>
        <v>-0.29883623873011977</v>
      </c>
      <c r="N364" s="87">
        <f t="shared" si="151"/>
        <v>0.45918982796886854</v>
      </c>
      <c r="O364" s="86">
        <f t="shared" si="152"/>
        <v>-0.47256075597490388</v>
      </c>
      <c r="P364" s="87">
        <f t="shared" si="153"/>
        <v>0.22053773380101896</v>
      </c>
      <c r="Q364" s="86">
        <f t="shared" si="154"/>
        <v>-0.47256075597490393</v>
      </c>
      <c r="R364" s="85">
        <f t="shared" si="155"/>
        <v>-0.3512366050321748</v>
      </c>
    </row>
    <row r="365" spans="2:18">
      <c r="B365" s="83"/>
      <c r="C365" s="84">
        <v>99</v>
      </c>
      <c r="D365" s="84">
        <v>32</v>
      </c>
      <c r="E365" s="84">
        <v>1.0654999999999999</v>
      </c>
      <c r="F365" s="78"/>
      <c r="G365" s="85">
        <f t="shared" si="144"/>
        <v>0.42346337234478637</v>
      </c>
      <c r="H365" s="86">
        <f t="shared" si="145"/>
        <v>7.9365079365079083E-3</v>
      </c>
      <c r="I365" s="85">
        <f t="shared" si="146"/>
        <v>-0.47872340425531917</v>
      </c>
      <c r="J365" s="85">
        <f t="shared" si="147"/>
        <v>-1.1026615969581766E-2</v>
      </c>
      <c r="K365" s="86">
        <f t="shared" si="148"/>
        <v>-0.45256729595818246</v>
      </c>
      <c r="L365" s="87">
        <f t="shared" si="149"/>
        <v>6.8588255149572577E-2</v>
      </c>
      <c r="M365" s="86">
        <f t="shared" si="150"/>
        <v>-0.27884277871339835</v>
      </c>
      <c r="N365" s="87">
        <f t="shared" si="151"/>
        <v>0.30724034931742217</v>
      </c>
      <c r="O365" s="86">
        <f t="shared" si="152"/>
        <v>-0.47256075597490388</v>
      </c>
      <c r="P365" s="87">
        <f t="shared" si="153"/>
        <v>7.2226767312611601E-2</v>
      </c>
      <c r="Q365" s="86">
        <f t="shared" si="154"/>
        <v>-0.45256729595818251</v>
      </c>
      <c r="R365" s="85">
        <f t="shared" si="155"/>
        <v>-0.35487511719521381</v>
      </c>
    </row>
    <row r="366" spans="2:18">
      <c r="B366" s="83"/>
      <c r="C366" s="84">
        <v>102</v>
      </c>
      <c r="D366" s="84">
        <v>16</v>
      </c>
      <c r="E366" s="84">
        <v>1.363</v>
      </c>
      <c r="F366" s="78"/>
      <c r="G366" s="85">
        <f t="shared" si="144"/>
        <v>0.58020409181299659</v>
      </c>
      <c r="H366" s="86">
        <f t="shared" si="145"/>
        <v>2.3809523809523836E-2</v>
      </c>
      <c r="I366" s="85">
        <f t="shared" si="146"/>
        <v>-0.5</v>
      </c>
      <c r="J366" s="85">
        <f t="shared" si="147"/>
        <v>0.16996197718631179</v>
      </c>
      <c r="K366" s="86">
        <f t="shared" si="148"/>
        <v>-0.47798964713880343</v>
      </c>
      <c r="L366" s="87">
        <f t="shared" si="149"/>
        <v>0.22150960883807647</v>
      </c>
      <c r="M366" s="86">
        <f t="shared" si="150"/>
        <v>-0.29883623873011977</v>
      </c>
      <c r="N366" s="87">
        <f t="shared" si="151"/>
        <v>0.4676195809486714</v>
      </c>
      <c r="O366" s="86">
        <f t="shared" si="152"/>
        <v>-0.47798964713880343</v>
      </c>
      <c r="P366" s="87">
        <f t="shared" si="153"/>
        <v>0.22150960883807647</v>
      </c>
      <c r="Q366" s="86">
        <f t="shared" si="154"/>
        <v>-0.47798964713880349</v>
      </c>
      <c r="R366" s="85">
        <f t="shared" si="155"/>
        <v>-0.35869448297492013</v>
      </c>
    </row>
    <row r="367" spans="2:18">
      <c r="B367" s="83"/>
      <c r="C367" s="84">
        <v>102</v>
      </c>
      <c r="D367" s="84">
        <v>32</v>
      </c>
      <c r="E367" s="84">
        <v>1.091</v>
      </c>
      <c r="F367" s="78"/>
      <c r="G367" s="85">
        <f t="shared" si="144"/>
        <v>0.43689829115634726</v>
      </c>
      <c r="H367" s="86">
        <f t="shared" si="145"/>
        <v>2.3809523809523836E-2</v>
      </c>
      <c r="I367" s="85">
        <f t="shared" si="146"/>
        <v>-0.47872340425531917</v>
      </c>
      <c r="J367" s="85">
        <f t="shared" si="147"/>
        <v>4.4866920152091261E-3</v>
      </c>
      <c r="K367" s="86">
        <f t="shared" si="148"/>
        <v>-0.45799618712208201</v>
      </c>
      <c r="L367" s="87">
        <f t="shared" si="149"/>
        <v>7.4565296018388127E-2</v>
      </c>
      <c r="M367" s="86">
        <f t="shared" si="150"/>
        <v>-0.27884277871339835</v>
      </c>
      <c r="N367" s="87">
        <f t="shared" si="151"/>
        <v>0.32067526812898306</v>
      </c>
      <c r="O367" s="86">
        <f t="shared" si="152"/>
        <v>-0.47798964713880343</v>
      </c>
      <c r="P367" s="87">
        <f t="shared" si="153"/>
        <v>7.8203808181427151E-2</v>
      </c>
      <c r="Q367" s="86">
        <f t="shared" si="154"/>
        <v>-0.45799618712208207</v>
      </c>
      <c r="R367" s="85">
        <f t="shared" si="155"/>
        <v>-0.36233299513795914</v>
      </c>
    </row>
    <row r="368" spans="2:18">
      <c r="B368" s="83"/>
      <c r="C368" s="84">
        <v>105</v>
      </c>
      <c r="D368" s="84">
        <v>16</v>
      </c>
      <c r="E368" s="84">
        <v>1.371</v>
      </c>
      <c r="F368" s="78"/>
      <c r="G368" s="85">
        <f t="shared" si="144"/>
        <v>0.58441896830289797</v>
      </c>
      <c r="H368" s="86">
        <f t="shared" si="145"/>
        <v>3.9682539682539653E-2</v>
      </c>
      <c r="I368" s="85">
        <f t="shared" si="146"/>
        <v>-0.5</v>
      </c>
      <c r="J368" s="85">
        <f t="shared" si="147"/>
        <v>0.17482889733840301</v>
      </c>
      <c r="K368" s="86">
        <f t="shared" si="148"/>
        <v>-0.48341853830270293</v>
      </c>
      <c r="L368" s="87">
        <f t="shared" si="149"/>
        <v>0.21826660738523262</v>
      </c>
      <c r="M368" s="86">
        <f t="shared" si="150"/>
        <v>-0.29883623873011977</v>
      </c>
      <c r="N368" s="87">
        <f t="shared" si="151"/>
        <v>0.47183445743857277</v>
      </c>
      <c r="O368" s="86">
        <f t="shared" si="152"/>
        <v>-0.48341853830270293</v>
      </c>
      <c r="P368" s="87">
        <f t="shared" si="153"/>
        <v>0.21826660738523262</v>
      </c>
      <c r="Q368" s="86">
        <f t="shared" si="154"/>
        <v>-0.48341853830270298</v>
      </c>
      <c r="R368" s="85">
        <f t="shared" si="155"/>
        <v>-0.36615236091766534</v>
      </c>
    </row>
    <row r="369" spans="2:18">
      <c r="B369" s="83"/>
      <c r="C369" s="84">
        <v>105</v>
      </c>
      <c r="D369" s="84">
        <v>32</v>
      </c>
      <c r="E369" s="84">
        <v>1.1172500000000001</v>
      </c>
      <c r="F369" s="78"/>
      <c r="G369" s="85">
        <f t="shared" si="144"/>
        <v>0.45072835463883648</v>
      </c>
      <c r="H369" s="86">
        <f t="shared" si="145"/>
        <v>3.9682539682539653E-2</v>
      </c>
      <c r="I369" s="85">
        <f t="shared" si="146"/>
        <v>-0.47872340425531917</v>
      </c>
      <c r="J369" s="85">
        <f t="shared" si="147"/>
        <v>2.0456273764258626E-2</v>
      </c>
      <c r="K369" s="86">
        <f t="shared" si="148"/>
        <v>-0.46342507828598151</v>
      </c>
      <c r="L369" s="87">
        <f t="shared" si="149"/>
        <v>8.093748155813206E-2</v>
      </c>
      <c r="M369" s="86">
        <f t="shared" si="150"/>
        <v>-0.27884277871339835</v>
      </c>
      <c r="N369" s="87">
        <f t="shared" si="151"/>
        <v>0.33450533161147222</v>
      </c>
      <c r="O369" s="86">
        <f t="shared" si="152"/>
        <v>-0.48341853830270293</v>
      </c>
      <c r="P369" s="87">
        <f t="shared" si="153"/>
        <v>8.4575993721171083E-2</v>
      </c>
      <c r="Q369" s="86">
        <f t="shared" si="154"/>
        <v>-0.46342507828598156</v>
      </c>
      <c r="R369" s="85">
        <f t="shared" si="155"/>
        <v>-0.36979087308070441</v>
      </c>
    </row>
    <row r="370" spans="2:18">
      <c r="B370" s="83"/>
      <c r="C370" s="84">
        <v>108</v>
      </c>
      <c r="D370" s="84">
        <v>16</v>
      </c>
      <c r="E370" s="84">
        <v>1.38625</v>
      </c>
      <c r="F370" s="78"/>
      <c r="G370" s="85">
        <f t="shared" si="144"/>
        <v>0.59245357661177267</v>
      </c>
      <c r="H370" s="86">
        <f t="shared" si="145"/>
        <v>5.555555555555558E-2</v>
      </c>
      <c r="I370" s="85">
        <f t="shared" si="146"/>
        <v>-0.5</v>
      </c>
      <c r="J370" s="85">
        <f t="shared" si="147"/>
        <v>0.18410646387832696</v>
      </c>
      <c r="K370" s="86">
        <f t="shared" si="148"/>
        <v>-0.48884742946660242</v>
      </c>
      <c r="L370" s="87">
        <f t="shared" si="149"/>
        <v>0.21884333775136194</v>
      </c>
      <c r="M370" s="86">
        <f t="shared" si="150"/>
        <v>-0.29883623873011977</v>
      </c>
      <c r="N370" s="87">
        <f t="shared" si="151"/>
        <v>0.47986906574744748</v>
      </c>
      <c r="O370" s="86">
        <f t="shared" si="152"/>
        <v>-0.48884742946660242</v>
      </c>
      <c r="P370" s="87">
        <f t="shared" si="153"/>
        <v>0.21884333775136194</v>
      </c>
      <c r="Q370" s="86">
        <f t="shared" si="154"/>
        <v>-0.48884742946660248</v>
      </c>
      <c r="R370" s="85">
        <f t="shared" si="155"/>
        <v>-0.37361023886041067</v>
      </c>
    </row>
    <row r="371" spans="2:18">
      <c r="B371" s="83"/>
      <c r="C371" s="84">
        <v>108</v>
      </c>
      <c r="D371" s="84">
        <v>32</v>
      </c>
      <c r="E371" s="84">
        <v>1.14175</v>
      </c>
      <c r="F371" s="78"/>
      <c r="G371" s="85">
        <f t="shared" si="144"/>
        <v>0.46363641388915966</v>
      </c>
      <c r="H371" s="86">
        <f t="shared" si="145"/>
        <v>5.555555555555558E-2</v>
      </c>
      <c r="I371" s="85">
        <f t="shared" si="146"/>
        <v>-0.47872340425531917</v>
      </c>
      <c r="J371" s="85">
        <f t="shared" si="147"/>
        <v>3.5361216730038114E-2</v>
      </c>
      <c r="K371" s="86">
        <f t="shared" si="148"/>
        <v>-0.468853969449881</v>
      </c>
      <c r="L371" s="87">
        <f t="shared" si="149"/>
        <v>8.6387662865709938E-2</v>
      </c>
      <c r="M371" s="86">
        <f t="shared" si="150"/>
        <v>-0.27884277871339835</v>
      </c>
      <c r="N371" s="87">
        <f t="shared" si="151"/>
        <v>0.34741339086179546</v>
      </c>
      <c r="O371" s="86">
        <f t="shared" si="152"/>
        <v>-0.48884742946660242</v>
      </c>
      <c r="P371" s="87">
        <f t="shared" si="153"/>
        <v>9.0026175028748961E-2</v>
      </c>
      <c r="Q371" s="86">
        <f t="shared" si="154"/>
        <v>-0.46885396944988106</v>
      </c>
      <c r="R371" s="85">
        <f t="shared" si="155"/>
        <v>-0.37724875102344974</v>
      </c>
    </row>
    <row r="372" spans="2:18">
      <c r="B372" s="83"/>
      <c r="C372" s="84">
        <v>111</v>
      </c>
      <c r="D372" s="84">
        <v>16</v>
      </c>
      <c r="E372" s="84">
        <v>1.4035</v>
      </c>
      <c r="F372" s="78"/>
      <c r="G372" s="85">
        <f t="shared" si="144"/>
        <v>0.60154190404312269</v>
      </c>
      <c r="H372" s="86">
        <f t="shared" si="145"/>
        <v>7.1428571428571397E-2</v>
      </c>
      <c r="I372" s="85">
        <f t="shared" si="146"/>
        <v>-0.5</v>
      </c>
      <c r="J372" s="85">
        <f t="shared" si="147"/>
        <v>0.19460076045627372</v>
      </c>
      <c r="K372" s="86">
        <f t="shared" si="148"/>
        <v>-0.49427632063050192</v>
      </c>
      <c r="L372" s="87">
        <f t="shared" si="149"/>
        <v>0.22047378723996666</v>
      </c>
      <c r="M372" s="86">
        <f t="shared" si="150"/>
        <v>-0.29883623873011977</v>
      </c>
      <c r="N372" s="87">
        <f t="shared" si="151"/>
        <v>0.48895739317879744</v>
      </c>
      <c r="O372" s="86">
        <f t="shared" si="152"/>
        <v>-0.49427632063050192</v>
      </c>
      <c r="P372" s="87">
        <f t="shared" si="153"/>
        <v>0.22047378723996666</v>
      </c>
      <c r="Q372" s="86">
        <f t="shared" si="154"/>
        <v>-0.49427632063050198</v>
      </c>
      <c r="R372" s="85">
        <f t="shared" si="155"/>
        <v>-0.381068116803156</v>
      </c>
    </row>
    <row r="373" spans="2:18">
      <c r="B373" s="83"/>
      <c r="C373" s="84">
        <v>111</v>
      </c>
      <c r="D373" s="84">
        <v>32</v>
      </c>
      <c r="E373" s="84">
        <v>1.169</v>
      </c>
      <c r="F373" s="78"/>
      <c r="G373" s="85">
        <f t="shared" si="144"/>
        <v>0.47799333693288648</v>
      </c>
      <c r="H373" s="86">
        <f t="shared" si="145"/>
        <v>7.1428571428571397E-2</v>
      </c>
      <c r="I373" s="85">
        <f t="shared" si="146"/>
        <v>-0.47872340425531917</v>
      </c>
      <c r="J373" s="85">
        <f t="shared" si="147"/>
        <v>5.1939163498098906E-2</v>
      </c>
      <c r="K373" s="86">
        <f t="shared" si="148"/>
        <v>-0.4742828606137805</v>
      </c>
      <c r="L373" s="87">
        <f t="shared" si="149"/>
        <v>9.3286707966691446E-2</v>
      </c>
      <c r="M373" s="86">
        <f t="shared" si="150"/>
        <v>-0.27884277871339835</v>
      </c>
      <c r="N373" s="87">
        <f t="shared" si="151"/>
        <v>0.36177031390552222</v>
      </c>
      <c r="O373" s="86">
        <f t="shared" si="152"/>
        <v>-0.49427632063050192</v>
      </c>
      <c r="P373" s="87">
        <f t="shared" si="153"/>
        <v>9.6925220129730469E-2</v>
      </c>
      <c r="Q373" s="86">
        <f t="shared" si="154"/>
        <v>-0.47428286061378055</v>
      </c>
      <c r="R373" s="85">
        <f t="shared" si="155"/>
        <v>-0.38470662896619501</v>
      </c>
    </row>
    <row r="374" spans="2:18">
      <c r="B374" s="83"/>
      <c r="C374" s="84">
        <v>114</v>
      </c>
      <c r="D374" s="84">
        <v>16</v>
      </c>
      <c r="E374" s="84">
        <v>1.41475</v>
      </c>
      <c r="F374" s="78"/>
      <c r="G374" s="85">
        <f t="shared" si="144"/>
        <v>0.60746907410704654</v>
      </c>
      <c r="H374" s="86">
        <f t="shared" si="145"/>
        <v>8.7301587301587324E-2</v>
      </c>
      <c r="I374" s="85">
        <f t="shared" si="146"/>
        <v>-0.5</v>
      </c>
      <c r="J374" s="85">
        <f t="shared" si="147"/>
        <v>0.20144486692015207</v>
      </c>
      <c r="K374" s="86">
        <f t="shared" si="148"/>
        <v>-0.49970521179440142</v>
      </c>
      <c r="L374" s="87">
        <f t="shared" si="149"/>
        <v>0.21894307936114527</v>
      </c>
      <c r="M374" s="86">
        <f t="shared" si="150"/>
        <v>-0.29883623873011977</v>
      </c>
      <c r="N374" s="87">
        <f t="shared" si="151"/>
        <v>0.49488456324272134</v>
      </c>
      <c r="O374" s="86">
        <f t="shared" si="152"/>
        <v>-0.49970521179440142</v>
      </c>
      <c r="P374" s="87">
        <f t="shared" si="153"/>
        <v>0.21894307936114527</v>
      </c>
      <c r="Q374" s="86">
        <f t="shared" si="154"/>
        <v>-0.49970521179440147</v>
      </c>
      <c r="R374" s="85">
        <f t="shared" si="155"/>
        <v>-0.38852599474590127</v>
      </c>
    </row>
    <row r="375" spans="2:18">
      <c r="B375" s="83"/>
      <c r="C375" s="84">
        <v>114</v>
      </c>
      <c r="D375" s="84">
        <v>32</v>
      </c>
      <c r="E375" s="84">
        <v>1.1977500000000001</v>
      </c>
      <c r="F375" s="78"/>
      <c r="G375" s="85">
        <f t="shared" si="144"/>
        <v>0.49314054931846985</v>
      </c>
      <c r="H375" s="86">
        <f t="shared" si="145"/>
        <v>8.7301587301587324E-2</v>
      </c>
      <c r="I375" s="85">
        <f t="shared" si="146"/>
        <v>-0.47872340425531917</v>
      </c>
      <c r="J375" s="85">
        <f t="shared" si="147"/>
        <v>6.9429657794676913E-2</v>
      </c>
      <c r="K375" s="86">
        <f t="shared" si="148"/>
        <v>-0.47971175177768</v>
      </c>
      <c r="L375" s="87">
        <f t="shared" si="149"/>
        <v>0.10097604240952951</v>
      </c>
      <c r="M375" s="86">
        <f t="shared" si="150"/>
        <v>-0.27884277871339835</v>
      </c>
      <c r="N375" s="87">
        <f t="shared" si="151"/>
        <v>0.37691752629110564</v>
      </c>
      <c r="O375" s="86">
        <f t="shared" si="152"/>
        <v>-0.49970521179440142</v>
      </c>
      <c r="P375" s="87">
        <f t="shared" si="153"/>
        <v>0.10461455457256855</v>
      </c>
      <c r="Q375" s="86">
        <f t="shared" si="154"/>
        <v>-0.47971175177768005</v>
      </c>
      <c r="R375" s="85">
        <f t="shared" si="155"/>
        <v>-0.39216450690894034</v>
      </c>
    </row>
    <row r="376" spans="2:18">
      <c r="B376" s="83"/>
      <c r="C376" s="84">
        <v>117</v>
      </c>
      <c r="D376" s="84">
        <v>16</v>
      </c>
      <c r="E376" s="84">
        <v>1.4365000000000001</v>
      </c>
      <c r="F376" s="78"/>
      <c r="G376" s="85">
        <f t="shared" si="144"/>
        <v>0.61892826956396618</v>
      </c>
      <c r="H376" s="86">
        <f t="shared" si="145"/>
        <v>0.10317460317460314</v>
      </c>
      <c r="I376" s="85">
        <f t="shared" si="146"/>
        <v>-0.5</v>
      </c>
      <c r="J376" s="85">
        <f t="shared" si="147"/>
        <v>0.21467680608365025</v>
      </c>
      <c r="K376" s="86">
        <f t="shared" si="148"/>
        <v>-0.50513410295830097</v>
      </c>
      <c r="L376" s="87">
        <f t="shared" si="149"/>
        <v>0.22294439687531964</v>
      </c>
      <c r="M376" s="86">
        <f t="shared" si="150"/>
        <v>-0.29883623873011977</v>
      </c>
      <c r="N376" s="87">
        <f t="shared" si="151"/>
        <v>0.50634375869964099</v>
      </c>
      <c r="O376" s="86">
        <f t="shared" si="152"/>
        <v>-0.50513410295830097</v>
      </c>
      <c r="P376" s="87">
        <f t="shared" si="153"/>
        <v>0.22294439687531964</v>
      </c>
      <c r="Q376" s="86">
        <f t="shared" si="154"/>
        <v>-0.50513410295830108</v>
      </c>
      <c r="R376" s="85">
        <f t="shared" si="155"/>
        <v>-0.39598387268864654</v>
      </c>
    </row>
    <row r="377" spans="2:18">
      <c r="B377" s="83"/>
      <c r="C377" s="84">
        <v>117</v>
      </c>
      <c r="D377" s="84">
        <v>32</v>
      </c>
      <c r="E377" s="84">
        <v>1.2264999999999999</v>
      </c>
      <c r="F377" s="78"/>
      <c r="G377" s="85">
        <f t="shared" ref="G377:G411" si="156">D$19*(L377-R377)</f>
        <v>0.5082877617040531</v>
      </c>
      <c r="H377" s="86">
        <f t="shared" ref="H377:H411" si="157">(C377-H$16)/H$17-0.5</f>
        <v>0.10317460317460314</v>
      </c>
      <c r="I377" s="85">
        <f t="shared" ref="I377:I411" si="158">(D377-I$16)/I$17-0.5</f>
        <v>-0.47872340425531917</v>
      </c>
      <c r="J377" s="85">
        <f t="shared" ref="J377:J411" si="159">(E377-J$16)/J$17-0.5</f>
        <v>8.6920152091254699E-2</v>
      </c>
      <c r="K377" s="86">
        <f t="shared" ref="K377:K408" si="160">(H377*$H$13+I377*$I$13+J377*$J$13+$D$27)*$C$27</f>
        <v>-0.48514064294157949</v>
      </c>
      <c r="L377" s="87">
        <f t="shared" ref="L377:L411" si="161">(H377*$H$14+I377*$I$14+J377*$J$14+$E$27)*$C$27</f>
        <v>0.10866537685236743</v>
      </c>
      <c r="M377" s="86">
        <f t="shared" ref="M377:M411" si="162">(H$27*$H$13+I377*$I$13+J377*$J$13+$D$27)*$C$27</f>
        <v>-0.27884277871339835</v>
      </c>
      <c r="N377" s="87">
        <f t="shared" ref="N377:N411" si="163">(H$27*$H$14+I377*$I$14+J377*$J$14+$E$27)*$C$27</f>
        <v>0.39206473867668884</v>
      </c>
      <c r="O377" s="86">
        <f t="shared" ref="O377:O411" si="164">(H377*$H$13+I$27*$I$13+J377*$J$13+$D$27)*$C$27</f>
        <v>-0.50513410295830097</v>
      </c>
      <c r="P377" s="87">
        <f t="shared" ref="P377:P411" si="165">(H377*$H$14+I$27*$I$14+J377*$J$14+$E$27)*$C$27</f>
        <v>0.11230388901540647</v>
      </c>
      <c r="Q377" s="86">
        <f t="shared" ref="Q377:Q411" si="166">(H377*$H$13+I377*$I$13+J$27*$J$13+$D$27)*$C$27</f>
        <v>-0.48514064294157955</v>
      </c>
      <c r="R377" s="85">
        <f t="shared" ref="R377:R411" si="167">(H377*$H$14+I377*$I$14+J$27*$J$14+$E$27)*$C$27</f>
        <v>-0.39962238485168561</v>
      </c>
    </row>
    <row r="378" spans="2:18">
      <c r="B378" s="83"/>
      <c r="C378" s="84">
        <v>120</v>
      </c>
      <c r="D378" s="84">
        <v>16</v>
      </c>
      <c r="E378" s="84">
        <v>1.4504999999999999</v>
      </c>
      <c r="F378" s="78"/>
      <c r="G378" s="85">
        <f t="shared" si="156"/>
        <v>0.62630430342129362</v>
      </c>
      <c r="H378" s="86">
        <f t="shared" si="157"/>
        <v>0.11904761904761907</v>
      </c>
      <c r="I378" s="85">
        <f t="shared" si="158"/>
        <v>-0.5</v>
      </c>
      <c r="J378" s="85">
        <f t="shared" si="159"/>
        <v>0.2231939163498099</v>
      </c>
      <c r="K378" s="86">
        <f t="shared" si="160"/>
        <v>-0.51056299412220041</v>
      </c>
      <c r="L378" s="87">
        <f t="shared" si="161"/>
        <v>0.2228625527899018</v>
      </c>
      <c r="M378" s="86">
        <f t="shared" si="162"/>
        <v>-0.29883623873011977</v>
      </c>
      <c r="N378" s="87">
        <f t="shared" si="163"/>
        <v>0.51371979255696854</v>
      </c>
      <c r="O378" s="86">
        <f t="shared" si="164"/>
        <v>-0.51056299412220041</v>
      </c>
      <c r="P378" s="87">
        <f t="shared" si="165"/>
        <v>0.2228625527899018</v>
      </c>
      <c r="Q378" s="86">
        <f t="shared" si="166"/>
        <v>-0.51056299412220052</v>
      </c>
      <c r="R378" s="85">
        <f t="shared" si="167"/>
        <v>-0.40344175063139187</v>
      </c>
    </row>
    <row r="379" spans="2:18">
      <c r="B379" s="83"/>
      <c r="C379" s="84">
        <v>120</v>
      </c>
      <c r="D379" s="84">
        <v>32</v>
      </c>
      <c r="E379" s="84">
        <v>1.25</v>
      </c>
      <c r="F379" s="78"/>
      <c r="G379" s="85">
        <f t="shared" si="156"/>
        <v>0.52066896139313867</v>
      </c>
      <c r="H379" s="86">
        <f t="shared" si="157"/>
        <v>0.11904761904761907</v>
      </c>
      <c r="I379" s="85">
        <f t="shared" si="158"/>
        <v>-0.47872340425531917</v>
      </c>
      <c r="J379" s="85">
        <f t="shared" si="159"/>
        <v>0.1012167300380229</v>
      </c>
      <c r="K379" s="86">
        <f t="shared" si="160"/>
        <v>-0.49056953410547904</v>
      </c>
      <c r="L379" s="87">
        <f t="shared" si="161"/>
        <v>0.11358869859870774</v>
      </c>
      <c r="M379" s="86">
        <f t="shared" si="162"/>
        <v>-0.27884277871339835</v>
      </c>
      <c r="N379" s="87">
        <f t="shared" si="163"/>
        <v>0.40444593836577447</v>
      </c>
      <c r="O379" s="86">
        <f t="shared" si="164"/>
        <v>-0.51056299412220041</v>
      </c>
      <c r="P379" s="87">
        <f t="shared" si="165"/>
        <v>0.11722721076174678</v>
      </c>
      <c r="Q379" s="86">
        <f t="shared" si="166"/>
        <v>-0.4905695341054791</v>
      </c>
      <c r="R379" s="85">
        <f t="shared" si="167"/>
        <v>-0.40708026279443094</v>
      </c>
    </row>
    <row r="380" spans="2:18">
      <c r="B380" s="83"/>
      <c r="C380" s="84">
        <v>123</v>
      </c>
      <c r="D380" s="84">
        <v>16</v>
      </c>
      <c r="E380" s="84">
        <v>1.468</v>
      </c>
      <c r="F380" s="78"/>
      <c r="G380" s="85">
        <f t="shared" si="156"/>
        <v>0.63552434574295313</v>
      </c>
      <c r="H380" s="86">
        <f t="shared" si="157"/>
        <v>0.13492063492063489</v>
      </c>
      <c r="I380" s="85">
        <f t="shared" si="158"/>
        <v>-0.5</v>
      </c>
      <c r="J380" s="85">
        <f t="shared" si="159"/>
        <v>0.23384030418250956</v>
      </c>
      <c r="K380" s="86">
        <f t="shared" si="160"/>
        <v>-0.51599188528609996</v>
      </c>
      <c r="L380" s="87">
        <f t="shared" si="161"/>
        <v>0.22462471716881599</v>
      </c>
      <c r="M380" s="86">
        <f t="shared" si="162"/>
        <v>-0.29883623873011972</v>
      </c>
      <c r="N380" s="87">
        <f t="shared" si="163"/>
        <v>0.52293983487862794</v>
      </c>
      <c r="O380" s="86">
        <f t="shared" si="164"/>
        <v>-0.51599188528609996</v>
      </c>
      <c r="P380" s="87">
        <f t="shared" si="165"/>
        <v>0.22462471716881599</v>
      </c>
      <c r="Q380" s="86">
        <f t="shared" si="166"/>
        <v>-0.51599188528610007</v>
      </c>
      <c r="R380" s="85">
        <f t="shared" si="167"/>
        <v>-0.4108996285741372</v>
      </c>
    </row>
    <row r="381" spans="2:18">
      <c r="B381" s="83"/>
      <c r="C381" s="84">
        <v>123</v>
      </c>
      <c r="D381" s="84">
        <v>32</v>
      </c>
      <c r="E381" s="84">
        <v>1.2777499999999999</v>
      </c>
      <c r="F381" s="78"/>
      <c r="G381" s="85">
        <f t="shared" si="156"/>
        <v>0.53528931421748427</v>
      </c>
      <c r="H381" s="86">
        <f t="shared" si="157"/>
        <v>0.13492063492063489</v>
      </c>
      <c r="I381" s="85">
        <f t="shared" si="158"/>
        <v>-0.47872340425531917</v>
      </c>
      <c r="J381" s="85">
        <f t="shared" si="159"/>
        <v>0.11809885931558939</v>
      </c>
      <c r="K381" s="86">
        <f t="shared" si="160"/>
        <v>-0.49599842526937854</v>
      </c>
      <c r="L381" s="87">
        <f t="shared" si="161"/>
        <v>0.12075117348030807</v>
      </c>
      <c r="M381" s="86">
        <f t="shared" si="162"/>
        <v>-0.27884277871339835</v>
      </c>
      <c r="N381" s="87">
        <f t="shared" si="163"/>
        <v>0.41906629119012007</v>
      </c>
      <c r="O381" s="86">
        <f t="shared" si="164"/>
        <v>-0.51599188528609996</v>
      </c>
      <c r="P381" s="87">
        <f t="shared" si="165"/>
        <v>0.1243896856433471</v>
      </c>
      <c r="Q381" s="86">
        <f t="shared" si="166"/>
        <v>-0.4959984252693786</v>
      </c>
      <c r="R381" s="85">
        <f t="shared" si="167"/>
        <v>-0.41453814073717621</v>
      </c>
    </row>
    <row r="382" spans="2:18">
      <c r="B382" s="83"/>
      <c r="C382" s="84">
        <v>126</v>
      </c>
      <c r="D382" s="84">
        <v>16</v>
      </c>
      <c r="E382" s="84">
        <v>1.48</v>
      </c>
      <c r="F382" s="78"/>
      <c r="G382" s="85">
        <f t="shared" si="156"/>
        <v>0.64184666047780525</v>
      </c>
      <c r="H382" s="86">
        <f t="shared" si="157"/>
        <v>0.15079365079365081</v>
      </c>
      <c r="I382" s="85">
        <f t="shared" si="158"/>
        <v>-0.5</v>
      </c>
      <c r="J382" s="85">
        <f t="shared" si="159"/>
        <v>0.2411406844106464</v>
      </c>
      <c r="K382" s="86">
        <f t="shared" si="160"/>
        <v>-0.52142077644999951</v>
      </c>
      <c r="L382" s="87">
        <f t="shared" si="161"/>
        <v>0.22348915396092284</v>
      </c>
      <c r="M382" s="86">
        <f t="shared" si="162"/>
        <v>-0.29883623873011972</v>
      </c>
      <c r="N382" s="87">
        <f t="shared" si="163"/>
        <v>0.52926214961348017</v>
      </c>
      <c r="O382" s="86">
        <f t="shared" si="164"/>
        <v>-0.52142077644999951</v>
      </c>
      <c r="P382" s="87">
        <f t="shared" si="165"/>
        <v>0.22348915396092284</v>
      </c>
      <c r="Q382" s="86">
        <f t="shared" si="166"/>
        <v>-0.52142077644999962</v>
      </c>
      <c r="R382" s="85">
        <f t="shared" si="167"/>
        <v>-0.41835750651688247</v>
      </c>
    </row>
    <row r="383" spans="2:18">
      <c r="B383" s="83"/>
      <c r="C383" s="84">
        <v>126</v>
      </c>
      <c r="D383" s="84">
        <v>32</v>
      </c>
      <c r="E383" s="84">
        <v>1.3067500000000001</v>
      </c>
      <c r="F383" s="78"/>
      <c r="G383" s="85">
        <f t="shared" si="156"/>
        <v>0.55056824149337702</v>
      </c>
      <c r="H383" s="86">
        <f t="shared" si="157"/>
        <v>0.15079365079365081</v>
      </c>
      <c r="I383" s="85">
        <f t="shared" si="158"/>
        <v>-0.47872340425531917</v>
      </c>
      <c r="J383" s="85">
        <f t="shared" si="159"/>
        <v>0.13574144486692019</v>
      </c>
      <c r="K383" s="86">
        <f t="shared" si="160"/>
        <v>-0.50142731643327809</v>
      </c>
      <c r="L383" s="87">
        <f t="shared" si="161"/>
        <v>0.12857222281345554</v>
      </c>
      <c r="M383" s="86">
        <f t="shared" si="162"/>
        <v>-0.27884277871339835</v>
      </c>
      <c r="N383" s="87">
        <f t="shared" si="163"/>
        <v>0.43434521846601282</v>
      </c>
      <c r="O383" s="86">
        <f t="shared" si="164"/>
        <v>-0.52142077644999951</v>
      </c>
      <c r="P383" s="87">
        <f t="shared" si="165"/>
        <v>0.13221073497649455</v>
      </c>
      <c r="Q383" s="86">
        <f t="shared" si="166"/>
        <v>-0.5014273164332782</v>
      </c>
      <c r="R383" s="85">
        <f t="shared" si="167"/>
        <v>-0.42199601867992154</v>
      </c>
    </row>
    <row r="384" spans="2:18">
      <c r="B384" s="83"/>
      <c r="C384" s="84">
        <v>129</v>
      </c>
      <c r="D384" s="84">
        <v>16</v>
      </c>
      <c r="E384" s="84">
        <v>1.492</v>
      </c>
      <c r="F384" s="78"/>
      <c r="G384" s="85">
        <f t="shared" si="156"/>
        <v>0.64816897521265737</v>
      </c>
      <c r="H384" s="86">
        <f t="shared" si="157"/>
        <v>0.16666666666666663</v>
      </c>
      <c r="I384" s="85">
        <f t="shared" si="158"/>
        <v>-0.5</v>
      </c>
      <c r="J384" s="85">
        <f t="shared" si="159"/>
        <v>0.24844106463878324</v>
      </c>
      <c r="K384" s="86">
        <f t="shared" si="160"/>
        <v>-0.52684966761389895</v>
      </c>
      <c r="L384" s="87">
        <f t="shared" si="161"/>
        <v>0.22235359075302968</v>
      </c>
      <c r="M384" s="86">
        <f t="shared" si="162"/>
        <v>-0.29883623873011972</v>
      </c>
      <c r="N384" s="87">
        <f t="shared" si="163"/>
        <v>0.53558446434833229</v>
      </c>
      <c r="O384" s="86">
        <f t="shared" si="164"/>
        <v>-0.52684966761389895</v>
      </c>
      <c r="P384" s="87">
        <f t="shared" si="165"/>
        <v>0.22235359075302968</v>
      </c>
      <c r="Q384" s="86">
        <f t="shared" si="166"/>
        <v>-0.52684966761389906</v>
      </c>
      <c r="R384" s="85">
        <f t="shared" si="167"/>
        <v>-0.42581538445962774</v>
      </c>
    </row>
    <row r="385" spans="2:18">
      <c r="B385" s="83"/>
      <c r="C385" s="84">
        <v>129</v>
      </c>
      <c r="D385" s="84">
        <v>32</v>
      </c>
      <c r="E385" s="84">
        <v>1.335</v>
      </c>
      <c r="F385" s="78"/>
      <c r="G385" s="85">
        <f t="shared" si="156"/>
        <v>0.5654520240983415</v>
      </c>
      <c r="H385" s="86">
        <f t="shared" si="157"/>
        <v>0.16666666666666663</v>
      </c>
      <c r="I385" s="85">
        <f t="shared" si="158"/>
        <v>-0.47872340425531917</v>
      </c>
      <c r="J385" s="85">
        <f t="shared" si="159"/>
        <v>0.15292775665399239</v>
      </c>
      <c r="K385" s="86">
        <f t="shared" si="160"/>
        <v>-0.50685620759717753</v>
      </c>
      <c r="L385" s="87">
        <f t="shared" si="161"/>
        <v>0.13599812747567472</v>
      </c>
      <c r="M385" s="86">
        <f t="shared" si="162"/>
        <v>-0.27884277871339835</v>
      </c>
      <c r="N385" s="87">
        <f t="shared" si="163"/>
        <v>0.4492290010709773</v>
      </c>
      <c r="O385" s="86">
        <f t="shared" si="164"/>
        <v>-0.52684966761389895</v>
      </c>
      <c r="P385" s="87">
        <f t="shared" si="165"/>
        <v>0.13963663963871376</v>
      </c>
      <c r="Q385" s="86">
        <f t="shared" si="166"/>
        <v>-0.50685620759717764</v>
      </c>
      <c r="R385" s="85">
        <f t="shared" si="167"/>
        <v>-0.42945389662266675</v>
      </c>
    </row>
    <row r="386" spans="2:18">
      <c r="B386" s="83"/>
      <c r="C386" s="84">
        <v>132</v>
      </c>
      <c r="D386" s="84">
        <v>16</v>
      </c>
      <c r="E386" s="84">
        <v>1.5089999999999999</v>
      </c>
      <c r="F386" s="78"/>
      <c r="G386" s="85">
        <f t="shared" si="156"/>
        <v>0.65712558775369811</v>
      </c>
      <c r="H386" s="86">
        <f t="shared" si="157"/>
        <v>0.18253968253968256</v>
      </c>
      <c r="I386" s="85">
        <f t="shared" si="158"/>
        <v>-0.5</v>
      </c>
      <c r="J386" s="85">
        <f t="shared" si="159"/>
        <v>0.2587832699619772</v>
      </c>
      <c r="K386" s="86">
        <f t="shared" si="160"/>
        <v>-0.53227855877779851</v>
      </c>
      <c r="L386" s="87">
        <f t="shared" si="161"/>
        <v>0.22385232535132499</v>
      </c>
      <c r="M386" s="86">
        <f t="shared" si="162"/>
        <v>-0.29883623873011972</v>
      </c>
      <c r="N386" s="87">
        <f t="shared" si="163"/>
        <v>0.54454107688937281</v>
      </c>
      <c r="O386" s="86">
        <f t="shared" si="164"/>
        <v>-0.53227855877779851</v>
      </c>
      <c r="P386" s="87">
        <f t="shared" si="165"/>
        <v>0.22385232535132499</v>
      </c>
      <c r="Q386" s="86">
        <f t="shared" si="166"/>
        <v>-0.53227855877779862</v>
      </c>
      <c r="R386" s="85">
        <f t="shared" si="167"/>
        <v>-0.43327326240237307</v>
      </c>
    </row>
    <row r="387" spans="2:18">
      <c r="B387" s="83"/>
      <c r="C387" s="84">
        <v>132</v>
      </c>
      <c r="D387" s="84">
        <v>32</v>
      </c>
      <c r="E387" s="84">
        <v>1.365</v>
      </c>
      <c r="F387" s="78"/>
      <c r="G387" s="85">
        <f t="shared" si="156"/>
        <v>0.58125781093547191</v>
      </c>
      <c r="H387" s="86">
        <f t="shared" si="157"/>
        <v>0.18253968253968256</v>
      </c>
      <c r="I387" s="85">
        <f t="shared" si="158"/>
        <v>-0.47872340425531917</v>
      </c>
      <c r="J387" s="85">
        <f t="shared" si="159"/>
        <v>0.17117870722433459</v>
      </c>
      <c r="K387" s="86">
        <f t="shared" si="160"/>
        <v>-0.51228509876107708</v>
      </c>
      <c r="L387" s="87">
        <f t="shared" si="161"/>
        <v>0.14434603637005983</v>
      </c>
      <c r="M387" s="86">
        <f t="shared" si="162"/>
        <v>-0.27884277871339835</v>
      </c>
      <c r="N387" s="87">
        <f t="shared" si="163"/>
        <v>0.46503478790810771</v>
      </c>
      <c r="O387" s="86">
        <f t="shared" si="164"/>
        <v>-0.53227855877779851</v>
      </c>
      <c r="P387" s="87">
        <f t="shared" si="165"/>
        <v>0.14798454853309884</v>
      </c>
      <c r="Q387" s="86">
        <f t="shared" si="166"/>
        <v>-0.5122850987610772</v>
      </c>
      <c r="R387" s="85">
        <f t="shared" si="167"/>
        <v>-0.43691177456541208</v>
      </c>
    </row>
    <row r="388" spans="2:18">
      <c r="B388" s="83"/>
      <c r="C388" s="84">
        <v>135</v>
      </c>
      <c r="D388" s="84">
        <v>16</v>
      </c>
      <c r="E388" s="84">
        <v>1.5277499999999999</v>
      </c>
      <c r="F388" s="78"/>
      <c r="G388" s="85">
        <f t="shared" si="156"/>
        <v>0.66700420452690456</v>
      </c>
      <c r="H388" s="86">
        <f t="shared" si="157"/>
        <v>0.19841269841269837</v>
      </c>
      <c r="I388" s="85">
        <f t="shared" si="158"/>
        <v>-0.5</v>
      </c>
      <c r="J388" s="85">
        <f t="shared" si="159"/>
        <v>0.27019011406844107</v>
      </c>
      <c r="K388" s="86">
        <f t="shared" si="160"/>
        <v>-0.53770744994169795</v>
      </c>
      <c r="L388" s="87">
        <f t="shared" si="161"/>
        <v>0.22627306418178622</v>
      </c>
      <c r="M388" s="86">
        <f t="shared" si="162"/>
        <v>-0.29883623873011972</v>
      </c>
      <c r="N388" s="87">
        <f t="shared" si="163"/>
        <v>0.55441969366257937</v>
      </c>
      <c r="O388" s="86">
        <f t="shared" si="164"/>
        <v>-0.53770744994169795</v>
      </c>
      <c r="P388" s="87">
        <f t="shared" si="165"/>
        <v>0.22627306418178622</v>
      </c>
      <c r="Q388" s="86">
        <f t="shared" si="166"/>
        <v>-0.53770744994169806</v>
      </c>
      <c r="R388" s="85">
        <f t="shared" si="167"/>
        <v>-0.44073114034511834</v>
      </c>
    </row>
    <row r="389" spans="2:18">
      <c r="B389" s="83"/>
      <c r="C389" s="84">
        <v>135</v>
      </c>
      <c r="D389" s="84">
        <v>32</v>
      </c>
      <c r="E389" s="84">
        <v>1.3947499999999999</v>
      </c>
      <c r="F389" s="78"/>
      <c r="G389" s="85">
        <f t="shared" si="156"/>
        <v>0.59693188288229293</v>
      </c>
      <c r="H389" s="86">
        <f t="shared" si="157"/>
        <v>0.19841269841269837</v>
      </c>
      <c r="I389" s="85">
        <f t="shared" si="158"/>
        <v>-0.47872340425531917</v>
      </c>
      <c r="J389" s="85">
        <f t="shared" si="159"/>
        <v>0.18927756653992389</v>
      </c>
      <c r="K389" s="86">
        <f t="shared" si="160"/>
        <v>-0.51771398992497653</v>
      </c>
      <c r="L389" s="87">
        <f t="shared" si="161"/>
        <v>0.15256223037413552</v>
      </c>
      <c r="M389" s="86">
        <f t="shared" si="162"/>
        <v>-0.27884277871339835</v>
      </c>
      <c r="N389" s="87">
        <f t="shared" si="163"/>
        <v>0.48070885985492873</v>
      </c>
      <c r="O389" s="86">
        <f t="shared" si="164"/>
        <v>-0.53770744994169795</v>
      </c>
      <c r="P389" s="87">
        <f t="shared" si="165"/>
        <v>0.15620074253717453</v>
      </c>
      <c r="Q389" s="86">
        <f t="shared" si="166"/>
        <v>-0.51771398992497664</v>
      </c>
      <c r="R389" s="85">
        <f t="shared" si="167"/>
        <v>-0.44436965250815741</v>
      </c>
    </row>
    <row r="390" spans="2:18">
      <c r="B390" s="83"/>
      <c r="C390" s="84">
        <v>138</v>
      </c>
      <c r="D390" s="84">
        <v>16</v>
      </c>
      <c r="E390" s="84">
        <v>1.5525</v>
      </c>
      <c r="F390" s="78"/>
      <c r="G390" s="85">
        <f t="shared" si="156"/>
        <v>0.68004397866753719</v>
      </c>
      <c r="H390" s="86">
        <f t="shared" si="157"/>
        <v>0.2142857142857143</v>
      </c>
      <c r="I390" s="85">
        <f t="shared" si="158"/>
        <v>-0.5</v>
      </c>
      <c r="J390" s="85">
        <f t="shared" si="159"/>
        <v>0.28524714828897335</v>
      </c>
      <c r="K390" s="86">
        <f t="shared" si="160"/>
        <v>-0.5431363411055975</v>
      </c>
      <c r="L390" s="87">
        <f t="shared" si="161"/>
        <v>0.23185496037967346</v>
      </c>
      <c r="M390" s="86">
        <f t="shared" si="162"/>
        <v>-0.29883623873011972</v>
      </c>
      <c r="N390" s="87">
        <f t="shared" si="163"/>
        <v>0.56745946780321199</v>
      </c>
      <c r="O390" s="86">
        <f t="shared" si="164"/>
        <v>-0.5431363411055975</v>
      </c>
      <c r="P390" s="87">
        <f t="shared" si="165"/>
        <v>0.23185496037967346</v>
      </c>
      <c r="Q390" s="86">
        <f t="shared" si="166"/>
        <v>-0.54313634110559761</v>
      </c>
      <c r="R390" s="85">
        <f t="shared" si="167"/>
        <v>-0.44818901828786367</v>
      </c>
    </row>
    <row r="391" spans="2:18">
      <c r="B391" s="83"/>
      <c r="C391" s="84">
        <v>138</v>
      </c>
      <c r="D391" s="84">
        <v>32</v>
      </c>
      <c r="E391" s="84">
        <v>1.4225000000000001</v>
      </c>
      <c r="F391" s="78"/>
      <c r="G391" s="85">
        <f t="shared" si="156"/>
        <v>0.61155223570663875</v>
      </c>
      <c r="H391" s="86">
        <f t="shared" si="157"/>
        <v>0.2142857142857143</v>
      </c>
      <c r="I391" s="85">
        <f t="shared" si="158"/>
        <v>-0.47872340425531917</v>
      </c>
      <c r="J391" s="85">
        <f t="shared" si="159"/>
        <v>0.20615969581749061</v>
      </c>
      <c r="K391" s="86">
        <f t="shared" si="160"/>
        <v>-0.52314288108887608</v>
      </c>
      <c r="L391" s="87">
        <f t="shared" si="161"/>
        <v>0.15972470525573601</v>
      </c>
      <c r="M391" s="86">
        <f t="shared" si="162"/>
        <v>-0.27884277871339835</v>
      </c>
      <c r="N391" s="87">
        <f t="shared" si="163"/>
        <v>0.49532921267927454</v>
      </c>
      <c r="O391" s="86">
        <f t="shared" si="164"/>
        <v>-0.5431363411055975</v>
      </c>
      <c r="P391" s="87">
        <f t="shared" si="165"/>
        <v>0.16336321741877502</v>
      </c>
      <c r="Q391" s="86">
        <f t="shared" si="166"/>
        <v>-0.52314288108887619</v>
      </c>
      <c r="R391" s="85">
        <f t="shared" si="167"/>
        <v>-0.45182753045090274</v>
      </c>
    </row>
    <row r="392" spans="2:18">
      <c r="B392" s="83"/>
      <c r="C392" s="84">
        <v>141</v>
      </c>
      <c r="D392" s="84">
        <v>16</v>
      </c>
      <c r="E392" s="84">
        <v>1.5722499999999999</v>
      </c>
      <c r="F392" s="78"/>
      <c r="G392" s="85">
        <f t="shared" si="156"/>
        <v>0.69044945500198129</v>
      </c>
      <c r="H392" s="86">
        <f t="shared" si="157"/>
        <v>0.23015873015873012</v>
      </c>
      <c r="I392" s="85">
        <f t="shared" si="158"/>
        <v>-0.5</v>
      </c>
      <c r="J392" s="85">
        <f t="shared" si="159"/>
        <v>0.29726235741444862</v>
      </c>
      <c r="K392" s="86">
        <f t="shared" si="160"/>
        <v>-0.54856523226949694</v>
      </c>
      <c r="L392" s="87">
        <f t="shared" si="161"/>
        <v>0.2348025587713724</v>
      </c>
      <c r="M392" s="86">
        <f t="shared" si="162"/>
        <v>-0.29883623873011972</v>
      </c>
      <c r="N392" s="87">
        <f t="shared" si="163"/>
        <v>0.57786494413765621</v>
      </c>
      <c r="O392" s="86">
        <f t="shared" si="164"/>
        <v>-0.54856523226949694</v>
      </c>
      <c r="P392" s="87">
        <f t="shared" si="165"/>
        <v>0.2348025587713724</v>
      </c>
      <c r="Q392" s="86">
        <f t="shared" si="166"/>
        <v>-0.54856523226949705</v>
      </c>
      <c r="R392" s="85">
        <f t="shared" si="167"/>
        <v>-0.45564689623060894</v>
      </c>
    </row>
    <row r="393" spans="2:18">
      <c r="B393" s="83"/>
      <c r="C393" s="84">
        <v>141</v>
      </c>
      <c r="D393" s="84">
        <v>32</v>
      </c>
      <c r="E393" s="84">
        <v>1.46225</v>
      </c>
      <c r="F393" s="78"/>
      <c r="G393" s="85">
        <f t="shared" si="156"/>
        <v>0.63249490326583646</v>
      </c>
      <c r="H393" s="86">
        <f t="shared" si="157"/>
        <v>0.23015873015873012</v>
      </c>
      <c r="I393" s="85">
        <f t="shared" si="158"/>
        <v>-0.47872340425531917</v>
      </c>
      <c r="J393" s="85">
        <f t="shared" si="159"/>
        <v>0.23034220532319394</v>
      </c>
      <c r="K393" s="86">
        <f t="shared" si="160"/>
        <v>-0.52857177225277552</v>
      </c>
      <c r="L393" s="87">
        <f t="shared" si="161"/>
        <v>0.17320949487218848</v>
      </c>
      <c r="M393" s="86">
        <f t="shared" si="162"/>
        <v>-0.2788427787133983</v>
      </c>
      <c r="N393" s="87">
        <f t="shared" si="163"/>
        <v>0.51627188023847226</v>
      </c>
      <c r="O393" s="86">
        <f t="shared" si="164"/>
        <v>-0.54856523226949694</v>
      </c>
      <c r="P393" s="87">
        <f t="shared" si="165"/>
        <v>0.17684800703522752</v>
      </c>
      <c r="Q393" s="86">
        <f t="shared" si="166"/>
        <v>-0.52857177225277563</v>
      </c>
      <c r="R393" s="85">
        <f t="shared" si="167"/>
        <v>-0.45928540839364795</v>
      </c>
    </row>
    <row r="394" spans="2:18">
      <c r="B394" s="83"/>
      <c r="C394" s="84">
        <v>144</v>
      </c>
      <c r="D394" s="84">
        <v>16</v>
      </c>
      <c r="E394" s="84">
        <v>1.58975</v>
      </c>
      <c r="F394" s="78"/>
      <c r="G394" s="85">
        <f t="shared" si="156"/>
        <v>0.69966949732364081</v>
      </c>
      <c r="H394" s="86">
        <f t="shared" si="157"/>
        <v>0.24603174603174605</v>
      </c>
      <c r="I394" s="85">
        <f t="shared" si="158"/>
        <v>-0.5</v>
      </c>
      <c r="J394" s="85">
        <f t="shared" si="159"/>
        <v>0.30790874524714829</v>
      </c>
      <c r="K394" s="86">
        <f t="shared" si="160"/>
        <v>-0.55399412343339649</v>
      </c>
      <c r="L394" s="87">
        <f t="shared" si="161"/>
        <v>0.23656472315028654</v>
      </c>
      <c r="M394" s="86">
        <f t="shared" si="162"/>
        <v>-0.29883623873011972</v>
      </c>
      <c r="N394" s="87">
        <f t="shared" si="163"/>
        <v>0.58708498645931562</v>
      </c>
      <c r="O394" s="86">
        <f t="shared" si="164"/>
        <v>-0.55399412343339649</v>
      </c>
      <c r="P394" s="87">
        <f t="shared" si="165"/>
        <v>0.23656472315028654</v>
      </c>
      <c r="Q394" s="86">
        <f t="shared" si="166"/>
        <v>-0.5539941234333966</v>
      </c>
      <c r="R394" s="85">
        <f t="shared" si="167"/>
        <v>-0.46310477417335427</v>
      </c>
    </row>
    <row r="395" spans="2:18">
      <c r="B395" s="83"/>
      <c r="C395" s="84">
        <v>144</v>
      </c>
      <c r="D395" s="84">
        <v>32</v>
      </c>
      <c r="E395" s="84">
        <v>1.49325</v>
      </c>
      <c r="F395" s="78"/>
      <c r="G395" s="85">
        <f t="shared" si="156"/>
        <v>0.64882754966420453</v>
      </c>
      <c r="H395" s="86">
        <f t="shared" si="157"/>
        <v>0.24603174603174605</v>
      </c>
      <c r="I395" s="85">
        <f t="shared" si="158"/>
        <v>-0.47872340425531917</v>
      </c>
      <c r="J395" s="85">
        <f t="shared" si="159"/>
        <v>0.24920152091254755</v>
      </c>
      <c r="K395" s="86">
        <f t="shared" si="160"/>
        <v>-0.53400066341667507</v>
      </c>
      <c r="L395" s="87">
        <f t="shared" si="161"/>
        <v>0.18208426332781127</v>
      </c>
      <c r="M395" s="86">
        <f t="shared" si="162"/>
        <v>-0.2788427787133983</v>
      </c>
      <c r="N395" s="87">
        <f t="shared" si="163"/>
        <v>0.53260452663684044</v>
      </c>
      <c r="O395" s="86">
        <f t="shared" si="164"/>
        <v>-0.55399412343339649</v>
      </c>
      <c r="P395" s="87">
        <f t="shared" si="165"/>
        <v>0.18572277549085031</v>
      </c>
      <c r="Q395" s="86">
        <f t="shared" si="166"/>
        <v>-0.53400066341667518</v>
      </c>
      <c r="R395" s="85">
        <f t="shared" si="167"/>
        <v>-0.46674328633639328</v>
      </c>
    </row>
    <row r="396" spans="2:18">
      <c r="B396" s="83"/>
      <c r="C396" s="84">
        <v>147</v>
      </c>
      <c r="D396" s="84">
        <v>16</v>
      </c>
      <c r="E396" s="84">
        <v>1.6060000000000001</v>
      </c>
      <c r="F396" s="78"/>
      <c r="G396" s="85">
        <f t="shared" si="156"/>
        <v>0.70823096519375328</v>
      </c>
      <c r="H396" s="86">
        <f t="shared" si="157"/>
        <v>0.26190476190476186</v>
      </c>
      <c r="I396" s="85">
        <f t="shared" si="158"/>
        <v>-0.5</v>
      </c>
      <c r="J396" s="85">
        <f t="shared" si="159"/>
        <v>0.31779467680608375</v>
      </c>
      <c r="K396" s="86">
        <f t="shared" si="160"/>
        <v>-0.55942301459729593</v>
      </c>
      <c r="L396" s="87">
        <f t="shared" si="161"/>
        <v>0.23766831307765368</v>
      </c>
      <c r="M396" s="86">
        <f t="shared" si="162"/>
        <v>-0.29883623873011972</v>
      </c>
      <c r="N396" s="87">
        <f t="shared" si="163"/>
        <v>0.59564645432942798</v>
      </c>
      <c r="O396" s="86">
        <f t="shared" si="164"/>
        <v>-0.55942301459729593</v>
      </c>
      <c r="P396" s="87">
        <f t="shared" si="165"/>
        <v>0.23766831307765368</v>
      </c>
      <c r="Q396" s="86">
        <f t="shared" si="166"/>
        <v>-0.55942301459729604</v>
      </c>
      <c r="R396" s="85">
        <f t="shared" si="167"/>
        <v>-0.47056265211609954</v>
      </c>
    </row>
    <row r="397" spans="2:18">
      <c r="B397" s="83"/>
      <c r="C397" s="84">
        <v>150</v>
      </c>
      <c r="D397" s="84">
        <v>16</v>
      </c>
      <c r="E397" s="84">
        <v>1.6220000000000001</v>
      </c>
      <c r="F397" s="78"/>
      <c r="G397" s="85">
        <f t="shared" si="156"/>
        <v>0.71666071817355603</v>
      </c>
      <c r="H397" s="86">
        <f t="shared" si="157"/>
        <v>0.27777777777777779</v>
      </c>
      <c r="I397" s="85">
        <f t="shared" si="158"/>
        <v>-0.5</v>
      </c>
      <c r="J397" s="85">
        <f t="shared" si="159"/>
        <v>0.3275285171102662</v>
      </c>
      <c r="K397" s="86">
        <f t="shared" si="160"/>
        <v>-0.56485190576119548</v>
      </c>
      <c r="L397" s="87">
        <f t="shared" si="161"/>
        <v>0.23864018811471122</v>
      </c>
      <c r="M397" s="86">
        <f t="shared" si="162"/>
        <v>-0.29883623873011972</v>
      </c>
      <c r="N397" s="87">
        <f t="shared" si="163"/>
        <v>0.60407620730923095</v>
      </c>
      <c r="O397" s="86">
        <f t="shared" si="164"/>
        <v>-0.56485190576119548</v>
      </c>
      <c r="P397" s="87">
        <f t="shared" si="165"/>
        <v>0.23864018811471122</v>
      </c>
      <c r="Q397" s="86">
        <f t="shared" si="166"/>
        <v>-0.56485190576119559</v>
      </c>
      <c r="R397" s="85">
        <f t="shared" si="167"/>
        <v>-0.47802053005884487</v>
      </c>
    </row>
    <row r="398" spans="2:18">
      <c r="B398" s="83"/>
      <c r="C398" s="84">
        <v>153</v>
      </c>
      <c r="D398" s="84">
        <v>16</v>
      </c>
      <c r="E398" s="84">
        <v>1.6415</v>
      </c>
      <c r="F398" s="78"/>
      <c r="G398" s="85">
        <f t="shared" si="156"/>
        <v>0.72693447961769087</v>
      </c>
      <c r="H398" s="86">
        <f t="shared" si="157"/>
        <v>0.29365079365079361</v>
      </c>
      <c r="I398" s="85">
        <f t="shared" si="158"/>
        <v>-0.5</v>
      </c>
      <c r="J398" s="85">
        <f t="shared" si="159"/>
        <v>0.33939163498098857</v>
      </c>
      <c r="K398" s="86">
        <f t="shared" si="160"/>
        <v>-0.57028079692509503</v>
      </c>
      <c r="L398" s="87">
        <f t="shared" si="161"/>
        <v>0.24145607161610066</v>
      </c>
      <c r="M398" s="86">
        <f t="shared" si="162"/>
        <v>-0.29883623873011972</v>
      </c>
      <c r="N398" s="87">
        <f t="shared" si="163"/>
        <v>0.61434996875336556</v>
      </c>
      <c r="O398" s="86">
        <f t="shared" si="164"/>
        <v>-0.57028079692509503</v>
      </c>
      <c r="P398" s="87">
        <f t="shared" si="165"/>
        <v>0.24145607161610066</v>
      </c>
      <c r="Q398" s="86">
        <f t="shared" si="166"/>
        <v>-0.57028079692509515</v>
      </c>
      <c r="R398" s="85">
        <f t="shared" si="167"/>
        <v>-0.48547840800159014</v>
      </c>
    </row>
    <row r="399" spans="2:18">
      <c r="B399" s="83"/>
      <c r="C399" s="84">
        <v>156</v>
      </c>
      <c r="D399" s="84">
        <v>16</v>
      </c>
      <c r="E399" s="84">
        <v>1.6515</v>
      </c>
      <c r="F399" s="78"/>
      <c r="G399" s="85">
        <f t="shared" si="156"/>
        <v>0.73220307523006767</v>
      </c>
      <c r="H399" s="86">
        <f t="shared" si="157"/>
        <v>0.30952380952380953</v>
      </c>
      <c r="I399" s="85">
        <f t="shared" si="158"/>
        <v>-0.5</v>
      </c>
      <c r="J399" s="85">
        <f t="shared" si="159"/>
        <v>0.34547528517110271</v>
      </c>
      <c r="K399" s="86">
        <f t="shared" si="160"/>
        <v>-0.57570968808899448</v>
      </c>
      <c r="L399" s="87">
        <f t="shared" si="161"/>
        <v>0.2392667892857322</v>
      </c>
      <c r="M399" s="86">
        <f t="shared" si="162"/>
        <v>-0.29883623873011972</v>
      </c>
      <c r="N399" s="87">
        <f t="shared" si="163"/>
        <v>0.61961856436574247</v>
      </c>
      <c r="O399" s="86">
        <f t="shared" si="164"/>
        <v>-0.57570968808899448</v>
      </c>
      <c r="P399" s="87">
        <f t="shared" si="165"/>
        <v>0.2392667892857322</v>
      </c>
      <c r="Q399" s="86">
        <f t="shared" si="166"/>
        <v>-0.57570968808899459</v>
      </c>
      <c r="R399" s="85">
        <f t="shared" si="167"/>
        <v>-0.49293628594433547</v>
      </c>
    </row>
    <row r="400" spans="2:18">
      <c r="B400" s="83"/>
      <c r="C400" s="84">
        <v>159</v>
      </c>
      <c r="D400" s="84">
        <v>16</v>
      </c>
      <c r="E400" s="84">
        <v>1.6785000000000001</v>
      </c>
      <c r="F400" s="78"/>
      <c r="G400" s="85">
        <f t="shared" si="156"/>
        <v>0.74642828338348521</v>
      </c>
      <c r="H400" s="86">
        <f t="shared" si="157"/>
        <v>0.32539682539682535</v>
      </c>
      <c r="I400" s="85">
        <f t="shared" si="158"/>
        <v>-0.5</v>
      </c>
      <c r="J400" s="85">
        <f t="shared" si="159"/>
        <v>0.3619011406844107</v>
      </c>
      <c r="K400" s="86">
        <f t="shared" si="160"/>
        <v>-0.58113857925289403</v>
      </c>
      <c r="L400" s="87">
        <f t="shared" si="161"/>
        <v>0.24603411949640436</v>
      </c>
      <c r="M400" s="86">
        <f t="shared" si="162"/>
        <v>-0.29883623873011972</v>
      </c>
      <c r="N400" s="87">
        <f t="shared" si="163"/>
        <v>0.63384377251915991</v>
      </c>
      <c r="O400" s="86">
        <f t="shared" si="164"/>
        <v>-0.58113857925289403</v>
      </c>
      <c r="P400" s="87">
        <f t="shared" si="165"/>
        <v>0.24603411949640436</v>
      </c>
      <c r="Q400" s="86">
        <f t="shared" si="166"/>
        <v>-0.58113857925289414</v>
      </c>
      <c r="R400" s="85">
        <f t="shared" si="167"/>
        <v>-0.5003941638870808</v>
      </c>
    </row>
    <row r="401" spans="2:18">
      <c r="B401" s="83"/>
      <c r="C401" s="84">
        <v>162</v>
      </c>
      <c r="D401" s="84">
        <v>16</v>
      </c>
      <c r="E401" s="84">
        <v>1.6995</v>
      </c>
      <c r="F401" s="78"/>
      <c r="G401" s="85">
        <f t="shared" si="156"/>
        <v>0.75749233416947626</v>
      </c>
      <c r="H401" s="86">
        <f t="shared" si="157"/>
        <v>0.34126984126984128</v>
      </c>
      <c r="I401" s="85">
        <f t="shared" si="158"/>
        <v>-0.5</v>
      </c>
      <c r="J401" s="85">
        <f t="shared" si="159"/>
        <v>0.37467680608365017</v>
      </c>
      <c r="K401" s="86">
        <f t="shared" si="160"/>
        <v>-0.58656747041679358</v>
      </c>
      <c r="L401" s="87">
        <f t="shared" si="161"/>
        <v>0.24964029233965024</v>
      </c>
      <c r="M401" s="86">
        <f t="shared" si="162"/>
        <v>-0.29883623873011972</v>
      </c>
      <c r="N401" s="87">
        <f t="shared" si="163"/>
        <v>0.64490782330515106</v>
      </c>
      <c r="O401" s="86">
        <f t="shared" si="164"/>
        <v>-0.58656747041679358</v>
      </c>
      <c r="P401" s="87">
        <f t="shared" si="165"/>
        <v>0.24964029233965024</v>
      </c>
      <c r="Q401" s="86">
        <f t="shared" si="166"/>
        <v>-0.58656747041679369</v>
      </c>
      <c r="R401" s="85">
        <f t="shared" si="167"/>
        <v>-0.50785204182982602</v>
      </c>
    </row>
    <row r="402" spans="2:18">
      <c r="B402" s="83"/>
      <c r="C402" s="84">
        <v>165</v>
      </c>
      <c r="D402" s="84">
        <v>16</v>
      </c>
      <c r="E402" s="84">
        <v>1.7124999999999999</v>
      </c>
      <c r="F402" s="78"/>
      <c r="G402" s="85">
        <f t="shared" si="156"/>
        <v>0.76434150846556614</v>
      </c>
      <c r="H402" s="86">
        <f t="shared" si="157"/>
        <v>0.3571428571428571</v>
      </c>
      <c r="I402" s="85">
        <f t="shared" si="158"/>
        <v>-0.5</v>
      </c>
      <c r="J402" s="85">
        <f t="shared" si="159"/>
        <v>0.38258555133079841</v>
      </c>
      <c r="K402" s="86">
        <f t="shared" si="160"/>
        <v>-0.59199636158069302</v>
      </c>
      <c r="L402" s="87">
        <f t="shared" si="161"/>
        <v>0.2490315886929948</v>
      </c>
      <c r="M402" s="86">
        <f t="shared" si="162"/>
        <v>-0.29883623873011972</v>
      </c>
      <c r="N402" s="87">
        <f t="shared" si="163"/>
        <v>0.65175699760124095</v>
      </c>
      <c r="O402" s="86">
        <f t="shared" si="164"/>
        <v>-0.59199636158069302</v>
      </c>
      <c r="P402" s="87">
        <f t="shared" si="165"/>
        <v>0.2490315886929948</v>
      </c>
      <c r="Q402" s="86">
        <f t="shared" si="166"/>
        <v>-0.59199636158069313</v>
      </c>
      <c r="R402" s="85">
        <f t="shared" si="167"/>
        <v>-0.51530991977257135</v>
      </c>
    </row>
    <row r="403" spans="2:18">
      <c r="B403" s="83"/>
      <c r="C403" s="84">
        <v>168</v>
      </c>
      <c r="D403" s="84">
        <v>16</v>
      </c>
      <c r="E403" s="84">
        <v>1.7382500000000001</v>
      </c>
      <c r="F403" s="78"/>
      <c r="G403" s="85">
        <f t="shared" si="156"/>
        <v>0.77790814216743653</v>
      </c>
      <c r="H403" s="86">
        <f t="shared" si="157"/>
        <v>0.37301587301587302</v>
      </c>
      <c r="I403" s="85">
        <f t="shared" si="158"/>
        <v>-0.5</v>
      </c>
      <c r="J403" s="85">
        <f t="shared" si="159"/>
        <v>0.39825095057034232</v>
      </c>
      <c r="K403" s="86">
        <f t="shared" si="160"/>
        <v>-0.59742525274459257</v>
      </c>
      <c r="L403" s="87">
        <f t="shared" si="161"/>
        <v>0.25514034445211992</v>
      </c>
      <c r="M403" s="86">
        <f t="shared" si="162"/>
        <v>-0.29883623873011972</v>
      </c>
      <c r="N403" s="87">
        <f t="shared" si="163"/>
        <v>0.66532363130311145</v>
      </c>
      <c r="O403" s="86">
        <f t="shared" si="164"/>
        <v>-0.59742525274459257</v>
      </c>
      <c r="P403" s="87">
        <f t="shared" si="165"/>
        <v>0.25514034445211992</v>
      </c>
      <c r="Q403" s="86">
        <f t="shared" si="166"/>
        <v>-0.59742525274459268</v>
      </c>
      <c r="R403" s="85">
        <f t="shared" si="167"/>
        <v>-0.52276779771531667</v>
      </c>
    </row>
    <row r="404" spans="2:18">
      <c r="B404" s="83"/>
      <c r="C404" s="84">
        <v>171</v>
      </c>
      <c r="D404" s="84">
        <v>16</v>
      </c>
      <c r="E404" s="84">
        <v>1.7589999999999999</v>
      </c>
      <c r="F404" s="78"/>
      <c r="G404" s="85">
        <f t="shared" si="156"/>
        <v>0.7888404780631183</v>
      </c>
      <c r="H404" s="86">
        <f t="shared" si="157"/>
        <v>0.38888888888888884</v>
      </c>
      <c r="I404" s="85">
        <f t="shared" si="158"/>
        <v>-0.5</v>
      </c>
      <c r="J404" s="85">
        <f t="shared" si="159"/>
        <v>0.41087452471482888</v>
      </c>
      <c r="K404" s="86">
        <f t="shared" si="160"/>
        <v>-0.60285414390849201</v>
      </c>
      <c r="L404" s="87">
        <f t="shared" si="161"/>
        <v>0.25861480240505641</v>
      </c>
      <c r="M404" s="86">
        <f t="shared" si="162"/>
        <v>-0.29883623873011972</v>
      </c>
      <c r="N404" s="87">
        <f t="shared" si="163"/>
        <v>0.67625596719879311</v>
      </c>
      <c r="O404" s="86">
        <f t="shared" si="164"/>
        <v>-0.60285414390849201</v>
      </c>
      <c r="P404" s="87">
        <f t="shared" si="165"/>
        <v>0.25861480240505641</v>
      </c>
      <c r="Q404" s="86">
        <f t="shared" si="166"/>
        <v>-0.60285414390849212</v>
      </c>
      <c r="R404" s="85">
        <f t="shared" si="167"/>
        <v>-0.53022567565806189</v>
      </c>
    </row>
    <row r="405" spans="2:18">
      <c r="B405" s="83"/>
      <c r="C405" s="84">
        <v>174</v>
      </c>
      <c r="D405" s="84">
        <v>16</v>
      </c>
      <c r="E405" s="84">
        <v>1.7765</v>
      </c>
      <c r="F405" s="78"/>
      <c r="G405" s="85">
        <f t="shared" si="156"/>
        <v>0.79806052038477793</v>
      </c>
      <c r="H405" s="86">
        <f t="shared" si="157"/>
        <v>0.40476190476190477</v>
      </c>
      <c r="I405" s="85">
        <f t="shared" si="158"/>
        <v>-0.5</v>
      </c>
      <c r="J405" s="85">
        <f t="shared" si="159"/>
        <v>0.42152091254752855</v>
      </c>
      <c r="K405" s="86">
        <f t="shared" si="160"/>
        <v>-0.60828303507239156</v>
      </c>
      <c r="L405" s="87">
        <f t="shared" si="161"/>
        <v>0.26037696678397054</v>
      </c>
      <c r="M405" s="86">
        <f t="shared" si="162"/>
        <v>-0.29883623873011972</v>
      </c>
      <c r="N405" s="87">
        <f t="shared" si="163"/>
        <v>0.68547600952045262</v>
      </c>
      <c r="O405" s="86">
        <f t="shared" si="164"/>
        <v>-0.60828303507239156</v>
      </c>
      <c r="P405" s="87">
        <f t="shared" si="165"/>
        <v>0.26037696678397054</v>
      </c>
      <c r="Q405" s="86">
        <f t="shared" si="166"/>
        <v>-0.60828303507239168</v>
      </c>
      <c r="R405" s="85">
        <f t="shared" si="167"/>
        <v>-0.53768355360080733</v>
      </c>
    </row>
    <row r="406" spans="2:18">
      <c r="B406" s="83"/>
      <c r="C406" s="84">
        <v>177</v>
      </c>
      <c r="D406" s="84">
        <v>16</v>
      </c>
      <c r="E406" s="84">
        <v>1.80175</v>
      </c>
      <c r="F406" s="78"/>
      <c r="G406" s="85">
        <f t="shared" si="156"/>
        <v>0.81136372430602921</v>
      </c>
      <c r="H406" s="86">
        <f t="shared" si="157"/>
        <v>0.42063492063492058</v>
      </c>
      <c r="I406" s="85">
        <f t="shared" si="158"/>
        <v>-0.5</v>
      </c>
      <c r="J406" s="85">
        <f t="shared" si="159"/>
        <v>0.43688212927756653</v>
      </c>
      <c r="K406" s="86">
        <f t="shared" si="160"/>
        <v>-0.61371192623629101</v>
      </c>
      <c r="L406" s="87">
        <f t="shared" si="161"/>
        <v>0.26622229276247672</v>
      </c>
      <c r="M406" s="86">
        <f t="shared" si="162"/>
        <v>-0.29883623873011972</v>
      </c>
      <c r="N406" s="87">
        <f t="shared" si="163"/>
        <v>0.69877921344170413</v>
      </c>
      <c r="O406" s="86">
        <f t="shared" si="164"/>
        <v>-0.61371192623629101</v>
      </c>
      <c r="P406" s="87">
        <f t="shared" si="165"/>
        <v>0.26622229276247672</v>
      </c>
      <c r="Q406" s="86">
        <f t="shared" si="166"/>
        <v>-0.61371192623629112</v>
      </c>
      <c r="R406" s="85">
        <f t="shared" si="167"/>
        <v>-0.54514143154355255</v>
      </c>
    </row>
    <row r="407" spans="2:18">
      <c r="B407" s="83"/>
      <c r="C407" s="84">
        <v>180</v>
      </c>
      <c r="D407" s="84">
        <v>16</v>
      </c>
      <c r="E407" s="84">
        <v>1.8214999999999999</v>
      </c>
      <c r="F407" s="78"/>
      <c r="G407" s="85">
        <f t="shared" si="156"/>
        <v>0.82176920064047343</v>
      </c>
      <c r="H407" s="86">
        <f t="shared" si="157"/>
        <v>0.43650793650793651</v>
      </c>
      <c r="I407" s="85">
        <f t="shared" si="158"/>
        <v>-0.5</v>
      </c>
      <c r="J407" s="85">
        <f t="shared" si="159"/>
        <v>0.4488973384030418</v>
      </c>
      <c r="K407" s="86">
        <f t="shared" si="160"/>
        <v>-0.61914081740019056</v>
      </c>
      <c r="L407" s="87">
        <f t="shared" si="161"/>
        <v>0.26916989115417556</v>
      </c>
      <c r="M407" s="86">
        <f t="shared" si="162"/>
        <v>-0.29883623873011972</v>
      </c>
      <c r="N407" s="87">
        <f t="shared" si="163"/>
        <v>0.70918468977614824</v>
      </c>
      <c r="O407" s="86">
        <f t="shared" si="164"/>
        <v>-0.61914081740019056</v>
      </c>
      <c r="P407" s="87">
        <f t="shared" si="165"/>
        <v>0.26916989115417556</v>
      </c>
      <c r="Q407" s="86">
        <f t="shared" si="166"/>
        <v>-0.61914081740019067</v>
      </c>
      <c r="R407" s="85">
        <f t="shared" si="167"/>
        <v>-0.55259930948629787</v>
      </c>
    </row>
    <row r="408" spans="2:18">
      <c r="B408" s="83"/>
      <c r="C408" s="84">
        <v>183</v>
      </c>
      <c r="D408" s="84">
        <v>16</v>
      </c>
      <c r="E408" s="84">
        <v>1.8382499999999999</v>
      </c>
      <c r="F408" s="78"/>
      <c r="G408" s="85">
        <f t="shared" si="156"/>
        <v>0.83059409829120467</v>
      </c>
      <c r="H408" s="86">
        <f t="shared" si="157"/>
        <v>0.45238095238095233</v>
      </c>
      <c r="I408" s="85">
        <f t="shared" si="158"/>
        <v>-0.5</v>
      </c>
      <c r="J408" s="85">
        <f t="shared" si="159"/>
        <v>0.45908745247148286</v>
      </c>
      <c r="K408" s="86">
        <f t="shared" si="160"/>
        <v>-0.62456970856408989</v>
      </c>
      <c r="L408" s="87">
        <f t="shared" si="161"/>
        <v>0.27053691086216147</v>
      </c>
      <c r="M408" s="86">
        <f t="shared" si="162"/>
        <v>-0.29883623873011972</v>
      </c>
      <c r="N408" s="87">
        <f t="shared" si="163"/>
        <v>0.71800958742687948</v>
      </c>
      <c r="O408" s="86">
        <f t="shared" si="164"/>
        <v>-0.62456970856408989</v>
      </c>
      <c r="P408" s="87">
        <f t="shared" si="165"/>
        <v>0.27053691086216147</v>
      </c>
      <c r="Q408" s="86">
        <f t="shared" si="166"/>
        <v>-0.62456970856409011</v>
      </c>
      <c r="R408" s="85">
        <f t="shared" si="167"/>
        <v>-0.5600571874290432</v>
      </c>
    </row>
    <row r="409" spans="2:18">
      <c r="B409" s="83"/>
      <c r="C409" s="84">
        <v>186</v>
      </c>
      <c r="D409" s="84">
        <v>16</v>
      </c>
      <c r="E409" s="84">
        <v>1.8607499999999999</v>
      </c>
      <c r="F409" s="78"/>
      <c r="G409" s="85">
        <f t="shared" si="156"/>
        <v>0.84244843841905248</v>
      </c>
      <c r="H409" s="86">
        <f t="shared" si="157"/>
        <v>0.46825396825396826</v>
      </c>
      <c r="I409" s="85">
        <f t="shared" si="158"/>
        <v>-0.5</v>
      </c>
      <c r="J409" s="85">
        <f t="shared" si="159"/>
        <v>0.47277566539923954</v>
      </c>
      <c r="K409" s="86">
        <f t="shared" ref="K409:K440" si="168">(H409*$H$13+I409*$I$13+J409*$J$13+$D$27)*$C$27</f>
        <v>-0.62999859972798944</v>
      </c>
      <c r="L409" s="87">
        <f t="shared" si="161"/>
        <v>0.27493337304726401</v>
      </c>
      <c r="M409" s="86">
        <f t="shared" si="162"/>
        <v>-0.29883623873011972</v>
      </c>
      <c r="N409" s="87">
        <f t="shared" si="163"/>
        <v>0.72986392755472729</v>
      </c>
      <c r="O409" s="86">
        <f t="shared" si="164"/>
        <v>-0.62999859972798944</v>
      </c>
      <c r="P409" s="87">
        <f t="shared" si="165"/>
        <v>0.27493337304726401</v>
      </c>
      <c r="Q409" s="86">
        <f t="shared" si="166"/>
        <v>-0.62999859972798966</v>
      </c>
      <c r="R409" s="85">
        <f t="shared" si="167"/>
        <v>-0.56751506537178842</v>
      </c>
    </row>
    <row r="410" spans="2:18">
      <c r="B410" s="83"/>
      <c r="C410" s="84">
        <v>189</v>
      </c>
      <c r="D410" s="84">
        <v>16</v>
      </c>
      <c r="E410" s="84">
        <v>1.881</v>
      </c>
      <c r="F410" s="78"/>
      <c r="G410" s="85">
        <f t="shared" si="156"/>
        <v>0.85311734453411547</v>
      </c>
      <c r="H410" s="86">
        <f t="shared" si="157"/>
        <v>0.48412698412698407</v>
      </c>
      <c r="I410" s="85">
        <f t="shared" si="158"/>
        <v>-0.5</v>
      </c>
      <c r="J410" s="85">
        <f t="shared" si="159"/>
        <v>0.48509505703422051</v>
      </c>
      <c r="K410" s="86">
        <f t="shared" si="168"/>
        <v>-0.63542749089188899</v>
      </c>
      <c r="L410" s="87">
        <f t="shared" si="161"/>
        <v>0.27814440121958173</v>
      </c>
      <c r="M410" s="86">
        <f t="shared" si="162"/>
        <v>-0.29883623873011972</v>
      </c>
      <c r="N410" s="87">
        <f t="shared" si="163"/>
        <v>0.74053283366979028</v>
      </c>
      <c r="O410" s="86">
        <f t="shared" si="164"/>
        <v>-0.63542749089188899</v>
      </c>
      <c r="P410" s="87">
        <f t="shared" si="165"/>
        <v>0.27814440121958173</v>
      </c>
      <c r="Q410" s="86">
        <f t="shared" si="166"/>
        <v>-0.63542749089188921</v>
      </c>
      <c r="R410" s="85">
        <f t="shared" si="167"/>
        <v>-0.57497294331453375</v>
      </c>
    </row>
    <row r="411" spans="2:18">
      <c r="B411" s="83"/>
      <c r="C411" s="84">
        <v>192</v>
      </c>
      <c r="D411" s="84">
        <v>16</v>
      </c>
      <c r="E411" s="84">
        <v>1.9055</v>
      </c>
      <c r="F411" s="78"/>
      <c r="G411" s="85">
        <f t="shared" si="156"/>
        <v>0.86602540378443871</v>
      </c>
      <c r="H411" s="86">
        <f t="shared" si="157"/>
        <v>0.5</v>
      </c>
      <c r="I411" s="85">
        <f t="shared" si="158"/>
        <v>-0.5</v>
      </c>
      <c r="J411" s="85">
        <f t="shared" si="159"/>
        <v>0.5</v>
      </c>
      <c r="K411" s="86">
        <f t="shared" si="168"/>
        <v>-0.64085638205578843</v>
      </c>
      <c r="L411" s="87">
        <f t="shared" si="161"/>
        <v>0.28359458252715963</v>
      </c>
      <c r="M411" s="86">
        <f t="shared" si="162"/>
        <v>-0.29883623873011972</v>
      </c>
      <c r="N411" s="87">
        <f t="shared" si="163"/>
        <v>0.75344089292011351</v>
      </c>
      <c r="O411" s="86">
        <f t="shared" si="164"/>
        <v>-0.64085638205578843</v>
      </c>
      <c r="P411" s="87">
        <f t="shared" si="165"/>
        <v>0.28359458252715963</v>
      </c>
      <c r="Q411" s="86">
        <f t="shared" si="166"/>
        <v>-0.64085638205578865</v>
      </c>
      <c r="R411" s="85">
        <f t="shared" si="167"/>
        <v>-0.58243082125727907</v>
      </c>
    </row>
    <row r="412" spans="2:18">
      <c r="F412"/>
      <c r="G412"/>
    </row>
    <row r="413" spans="2:18">
      <c r="F413"/>
      <c r="G413"/>
    </row>
    <row r="414" spans="2:18">
      <c r="F414"/>
      <c r="G414"/>
    </row>
    <row r="415" spans="2:18">
      <c r="F415"/>
      <c r="G415"/>
    </row>
    <row r="416" spans="2:18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  <row r="2024" spans="6:7">
      <c r="F2024"/>
      <c r="G2024"/>
    </row>
    <row r="2025" spans="6:7">
      <c r="F2025"/>
      <c r="G2025"/>
    </row>
    <row r="2026" spans="6:7">
      <c r="F2026"/>
      <c r="G2026"/>
    </row>
    <row r="2027" spans="6:7">
      <c r="F2027"/>
      <c r="G2027"/>
    </row>
    <row r="2028" spans="6:7">
      <c r="F2028"/>
      <c r="G2028"/>
    </row>
    <row r="2029" spans="6:7">
      <c r="F2029"/>
      <c r="G2029"/>
    </row>
    <row r="2030" spans="6:7">
      <c r="F2030"/>
      <c r="G2030"/>
    </row>
    <row r="2031" spans="6:7">
      <c r="F2031"/>
      <c r="G2031"/>
    </row>
    <row r="2032" spans="6:7">
      <c r="F2032"/>
      <c r="G2032"/>
    </row>
    <row r="2033" spans="6:7">
      <c r="F2033"/>
      <c r="G2033"/>
    </row>
    <row r="2034" spans="6:7">
      <c r="F2034"/>
      <c r="G2034"/>
    </row>
    <row r="2035" spans="6:7">
      <c r="F2035"/>
      <c r="G2035"/>
    </row>
    <row r="2036" spans="6:7">
      <c r="F2036"/>
      <c r="G2036"/>
    </row>
    <row r="2037" spans="6:7">
      <c r="F2037"/>
      <c r="G2037"/>
    </row>
    <row r="2038" spans="6:7">
      <c r="F2038"/>
      <c r="G2038"/>
    </row>
    <row r="2039" spans="6:7">
      <c r="F2039"/>
      <c r="G2039"/>
    </row>
    <row r="2040" spans="6:7">
      <c r="F2040"/>
      <c r="G2040"/>
    </row>
    <row r="2041" spans="6:7">
      <c r="F2041"/>
      <c r="G2041"/>
    </row>
    <row r="2042" spans="6:7">
      <c r="F2042"/>
      <c r="G2042"/>
    </row>
    <row r="2043" spans="6:7">
      <c r="F2043"/>
      <c r="G2043"/>
    </row>
    <row r="2044" spans="6:7">
      <c r="F2044"/>
      <c r="G2044"/>
    </row>
    <row r="2045" spans="6:7">
      <c r="F2045"/>
      <c r="G2045"/>
    </row>
    <row r="2046" spans="6:7">
      <c r="F2046"/>
      <c r="G2046"/>
    </row>
    <row r="2047" spans="6:7">
      <c r="F2047"/>
      <c r="G2047"/>
    </row>
    <row r="2048" spans="6:7">
      <c r="F2048"/>
      <c r="G2048"/>
    </row>
    <row r="2049" spans="6:7">
      <c r="F2049"/>
      <c r="G2049"/>
    </row>
    <row r="2050" spans="6:7">
      <c r="F2050"/>
      <c r="G2050"/>
    </row>
    <row r="2051" spans="6:7">
      <c r="F2051"/>
      <c r="G2051"/>
    </row>
    <row r="2052" spans="6:7">
      <c r="F2052"/>
      <c r="G2052"/>
    </row>
    <row r="2053" spans="6:7">
      <c r="F2053"/>
      <c r="G2053"/>
    </row>
    <row r="2054" spans="6:7">
      <c r="F2054"/>
      <c r="G2054"/>
    </row>
    <row r="2055" spans="6:7">
      <c r="F2055"/>
      <c r="G2055"/>
    </row>
    <row r="2056" spans="6:7">
      <c r="F2056"/>
      <c r="G2056"/>
    </row>
    <row r="2057" spans="6:7">
      <c r="F2057"/>
      <c r="G2057"/>
    </row>
    <row r="2058" spans="6:7">
      <c r="F2058"/>
      <c r="G2058"/>
    </row>
    <row r="2059" spans="6:7">
      <c r="F2059"/>
      <c r="G2059"/>
    </row>
    <row r="2060" spans="6:7">
      <c r="F2060"/>
      <c r="G2060"/>
    </row>
    <row r="2061" spans="6:7">
      <c r="F2061"/>
      <c r="G2061"/>
    </row>
    <row r="2062" spans="6:7">
      <c r="F2062"/>
      <c r="G2062"/>
    </row>
    <row r="2063" spans="6:7">
      <c r="F2063"/>
      <c r="G2063"/>
    </row>
    <row r="2064" spans="6:7">
      <c r="F2064"/>
      <c r="G2064"/>
    </row>
    <row r="2065" spans="6:7">
      <c r="F2065"/>
      <c r="G2065"/>
    </row>
    <row r="2066" spans="6:7">
      <c r="F2066"/>
      <c r="G2066"/>
    </row>
    <row r="2067" spans="6:7">
      <c r="F2067"/>
      <c r="G2067"/>
    </row>
    <row r="2068" spans="6:7">
      <c r="F2068"/>
      <c r="G2068"/>
    </row>
    <row r="2069" spans="6:7">
      <c r="F2069"/>
      <c r="G2069"/>
    </row>
    <row r="2070" spans="6:7">
      <c r="F2070"/>
      <c r="G2070"/>
    </row>
    <row r="2071" spans="6:7">
      <c r="F2071"/>
      <c r="G2071"/>
    </row>
    <row r="2072" spans="6:7">
      <c r="F2072"/>
      <c r="G2072"/>
    </row>
    <row r="2073" spans="6:7">
      <c r="F2073"/>
      <c r="G2073"/>
    </row>
    <row r="2074" spans="6:7">
      <c r="F2074"/>
      <c r="G2074"/>
    </row>
    <row r="2075" spans="6:7">
      <c r="F2075"/>
      <c r="G2075"/>
    </row>
    <row r="2076" spans="6:7">
      <c r="F2076"/>
      <c r="G2076"/>
    </row>
    <row r="2077" spans="6:7">
      <c r="F2077"/>
      <c r="G2077"/>
    </row>
    <row r="2078" spans="6:7">
      <c r="F2078"/>
      <c r="G2078"/>
    </row>
    <row r="2079" spans="6:7">
      <c r="F2079"/>
      <c r="G2079"/>
    </row>
    <row r="2080" spans="6:7">
      <c r="F2080"/>
      <c r="G2080"/>
    </row>
    <row r="2081" spans="6:7">
      <c r="F2081"/>
      <c r="G2081"/>
    </row>
    <row r="2082" spans="6:7">
      <c r="F2082"/>
      <c r="G2082"/>
    </row>
    <row r="2083" spans="6:7">
      <c r="F2083"/>
      <c r="G2083"/>
    </row>
    <row r="2084" spans="6:7">
      <c r="F2084"/>
      <c r="G2084"/>
    </row>
    <row r="2085" spans="6:7">
      <c r="F2085"/>
      <c r="G2085"/>
    </row>
    <row r="2086" spans="6:7">
      <c r="F2086"/>
      <c r="G2086"/>
    </row>
    <row r="2087" spans="6:7">
      <c r="F2087"/>
      <c r="G2087"/>
    </row>
    <row r="2088" spans="6:7">
      <c r="F2088"/>
      <c r="G2088"/>
    </row>
    <row r="2089" spans="6:7">
      <c r="F2089"/>
      <c r="G2089"/>
    </row>
    <row r="2090" spans="6:7">
      <c r="F2090"/>
      <c r="G2090"/>
    </row>
    <row r="2091" spans="6:7">
      <c r="F2091"/>
      <c r="G2091"/>
    </row>
    <row r="2092" spans="6:7">
      <c r="F2092"/>
      <c r="G2092"/>
    </row>
    <row r="2093" spans="6:7">
      <c r="F2093"/>
      <c r="G2093"/>
    </row>
    <row r="2094" spans="6:7">
      <c r="F2094"/>
      <c r="G2094"/>
    </row>
    <row r="2095" spans="6:7">
      <c r="F2095"/>
      <c r="G2095"/>
    </row>
    <row r="2096" spans="6:7">
      <c r="F2096"/>
      <c r="G2096"/>
    </row>
    <row r="2097" spans="6:7">
      <c r="F2097"/>
      <c r="G2097"/>
    </row>
    <row r="2098" spans="6:7">
      <c r="F2098"/>
      <c r="G2098"/>
    </row>
    <row r="2099" spans="6:7">
      <c r="F2099"/>
      <c r="G2099"/>
    </row>
    <row r="2100" spans="6:7">
      <c r="F2100"/>
      <c r="G2100"/>
    </row>
    <row r="2101" spans="6:7">
      <c r="F2101"/>
      <c r="G2101"/>
    </row>
    <row r="2102" spans="6:7">
      <c r="F2102"/>
      <c r="G2102"/>
    </row>
    <row r="2103" spans="6:7">
      <c r="F2103"/>
      <c r="G2103"/>
    </row>
    <row r="2104" spans="6:7">
      <c r="F2104"/>
      <c r="G2104"/>
    </row>
    <row r="2105" spans="6:7">
      <c r="F2105"/>
      <c r="G2105"/>
    </row>
    <row r="2106" spans="6:7">
      <c r="F2106"/>
      <c r="G2106"/>
    </row>
    <row r="2107" spans="6:7">
      <c r="F2107"/>
      <c r="G2107"/>
    </row>
    <row r="2108" spans="6:7">
      <c r="F2108"/>
      <c r="G2108"/>
    </row>
    <row r="2109" spans="6:7">
      <c r="F2109"/>
      <c r="G2109"/>
    </row>
    <row r="2110" spans="6:7">
      <c r="F2110"/>
      <c r="G2110"/>
    </row>
    <row r="2111" spans="6:7">
      <c r="F2111"/>
      <c r="G2111"/>
    </row>
    <row r="2112" spans="6:7">
      <c r="F2112"/>
      <c r="G2112"/>
    </row>
    <row r="2113" spans="6:7">
      <c r="F2113"/>
      <c r="G2113"/>
    </row>
    <row r="2114" spans="6:7">
      <c r="F2114"/>
      <c r="G2114"/>
    </row>
    <row r="2115" spans="6:7">
      <c r="F2115"/>
      <c r="G2115"/>
    </row>
    <row r="2116" spans="6:7">
      <c r="F2116"/>
      <c r="G2116"/>
    </row>
    <row r="2117" spans="6:7">
      <c r="F2117"/>
      <c r="G2117"/>
    </row>
    <row r="2118" spans="6:7">
      <c r="F2118"/>
      <c r="G2118"/>
    </row>
    <row r="2119" spans="6:7">
      <c r="F2119"/>
      <c r="G2119"/>
    </row>
    <row r="2120" spans="6:7">
      <c r="F2120"/>
      <c r="G2120"/>
    </row>
    <row r="2121" spans="6:7">
      <c r="F2121"/>
      <c r="G2121"/>
    </row>
    <row r="2122" spans="6:7">
      <c r="F2122"/>
      <c r="G2122"/>
    </row>
    <row r="2123" spans="6:7">
      <c r="F2123"/>
      <c r="G2123"/>
    </row>
    <row r="2124" spans="6:7">
      <c r="F2124"/>
      <c r="G2124"/>
    </row>
    <row r="2125" spans="6:7">
      <c r="F2125"/>
      <c r="G2125"/>
    </row>
    <row r="2126" spans="6:7">
      <c r="F2126"/>
      <c r="G2126"/>
    </row>
    <row r="2127" spans="6:7">
      <c r="F2127"/>
      <c r="G2127"/>
    </row>
    <row r="2128" spans="6:7">
      <c r="F2128"/>
      <c r="G2128"/>
    </row>
    <row r="2129" spans="6:7">
      <c r="F2129"/>
      <c r="G2129"/>
    </row>
    <row r="2130" spans="6:7">
      <c r="F2130"/>
      <c r="G2130"/>
    </row>
    <row r="2131" spans="6:7">
      <c r="F2131"/>
      <c r="G2131"/>
    </row>
    <row r="2132" spans="6:7">
      <c r="F2132"/>
      <c r="G2132"/>
    </row>
    <row r="2133" spans="6:7">
      <c r="F2133"/>
      <c r="G2133"/>
    </row>
    <row r="2134" spans="6:7">
      <c r="F2134"/>
      <c r="G2134"/>
    </row>
    <row r="2135" spans="6:7">
      <c r="F2135"/>
      <c r="G2135"/>
    </row>
    <row r="2136" spans="6:7">
      <c r="F2136"/>
      <c r="G2136"/>
    </row>
    <row r="2137" spans="6:7">
      <c r="F2137"/>
      <c r="G2137"/>
    </row>
    <row r="2138" spans="6:7">
      <c r="F2138"/>
      <c r="G2138"/>
    </row>
    <row r="2139" spans="6:7">
      <c r="F2139"/>
      <c r="G2139"/>
    </row>
    <row r="2140" spans="6:7">
      <c r="F2140"/>
      <c r="G2140"/>
    </row>
    <row r="2141" spans="6:7">
      <c r="F2141"/>
      <c r="G2141"/>
    </row>
    <row r="2142" spans="6:7">
      <c r="F2142"/>
      <c r="G2142"/>
    </row>
    <row r="2143" spans="6:7">
      <c r="F2143"/>
      <c r="G2143"/>
    </row>
    <row r="2144" spans="6:7">
      <c r="F2144"/>
      <c r="G2144"/>
    </row>
    <row r="2145" spans="6:7">
      <c r="F2145"/>
      <c r="G2145"/>
    </row>
    <row r="2146" spans="6:7">
      <c r="F2146"/>
      <c r="G2146"/>
    </row>
    <row r="2147" spans="6:7">
      <c r="F2147"/>
      <c r="G2147"/>
    </row>
    <row r="2148" spans="6:7">
      <c r="F2148"/>
      <c r="G2148"/>
    </row>
    <row r="2149" spans="6:7">
      <c r="F2149"/>
      <c r="G2149"/>
    </row>
    <row r="2150" spans="6:7">
      <c r="F2150"/>
      <c r="G2150"/>
    </row>
    <row r="2151" spans="6:7">
      <c r="F2151"/>
      <c r="G2151"/>
    </row>
    <row r="2152" spans="6:7">
      <c r="F2152"/>
      <c r="G2152"/>
    </row>
    <row r="2153" spans="6:7">
      <c r="F2153"/>
      <c r="G2153"/>
    </row>
    <row r="2154" spans="6:7">
      <c r="F2154"/>
      <c r="G2154"/>
    </row>
  </sheetData>
  <phoneticPr fontId="4"/>
  <dataValidations count="1">
    <dataValidation allowBlank="1" showInputMessage="1" showErrorMessage="1" sqref="F33:R411 B33:B411"/>
  </dataValidations>
  <pageMargins left="0.75" right="0.75" top="1" bottom="1" header="0.5" footer="0.5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3" name="Slider rot x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5</xdr:col>
                    <xdr:colOff>952500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" name="Slider rot y">
              <controlPr defaultSize="0" autoPict="0">
                <anchor moveWithCells="1">
                  <from>
                    <xdr:col>2</xdr:col>
                    <xdr:colOff>28575</xdr:colOff>
                    <xdr:row>10</xdr:row>
                    <xdr:rowOff>0</xdr:rowOff>
                  </from>
                  <to>
                    <xdr:col>5</xdr:col>
                    <xdr:colOff>952500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" name="Slider rot z">
              <controlPr defaultSize="0" autoPict="0">
                <anchor moveWithCells="1">
                  <from>
                    <xdr:col>2</xdr:col>
                    <xdr:colOff>28575</xdr:colOff>
                    <xdr:row>11</xdr:row>
                    <xdr:rowOff>0</xdr:rowOff>
                  </from>
                  <to>
                    <xdr:col>5</xdr:col>
                    <xdr:colOff>952500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6" name="Slider proj x">
              <controlPr defaultSize="0" autoPict="0">
                <anchor moveWithCells="1">
                  <from>
                    <xdr:col>2</xdr:col>
                    <xdr:colOff>28575</xdr:colOff>
                    <xdr:row>15</xdr:row>
                    <xdr:rowOff>0</xdr:rowOff>
                  </from>
                  <to>
                    <xdr:col>5</xdr:col>
                    <xdr:colOff>952500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" name="Slider proj y">
              <controlPr defaultSize="0" autoPict="0">
                <anchor moveWithCells="1">
                  <from>
                    <xdr:col>2</xdr:col>
                    <xdr:colOff>28575</xdr:colOff>
                    <xdr:row>16</xdr:row>
                    <xdr:rowOff>0</xdr:rowOff>
                  </from>
                  <to>
                    <xdr:col>5</xdr:col>
                    <xdr:colOff>952500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Slider proj z">
              <controlPr defaultSize="0" autoPict="0">
                <anchor moveWithCells="1">
                  <from>
                    <xdr:col>2</xdr:col>
                    <xdr:colOff>28575</xdr:colOff>
                    <xdr:row>17</xdr:row>
                    <xdr:rowOff>0</xdr:rowOff>
                  </from>
                  <to>
                    <xdr:col>5</xdr:col>
                    <xdr:colOff>952500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" name="Slider zoom">
              <controlPr defaultSize="0" autoPict="0">
                <anchor moveWithCells="1">
                  <from>
                    <xdr:col>2</xdr:col>
                    <xdr:colOff>28575</xdr:colOff>
                    <xdr:row>19</xdr:row>
                    <xdr:rowOff>9525</xdr:rowOff>
                  </from>
                  <to>
                    <xdr:col>5</xdr:col>
                    <xdr:colOff>952500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" name="Slider shift x">
              <controlPr defaultSize="0" autoPict="0">
                <anchor moveWithCells="1">
                  <from>
                    <xdr:col>2</xdr:col>
                    <xdr:colOff>28575</xdr:colOff>
                    <xdr:row>20</xdr:row>
                    <xdr:rowOff>0</xdr:rowOff>
                  </from>
                  <to>
                    <xdr:col>5</xdr:col>
                    <xdr:colOff>952500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1" name="Slider shift y">
              <controlPr defaultSize="0" autoPict="0">
                <anchor moveWithCells="1">
                  <from>
                    <xdr:col>2</xdr:col>
                    <xdr:colOff>28575</xdr:colOff>
                    <xdr:row>21</xdr:row>
                    <xdr:rowOff>9525</xdr:rowOff>
                  </from>
                  <to>
                    <xdr:col>5</xdr:col>
                    <xdr:colOff>952500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" name="ToscaleSwitch">
              <controlPr defaultSize="0" autoFill="0" autoLine="0" autoPict="0">
                <anchor moveWithCells="1">
                  <from>
                    <xdr:col>1</xdr:col>
                    <xdr:colOff>714375</xdr:colOff>
                    <xdr:row>21</xdr:row>
                    <xdr:rowOff>180975</xdr:rowOff>
                  </from>
                  <to>
                    <xdr:col>3</xdr:col>
                    <xdr:colOff>257175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13" name="ZdropLines">
              <controlPr defaultSize="0" autoFill="0" autoLine="0" autoPict="0">
                <anchor moveWithCells="1">
                  <from>
                    <xdr:col>1</xdr:col>
                    <xdr:colOff>714375</xdr:colOff>
                    <xdr:row>17</xdr:row>
                    <xdr:rowOff>190500</xdr:rowOff>
                  </from>
                  <to>
                    <xdr:col>2</xdr:col>
                    <xdr:colOff>904875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plot</vt:lpstr>
      <vt:lpstr>firstLabel</vt:lpstr>
      <vt:lpstr>firstZ</vt:lpstr>
      <vt:lpstr>NrPoints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</dc:creator>
  <cp:lastModifiedBy>Jochen Schwander</cp:lastModifiedBy>
  <dcterms:created xsi:type="dcterms:W3CDTF">2012-09-19T17:34:13Z</dcterms:created>
  <dcterms:modified xsi:type="dcterms:W3CDTF">2014-06-23T14:04:33Z</dcterms:modified>
</cp:coreProperties>
</file>