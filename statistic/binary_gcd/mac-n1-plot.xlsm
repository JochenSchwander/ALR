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date1904="1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Hochschule\ALR\vs2012project\rsa_cracker\rsa_cracker\alr\statistic\"/>
    </mc:Choice>
  </mc:AlternateContent>
  <bookViews>
    <workbookView xWindow="75" yWindow="0" windowWidth="36840" windowHeight="19575" tabRatio="500"/>
  </bookViews>
  <sheets>
    <sheet name="plot" sheetId="1" r:id="rId1"/>
  </sheets>
  <definedNames>
    <definedName name="_xlnm._FilterDatabase" localSheetId="0" hidden="1">plot!$B$32:$R$333</definedName>
    <definedName name="firstLabel">plot!$B$33</definedName>
    <definedName name="firstZ">plot!$E$33</definedName>
    <definedName name="NrPoints">plot!$H$8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190" i="1"/>
  <c r="I16" i="1"/>
  <c r="I17" i="1"/>
  <c r="I190" i="1"/>
  <c r="J16" i="1"/>
  <c r="J17" i="1"/>
  <c r="J190" i="1"/>
  <c r="H18" i="1"/>
  <c r="H11" i="1"/>
  <c r="H12" i="1"/>
  <c r="I11" i="1"/>
  <c r="J12" i="1"/>
  <c r="J11" i="1"/>
  <c r="H14" i="1"/>
  <c r="I18" i="1"/>
  <c r="I14" i="1"/>
  <c r="J18" i="1"/>
  <c r="I12" i="1"/>
  <c r="J14" i="1"/>
  <c r="C27" i="1"/>
  <c r="E27" i="1"/>
  <c r="L190" i="1"/>
  <c r="J27" i="1"/>
  <c r="R190" i="1"/>
  <c r="G190" i="1"/>
  <c r="H191" i="1"/>
  <c r="I191" i="1"/>
  <c r="J191" i="1"/>
  <c r="L191" i="1"/>
  <c r="R191" i="1"/>
  <c r="G191" i="1"/>
  <c r="H192" i="1"/>
  <c r="I192" i="1"/>
  <c r="J192" i="1"/>
  <c r="L192" i="1"/>
  <c r="R192" i="1"/>
  <c r="G192" i="1"/>
  <c r="H193" i="1"/>
  <c r="I193" i="1"/>
  <c r="J193" i="1"/>
  <c r="L193" i="1"/>
  <c r="R193" i="1"/>
  <c r="G193" i="1"/>
  <c r="H194" i="1"/>
  <c r="I194" i="1"/>
  <c r="J194" i="1"/>
  <c r="L194" i="1"/>
  <c r="R194" i="1"/>
  <c r="G194" i="1"/>
  <c r="H195" i="1"/>
  <c r="I195" i="1"/>
  <c r="J195" i="1"/>
  <c r="L195" i="1"/>
  <c r="R195" i="1"/>
  <c r="G195" i="1"/>
  <c r="H196" i="1"/>
  <c r="I196" i="1"/>
  <c r="J196" i="1"/>
  <c r="L196" i="1"/>
  <c r="R196" i="1"/>
  <c r="G196" i="1"/>
  <c r="H197" i="1"/>
  <c r="I197" i="1"/>
  <c r="J197" i="1"/>
  <c r="L197" i="1"/>
  <c r="R197" i="1"/>
  <c r="G197" i="1"/>
  <c r="H198" i="1"/>
  <c r="I198" i="1"/>
  <c r="J198" i="1"/>
  <c r="L198" i="1"/>
  <c r="R198" i="1"/>
  <c r="G198" i="1"/>
  <c r="H199" i="1"/>
  <c r="I199" i="1"/>
  <c r="J199" i="1"/>
  <c r="L199" i="1"/>
  <c r="R199" i="1"/>
  <c r="G199" i="1"/>
  <c r="H200" i="1"/>
  <c r="I200" i="1"/>
  <c r="J200" i="1"/>
  <c r="L200" i="1"/>
  <c r="R200" i="1"/>
  <c r="G200" i="1"/>
  <c r="H201" i="1"/>
  <c r="I201" i="1"/>
  <c r="J201" i="1"/>
  <c r="L201" i="1"/>
  <c r="R201" i="1"/>
  <c r="G201" i="1"/>
  <c r="H202" i="1"/>
  <c r="I202" i="1"/>
  <c r="J202" i="1"/>
  <c r="L202" i="1"/>
  <c r="R202" i="1"/>
  <c r="G202" i="1"/>
  <c r="H203" i="1"/>
  <c r="I203" i="1"/>
  <c r="J203" i="1"/>
  <c r="L203" i="1"/>
  <c r="R203" i="1"/>
  <c r="G203" i="1"/>
  <c r="H204" i="1"/>
  <c r="I204" i="1"/>
  <c r="J204" i="1"/>
  <c r="L204" i="1"/>
  <c r="R204" i="1"/>
  <c r="G204" i="1"/>
  <c r="H205" i="1"/>
  <c r="I205" i="1"/>
  <c r="J205" i="1"/>
  <c r="L205" i="1"/>
  <c r="R205" i="1"/>
  <c r="G205" i="1"/>
  <c r="H206" i="1"/>
  <c r="I206" i="1"/>
  <c r="J206" i="1"/>
  <c r="L206" i="1"/>
  <c r="R206" i="1"/>
  <c r="G206" i="1"/>
  <c r="H207" i="1"/>
  <c r="I207" i="1"/>
  <c r="J207" i="1"/>
  <c r="L207" i="1"/>
  <c r="R207" i="1"/>
  <c r="G207" i="1"/>
  <c r="H208" i="1"/>
  <c r="I208" i="1"/>
  <c r="J208" i="1"/>
  <c r="L208" i="1"/>
  <c r="R208" i="1"/>
  <c r="G208" i="1"/>
  <c r="H209" i="1"/>
  <c r="I209" i="1"/>
  <c r="J209" i="1"/>
  <c r="L209" i="1"/>
  <c r="R209" i="1"/>
  <c r="G209" i="1"/>
  <c r="H210" i="1"/>
  <c r="I210" i="1"/>
  <c r="J210" i="1"/>
  <c r="L210" i="1"/>
  <c r="R210" i="1"/>
  <c r="G210" i="1"/>
  <c r="H211" i="1"/>
  <c r="I211" i="1"/>
  <c r="J211" i="1"/>
  <c r="L211" i="1"/>
  <c r="R211" i="1"/>
  <c r="G211" i="1"/>
  <c r="H212" i="1"/>
  <c r="I212" i="1"/>
  <c r="J212" i="1"/>
  <c r="L212" i="1"/>
  <c r="R212" i="1"/>
  <c r="G212" i="1"/>
  <c r="H213" i="1"/>
  <c r="I213" i="1"/>
  <c r="J213" i="1"/>
  <c r="L213" i="1"/>
  <c r="R213" i="1"/>
  <c r="G213" i="1"/>
  <c r="H214" i="1"/>
  <c r="I214" i="1"/>
  <c r="J214" i="1"/>
  <c r="L214" i="1"/>
  <c r="R214" i="1"/>
  <c r="G214" i="1"/>
  <c r="H215" i="1"/>
  <c r="I215" i="1"/>
  <c r="J215" i="1"/>
  <c r="L215" i="1"/>
  <c r="R215" i="1"/>
  <c r="G215" i="1"/>
  <c r="H216" i="1"/>
  <c r="I216" i="1"/>
  <c r="J216" i="1"/>
  <c r="L216" i="1"/>
  <c r="R216" i="1"/>
  <c r="G216" i="1"/>
  <c r="H217" i="1"/>
  <c r="I217" i="1"/>
  <c r="J217" i="1"/>
  <c r="L217" i="1"/>
  <c r="R217" i="1"/>
  <c r="G217" i="1"/>
  <c r="H218" i="1"/>
  <c r="I218" i="1"/>
  <c r="J218" i="1"/>
  <c r="L218" i="1"/>
  <c r="R218" i="1"/>
  <c r="G218" i="1"/>
  <c r="H219" i="1"/>
  <c r="I219" i="1"/>
  <c r="J219" i="1"/>
  <c r="L219" i="1"/>
  <c r="R219" i="1"/>
  <c r="G219" i="1"/>
  <c r="H220" i="1"/>
  <c r="I220" i="1"/>
  <c r="J220" i="1"/>
  <c r="L220" i="1"/>
  <c r="R220" i="1"/>
  <c r="G220" i="1"/>
  <c r="H221" i="1"/>
  <c r="I221" i="1"/>
  <c r="J221" i="1"/>
  <c r="L221" i="1"/>
  <c r="R221" i="1"/>
  <c r="G221" i="1"/>
  <c r="H222" i="1"/>
  <c r="I222" i="1"/>
  <c r="J222" i="1"/>
  <c r="L222" i="1"/>
  <c r="R222" i="1"/>
  <c r="G222" i="1"/>
  <c r="H223" i="1"/>
  <c r="I223" i="1"/>
  <c r="J223" i="1"/>
  <c r="L223" i="1"/>
  <c r="R223" i="1"/>
  <c r="G223" i="1"/>
  <c r="H224" i="1"/>
  <c r="I224" i="1"/>
  <c r="J224" i="1"/>
  <c r="L224" i="1"/>
  <c r="R224" i="1"/>
  <c r="G224" i="1"/>
  <c r="H225" i="1"/>
  <c r="I225" i="1"/>
  <c r="J225" i="1"/>
  <c r="L225" i="1"/>
  <c r="R225" i="1"/>
  <c r="G225" i="1"/>
  <c r="H226" i="1"/>
  <c r="I226" i="1"/>
  <c r="J226" i="1"/>
  <c r="L226" i="1"/>
  <c r="R226" i="1"/>
  <c r="G226" i="1"/>
  <c r="H227" i="1"/>
  <c r="I227" i="1"/>
  <c r="J227" i="1"/>
  <c r="L227" i="1"/>
  <c r="R227" i="1"/>
  <c r="G227" i="1"/>
  <c r="H228" i="1"/>
  <c r="I228" i="1"/>
  <c r="J228" i="1"/>
  <c r="L228" i="1"/>
  <c r="R228" i="1"/>
  <c r="G228" i="1"/>
  <c r="H229" i="1"/>
  <c r="I229" i="1"/>
  <c r="J229" i="1"/>
  <c r="L229" i="1"/>
  <c r="R229" i="1"/>
  <c r="G229" i="1"/>
  <c r="H230" i="1"/>
  <c r="I230" i="1"/>
  <c r="J230" i="1"/>
  <c r="L230" i="1"/>
  <c r="R230" i="1"/>
  <c r="G230" i="1"/>
  <c r="H231" i="1"/>
  <c r="I231" i="1"/>
  <c r="J231" i="1"/>
  <c r="L231" i="1"/>
  <c r="R231" i="1"/>
  <c r="G231" i="1"/>
  <c r="H232" i="1"/>
  <c r="I232" i="1"/>
  <c r="J232" i="1"/>
  <c r="L232" i="1"/>
  <c r="R232" i="1"/>
  <c r="G232" i="1"/>
  <c r="H233" i="1"/>
  <c r="I233" i="1"/>
  <c r="J233" i="1"/>
  <c r="L233" i="1"/>
  <c r="R233" i="1"/>
  <c r="G233" i="1"/>
  <c r="H234" i="1"/>
  <c r="I234" i="1"/>
  <c r="J234" i="1"/>
  <c r="L234" i="1"/>
  <c r="R234" i="1"/>
  <c r="G234" i="1"/>
  <c r="H235" i="1"/>
  <c r="I235" i="1"/>
  <c r="J235" i="1"/>
  <c r="L235" i="1"/>
  <c r="R235" i="1"/>
  <c r="G235" i="1"/>
  <c r="H236" i="1"/>
  <c r="I236" i="1"/>
  <c r="J236" i="1"/>
  <c r="L236" i="1"/>
  <c r="R236" i="1"/>
  <c r="G236" i="1"/>
  <c r="H237" i="1"/>
  <c r="I237" i="1"/>
  <c r="J237" i="1"/>
  <c r="L237" i="1"/>
  <c r="R237" i="1"/>
  <c r="G237" i="1"/>
  <c r="H238" i="1"/>
  <c r="I238" i="1"/>
  <c r="J238" i="1"/>
  <c r="L238" i="1"/>
  <c r="R238" i="1"/>
  <c r="G238" i="1"/>
  <c r="H239" i="1"/>
  <c r="I239" i="1"/>
  <c r="J239" i="1"/>
  <c r="L239" i="1"/>
  <c r="R239" i="1"/>
  <c r="G239" i="1"/>
  <c r="H240" i="1"/>
  <c r="I240" i="1"/>
  <c r="J240" i="1"/>
  <c r="L240" i="1"/>
  <c r="R240" i="1"/>
  <c r="G240" i="1"/>
  <c r="H241" i="1"/>
  <c r="I241" i="1"/>
  <c r="J241" i="1"/>
  <c r="L241" i="1"/>
  <c r="R241" i="1"/>
  <c r="G241" i="1"/>
  <c r="H242" i="1"/>
  <c r="I242" i="1"/>
  <c r="J242" i="1"/>
  <c r="L242" i="1"/>
  <c r="R242" i="1"/>
  <c r="G242" i="1"/>
  <c r="H243" i="1"/>
  <c r="I243" i="1"/>
  <c r="J243" i="1"/>
  <c r="L243" i="1"/>
  <c r="R243" i="1"/>
  <c r="G243" i="1"/>
  <c r="H244" i="1"/>
  <c r="I244" i="1"/>
  <c r="J244" i="1"/>
  <c r="L244" i="1"/>
  <c r="R244" i="1"/>
  <c r="G244" i="1"/>
  <c r="H245" i="1"/>
  <c r="I245" i="1"/>
  <c r="J245" i="1"/>
  <c r="L245" i="1"/>
  <c r="R245" i="1"/>
  <c r="G245" i="1"/>
  <c r="H246" i="1"/>
  <c r="I246" i="1"/>
  <c r="J246" i="1"/>
  <c r="L246" i="1"/>
  <c r="R246" i="1"/>
  <c r="G246" i="1"/>
  <c r="H247" i="1"/>
  <c r="I247" i="1"/>
  <c r="J247" i="1"/>
  <c r="L247" i="1"/>
  <c r="R247" i="1"/>
  <c r="G247" i="1"/>
  <c r="H248" i="1"/>
  <c r="I248" i="1"/>
  <c r="J248" i="1"/>
  <c r="L248" i="1"/>
  <c r="R248" i="1"/>
  <c r="G248" i="1"/>
  <c r="H249" i="1"/>
  <c r="I249" i="1"/>
  <c r="J249" i="1"/>
  <c r="L249" i="1"/>
  <c r="R249" i="1"/>
  <c r="G249" i="1"/>
  <c r="H250" i="1"/>
  <c r="I250" i="1"/>
  <c r="J250" i="1"/>
  <c r="L250" i="1"/>
  <c r="R250" i="1"/>
  <c r="G250" i="1"/>
  <c r="H251" i="1"/>
  <c r="I251" i="1"/>
  <c r="J251" i="1"/>
  <c r="L251" i="1"/>
  <c r="R251" i="1"/>
  <c r="G251" i="1"/>
  <c r="H252" i="1"/>
  <c r="I252" i="1"/>
  <c r="J252" i="1"/>
  <c r="L252" i="1"/>
  <c r="R252" i="1"/>
  <c r="G252" i="1"/>
  <c r="H253" i="1"/>
  <c r="I253" i="1"/>
  <c r="J253" i="1"/>
  <c r="L253" i="1"/>
  <c r="R253" i="1"/>
  <c r="G253" i="1"/>
  <c r="H254" i="1"/>
  <c r="I254" i="1"/>
  <c r="J254" i="1"/>
  <c r="L254" i="1"/>
  <c r="R254" i="1"/>
  <c r="G254" i="1"/>
  <c r="H255" i="1"/>
  <c r="I255" i="1"/>
  <c r="J255" i="1"/>
  <c r="L255" i="1"/>
  <c r="R255" i="1"/>
  <c r="G255" i="1"/>
  <c r="H256" i="1"/>
  <c r="I256" i="1"/>
  <c r="J256" i="1"/>
  <c r="L256" i="1"/>
  <c r="R256" i="1"/>
  <c r="G256" i="1"/>
  <c r="H257" i="1"/>
  <c r="I257" i="1"/>
  <c r="J257" i="1"/>
  <c r="L257" i="1"/>
  <c r="R257" i="1"/>
  <c r="G257" i="1"/>
  <c r="H258" i="1"/>
  <c r="I258" i="1"/>
  <c r="J258" i="1"/>
  <c r="L258" i="1"/>
  <c r="R258" i="1"/>
  <c r="G258" i="1"/>
  <c r="H259" i="1"/>
  <c r="I259" i="1"/>
  <c r="J259" i="1"/>
  <c r="L259" i="1"/>
  <c r="R259" i="1"/>
  <c r="G259" i="1"/>
  <c r="H260" i="1"/>
  <c r="I260" i="1"/>
  <c r="J260" i="1"/>
  <c r="L260" i="1"/>
  <c r="R260" i="1"/>
  <c r="G260" i="1"/>
  <c r="H261" i="1"/>
  <c r="I261" i="1"/>
  <c r="J261" i="1"/>
  <c r="L261" i="1"/>
  <c r="R261" i="1"/>
  <c r="G261" i="1"/>
  <c r="H262" i="1"/>
  <c r="I262" i="1"/>
  <c r="J262" i="1"/>
  <c r="L262" i="1"/>
  <c r="R262" i="1"/>
  <c r="G262" i="1"/>
  <c r="H263" i="1"/>
  <c r="I263" i="1"/>
  <c r="J263" i="1"/>
  <c r="L263" i="1"/>
  <c r="R263" i="1"/>
  <c r="G263" i="1"/>
  <c r="H264" i="1"/>
  <c r="I264" i="1"/>
  <c r="J264" i="1"/>
  <c r="L264" i="1"/>
  <c r="R264" i="1"/>
  <c r="G264" i="1"/>
  <c r="H265" i="1"/>
  <c r="I265" i="1"/>
  <c r="J265" i="1"/>
  <c r="L265" i="1"/>
  <c r="R265" i="1"/>
  <c r="G265" i="1"/>
  <c r="H266" i="1"/>
  <c r="I266" i="1"/>
  <c r="J266" i="1"/>
  <c r="L266" i="1"/>
  <c r="R266" i="1"/>
  <c r="G266" i="1"/>
  <c r="H267" i="1"/>
  <c r="I267" i="1"/>
  <c r="J267" i="1"/>
  <c r="L267" i="1"/>
  <c r="R267" i="1"/>
  <c r="G267" i="1"/>
  <c r="H268" i="1"/>
  <c r="I268" i="1"/>
  <c r="J268" i="1"/>
  <c r="L268" i="1"/>
  <c r="R268" i="1"/>
  <c r="G268" i="1"/>
  <c r="H269" i="1"/>
  <c r="I269" i="1"/>
  <c r="J269" i="1"/>
  <c r="L269" i="1"/>
  <c r="R269" i="1"/>
  <c r="G269" i="1"/>
  <c r="H270" i="1"/>
  <c r="I270" i="1"/>
  <c r="J270" i="1"/>
  <c r="L270" i="1"/>
  <c r="R270" i="1"/>
  <c r="G270" i="1"/>
  <c r="H271" i="1"/>
  <c r="I271" i="1"/>
  <c r="J271" i="1"/>
  <c r="L271" i="1"/>
  <c r="R271" i="1"/>
  <c r="G271" i="1"/>
  <c r="H272" i="1"/>
  <c r="I272" i="1"/>
  <c r="J272" i="1"/>
  <c r="L272" i="1"/>
  <c r="R272" i="1"/>
  <c r="G272" i="1"/>
  <c r="H273" i="1"/>
  <c r="I273" i="1"/>
  <c r="J273" i="1"/>
  <c r="L273" i="1"/>
  <c r="R273" i="1"/>
  <c r="G273" i="1"/>
  <c r="H274" i="1"/>
  <c r="I274" i="1"/>
  <c r="J274" i="1"/>
  <c r="L274" i="1"/>
  <c r="R274" i="1"/>
  <c r="G274" i="1"/>
  <c r="H275" i="1"/>
  <c r="I275" i="1"/>
  <c r="J275" i="1"/>
  <c r="L275" i="1"/>
  <c r="R275" i="1"/>
  <c r="G275" i="1"/>
  <c r="H276" i="1"/>
  <c r="I276" i="1"/>
  <c r="J276" i="1"/>
  <c r="L276" i="1"/>
  <c r="R276" i="1"/>
  <c r="G276" i="1"/>
  <c r="H277" i="1"/>
  <c r="I277" i="1"/>
  <c r="J277" i="1"/>
  <c r="L277" i="1"/>
  <c r="R277" i="1"/>
  <c r="G277" i="1"/>
  <c r="H278" i="1"/>
  <c r="I278" i="1"/>
  <c r="J278" i="1"/>
  <c r="L278" i="1"/>
  <c r="R278" i="1"/>
  <c r="G278" i="1"/>
  <c r="H279" i="1"/>
  <c r="I279" i="1"/>
  <c r="J279" i="1"/>
  <c r="L279" i="1"/>
  <c r="R279" i="1"/>
  <c r="G279" i="1"/>
  <c r="H280" i="1"/>
  <c r="I280" i="1"/>
  <c r="J280" i="1"/>
  <c r="L280" i="1"/>
  <c r="R280" i="1"/>
  <c r="G280" i="1"/>
  <c r="H13" i="1"/>
  <c r="I13" i="1"/>
  <c r="J13" i="1"/>
  <c r="D27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H27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I27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H40" i="1"/>
  <c r="I40" i="1"/>
  <c r="J40" i="1"/>
  <c r="L40" i="1"/>
  <c r="R40" i="1"/>
  <c r="G40" i="1"/>
  <c r="H41" i="1"/>
  <c r="I41" i="1"/>
  <c r="J41" i="1"/>
  <c r="L41" i="1"/>
  <c r="R41" i="1"/>
  <c r="G41" i="1"/>
  <c r="H42" i="1"/>
  <c r="I42" i="1"/>
  <c r="J42" i="1"/>
  <c r="L42" i="1"/>
  <c r="R42" i="1"/>
  <c r="G42" i="1"/>
  <c r="H43" i="1"/>
  <c r="I43" i="1"/>
  <c r="J43" i="1"/>
  <c r="L43" i="1"/>
  <c r="R43" i="1"/>
  <c r="G43" i="1"/>
  <c r="H44" i="1"/>
  <c r="I44" i="1"/>
  <c r="J44" i="1"/>
  <c r="L44" i="1"/>
  <c r="R44" i="1"/>
  <c r="G44" i="1"/>
  <c r="H45" i="1"/>
  <c r="I45" i="1"/>
  <c r="J45" i="1"/>
  <c r="L45" i="1"/>
  <c r="R45" i="1"/>
  <c r="G45" i="1"/>
  <c r="H46" i="1"/>
  <c r="I46" i="1"/>
  <c r="J46" i="1"/>
  <c r="L46" i="1"/>
  <c r="R46" i="1"/>
  <c r="G46" i="1"/>
  <c r="H47" i="1"/>
  <c r="I47" i="1"/>
  <c r="J47" i="1"/>
  <c r="L47" i="1"/>
  <c r="R47" i="1"/>
  <c r="G47" i="1"/>
  <c r="H48" i="1"/>
  <c r="I48" i="1"/>
  <c r="J48" i="1"/>
  <c r="L48" i="1"/>
  <c r="R48" i="1"/>
  <c r="G48" i="1"/>
  <c r="H49" i="1"/>
  <c r="I49" i="1"/>
  <c r="J49" i="1"/>
  <c r="L49" i="1"/>
  <c r="R49" i="1"/>
  <c r="G49" i="1"/>
  <c r="H50" i="1"/>
  <c r="I50" i="1"/>
  <c r="J50" i="1"/>
  <c r="L50" i="1"/>
  <c r="R50" i="1"/>
  <c r="G50" i="1"/>
  <c r="H51" i="1"/>
  <c r="I51" i="1"/>
  <c r="J51" i="1"/>
  <c r="L51" i="1"/>
  <c r="R51" i="1"/>
  <c r="G51" i="1"/>
  <c r="H52" i="1"/>
  <c r="I52" i="1"/>
  <c r="J52" i="1"/>
  <c r="L52" i="1"/>
  <c r="R52" i="1"/>
  <c r="G52" i="1"/>
  <c r="H53" i="1"/>
  <c r="I53" i="1"/>
  <c r="J53" i="1"/>
  <c r="L53" i="1"/>
  <c r="R53" i="1"/>
  <c r="G53" i="1"/>
  <c r="H54" i="1"/>
  <c r="I54" i="1"/>
  <c r="J54" i="1"/>
  <c r="L54" i="1"/>
  <c r="R54" i="1"/>
  <c r="G54" i="1"/>
  <c r="H55" i="1"/>
  <c r="I55" i="1"/>
  <c r="J55" i="1"/>
  <c r="L55" i="1"/>
  <c r="R55" i="1"/>
  <c r="G55" i="1"/>
  <c r="H56" i="1"/>
  <c r="I56" i="1"/>
  <c r="J56" i="1"/>
  <c r="L56" i="1"/>
  <c r="R56" i="1"/>
  <c r="G56" i="1"/>
  <c r="H57" i="1"/>
  <c r="I57" i="1"/>
  <c r="J57" i="1"/>
  <c r="L57" i="1"/>
  <c r="R57" i="1"/>
  <c r="G57" i="1"/>
  <c r="H58" i="1"/>
  <c r="I58" i="1"/>
  <c r="J58" i="1"/>
  <c r="L58" i="1"/>
  <c r="R58" i="1"/>
  <c r="G58" i="1"/>
  <c r="H59" i="1"/>
  <c r="I59" i="1"/>
  <c r="J59" i="1"/>
  <c r="L59" i="1"/>
  <c r="R59" i="1"/>
  <c r="G59" i="1"/>
  <c r="H60" i="1"/>
  <c r="I60" i="1"/>
  <c r="J60" i="1"/>
  <c r="L60" i="1"/>
  <c r="R60" i="1"/>
  <c r="G60" i="1"/>
  <c r="H61" i="1"/>
  <c r="I61" i="1"/>
  <c r="J61" i="1"/>
  <c r="L61" i="1"/>
  <c r="R61" i="1"/>
  <c r="G61" i="1"/>
  <c r="H62" i="1"/>
  <c r="I62" i="1"/>
  <c r="J62" i="1"/>
  <c r="L62" i="1"/>
  <c r="R62" i="1"/>
  <c r="G62" i="1"/>
  <c r="H63" i="1"/>
  <c r="I63" i="1"/>
  <c r="J63" i="1"/>
  <c r="L63" i="1"/>
  <c r="R63" i="1"/>
  <c r="G63" i="1"/>
  <c r="H64" i="1"/>
  <c r="I64" i="1"/>
  <c r="J64" i="1"/>
  <c r="L64" i="1"/>
  <c r="R64" i="1"/>
  <c r="G64" i="1"/>
  <c r="H65" i="1"/>
  <c r="I65" i="1"/>
  <c r="J65" i="1"/>
  <c r="L65" i="1"/>
  <c r="R65" i="1"/>
  <c r="G65" i="1"/>
  <c r="H66" i="1"/>
  <c r="I66" i="1"/>
  <c r="J66" i="1"/>
  <c r="L66" i="1"/>
  <c r="R66" i="1"/>
  <c r="G66" i="1"/>
  <c r="H67" i="1"/>
  <c r="I67" i="1"/>
  <c r="J67" i="1"/>
  <c r="L67" i="1"/>
  <c r="R67" i="1"/>
  <c r="G67" i="1"/>
  <c r="H68" i="1"/>
  <c r="I68" i="1"/>
  <c r="J68" i="1"/>
  <c r="L68" i="1"/>
  <c r="R68" i="1"/>
  <c r="G68" i="1"/>
  <c r="H69" i="1"/>
  <c r="I69" i="1"/>
  <c r="J69" i="1"/>
  <c r="L69" i="1"/>
  <c r="R69" i="1"/>
  <c r="G69" i="1"/>
  <c r="H70" i="1"/>
  <c r="I70" i="1"/>
  <c r="J70" i="1"/>
  <c r="L70" i="1"/>
  <c r="R70" i="1"/>
  <c r="G70" i="1"/>
  <c r="H71" i="1"/>
  <c r="I71" i="1"/>
  <c r="J71" i="1"/>
  <c r="L71" i="1"/>
  <c r="R71" i="1"/>
  <c r="G71" i="1"/>
  <c r="H72" i="1"/>
  <c r="I72" i="1"/>
  <c r="J72" i="1"/>
  <c r="L72" i="1"/>
  <c r="R72" i="1"/>
  <c r="G72" i="1"/>
  <c r="H73" i="1"/>
  <c r="I73" i="1"/>
  <c r="J73" i="1"/>
  <c r="L73" i="1"/>
  <c r="R73" i="1"/>
  <c r="G73" i="1"/>
  <c r="H74" i="1"/>
  <c r="I74" i="1"/>
  <c r="J74" i="1"/>
  <c r="L74" i="1"/>
  <c r="R74" i="1"/>
  <c r="G74" i="1"/>
  <c r="H75" i="1"/>
  <c r="I75" i="1"/>
  <c r="J75" i="1"/>
  <c r="L75" i="1"/>
  <c r="R75" i="1"/>
  <c r="G75" i="1"/>
  <c r="H76" i="1"/>
  <c r="I76" i="1"/>
  <c r="J76" i="1"/>
  <c r="L76" i="1"/>
  <c r="R76" i="1"/>
  <c r="G76" i="1"/>
  <c r="H77" i="1"/>
  <c r="I77" i="1"/>
  <c r="J77" i="1"/>
  <c r="L77" i="1"/>
  <c r="R77" i="1"/>
  <c r="G77" i="1"/>
  <c r="H78" i="1"/>
  <c r="I78" i="1"/>
  <c r="J78" i="1"/>
  <c r="L78" i="1"/>
  <c r="R78" i="1"/>
  <c r="G78" i="1"/>
  <c r="H79" i="1"/>
  <c r="I79" i="1"/>
  <c r="J79" i="1"/>
  <c r="L79" i="1"/>
  <c r="R79" i="1"/>
  <c r="G79" i="1"/>
  <c r="H80" i="1"/>
  <c r="I80" i="1"/>
  <c r="J80" i="1"/>
  <c r="L80" i="1"/>
  <c r="R80" i="1"/>
  <c r="G80" i="1"/>
  <c r="H81" i="1"/>
  <c r="I81" i="1"/>
  <c r="J81" i="1"/>
  <c r="L81" i="1"/>
  <c r="R81" i="1"/>
  <c r="G81" i="1"/>
  <c r="H82" i="1"/>
  <c r="I82" i="1"/>
  <c r="J82" i="1"/>
  <c r="L82" i="1"/>
  <c r="R82" i="1"/>
  <c r="G82" i="1"/>
  <c r="H83" i="1"/>
  <c r="I83" i="1"/>
  <c r="J83" i="1"/>
  <c r="L83" i="1"/>
  <c r="R83" i="1"/>
  <c r="G83" i="1"/>
  <c r="H84" i="1"/>
  <c r="I84" i="1"/>
  <c r="J84" i="1"/>
  <c r="L84" i="1"/>
  <c r="R84" i="1"/>
  <c r="G84" i="1"/>
  <c r="H85" i="1"/>
  <c r="I85" i="1"/>
  <c r="J85" i="1"/>
  <c r="L85" i="1"/>
  <c r="R85" i="1"/>
  <c r="G85" i="1"/>
  <c r="H86" i="1"/>
  <c r="I86" i="1"/>
  <c r="J86" i="1"/>
  <c r="L86" i="1"/>
  <c r="R86" i="1"/>
  <c r="G86" i="1"/>
  <c r="H87" i="1"/>
  <c r="I87" i="1"/>
  <c r="J87" i="1"/>
  <c r="L87" i="1"/>
  <c r="R87" i="1"/>
  <c r="G87" i="1"/>
  <c r="H88" i="1"/>
  <c r="I88" i="1"/>
  <c r="J88" i="1"/>
  <c r="L88" i="1"/>
  <c r="R88" i="1"/>
  <c r="G88" i="1"/>
  <c r="H89" i="1"/>
  <c r="I89" i="1"/>
  <c r="J89" i="1"/>
  <c r="L89" i="1"/>
  <c r="R89" i="1"/>
  <c r="G89" i="1"/>
  <c r="H90" i="1"/>
  <c r="I90" i="1"/>
  <c r="J90" i="1"/>
  <c r="L90" i="1"/>
  <c r="R90" i="1"/>
  <c r="G90" i="1"/>
  <c r="H91" i="1"/>
  <c r="I91" i="1"/>
  <c r="J91" i="1"/>
  <c r="L91" i="1"/>
  <c r="R91" i="1"/>
  <c r="G91" i="1"/>
  <c r="H92" i="1"/>
  <c r="I92" i="1"/>
  <c r="J92" i="1"/>
  <c r="L92" i="1"/>
  <c r="R92" i="1"/>
  <c r="G92" i="1"/>
  <c r="H93" i="1"/>
  <c r="I93" i="1"/>
  <c r="J93" i="1"/>
  <c r="L93" i="1"/>
  <c r="R93" i="1"/>
  <c r="G93" i="1"/>
  <c r="H94" i="1"/>
  <c r="I94" i="1"/>
  <c r="J94" i="1"/>
  <c r="L94" i="1"/>
  <c r="R94" i="1"/>
  <c r="G94" i="1"/>
  <c r="H95" i="1"/>
  <c r="I95" i="1"/>
  <c r="J95" i="1"/>
  <c r="L95" i="1"/>
  <c r="R95" i="1"/>
  <c r="G95" i="1"/>
  <c r="H96" i="1"/>
  <c r="I96" i="1"/>
  <c r="J96" i="1"/>
  <c r="L96" i="1"/>
  <c r="R96" i="1"/>
  <c r="G96" i="1"/>
  <c r="H97" i="1"/>
  <c r="I97" i="1"/>
  <c r="J97" i="1"/>
  <c r="L97" i="1"/>
  <c r="R97" i="1"/>
  <c r="G97" i="1"/>
  <c r="H98" i="1"/>
  <c r="I98" i="1"/>
  <c r="J98" i="1"/>
  <c r="L98" i="1"/>
  <c r="R98" i="1"/>
  <c r="G98" i="1"/>
  <c r="H99" i="1"/>
  <c r="I99" i="1"/>
  <c r="J99" i="1"/>
  <c r="L99" i="1"/>
  <c r="R99" i="1"/>
  <c r="G99" i="1"/>
  <c r="H100" i="1"/>
  <c r="I100" i="1"/>
  <c r="J100" i="1"/>
  <c r="L100" i="1"/>
  <c r="R100" i="1"/>
  <c r="G100" i="1"/>
  <c r="H101" i="1"/>
  <c r="I101" i="1"/>
  <c r="J101" i="1"/>
  <c r="L101" i="1"/>
  <c r="R101" i="1"/>
  <c r="G101" i="1"/>
  <c r="H102" i="1"/>
  <c r="I102" i="1"/>
  <c r="J102" i="1"/>
  <c r="L102" i="1"/>
  <c r="R102" i="1"/>
  <c r="G102" i="1"/>
  <c r="H103" i="1"/>
  <c r="I103" i="1"/>
  <c r="J103" i="1"/>
  <c r="L103" i="1"/>
  <c r="R103" i="1"/>
  <c r="G103" i="1"/>
  <c r="H104" i="1"/>
  <c r="I104" i="1"/>
  <c r="J104" i="1"/>
  <c r="L104" i="1"/>
  <c r="R104" i="1"/>
  <c r="G104" i="1"/>
  <c r="H105" i="1"/>
  <c r="I105" i="1"/>
  <c r="J105" i="1"/>
  <c r="L105" i="1"/>
  <c r="R105" i="1"/>
  <c r="G105" i="1"/>
  <c r="H106" i="1"/>
  <c r="I106" i="1"/>
  <c r="J106" i="1"/>
  <c r="L106" i="1"/>
  <c r="R106" i="1"/>
  <c r="G106" i="1"/>
  <c r="H107" i="1"/>
  <c r="I107" i="1"/>
  <c r="J107" i="1"/>
  <c r="L107" i="1"/>
  <c r="R107" i="1"/>
  <c r="G107" i="1"/>
  <c r="H108" i="1"/>
  <c r="I108" i="1"/>
  <c r="J108" i="1"/>
  <c r="L108" i="1"/>
  <c r="R108" i="1"/>
  <c r="G108" i="1"/>
  <c r="H109" i="1"/>
  <c r="I109" i="1"/>
  <c r="J109" i="1"/>
  <c r="L109" i="1"/>
  <c r="R109" i="1"/>
  <c r="G109" i="1"/>
  <c r="H110" i="1"/>
  <c r="I110" i="1"/>
  <c r="J110" i="1"/>
  <c r="L110" i="1"/>
  <c r="R110" i="1"/>
  <c r="G110" i="1"/>
  <c r="H111" i="1"/>
  <c r="I111" i="1"/>
  <c r="J111" i="1"/>
  <c r="L111" i="1"/>
  <c r="R111" i="1"/>
  <c r="G111" i="1"/>
  <c r="H112" i="1"/>
  <c r="I112" i="1"/>
  <c r="J112" i="1"/>
  <c r="L112" i="1"/>
  <c r="R112" i="1"/>
  <c r="G112" i="1"/>
  <c r="H113" i="1"/>
  <c r="I113" i="1"/>
  <c r="J113" i="1"/>
  <c r="L113" i="1"/>
  <c r="R113" i="1"/>
  <c r="G113" i="1"/>
  <c r="H114" i="1"/>
  <c r="I114" i="1"/>
  <c r="J114" i="1"/>
  <c r="L114" i="1"/>
  <c r="R114" i="1"/>
  <c r="G114" i="1"/>
  <c r="H115" i="1"/>
  <c r="I115" i="1"/>
  <c r="J115" i="1"/>
  <c r="L115" i="1"/>
  <c r="R115" i="1"/>
  <c r="G115" i="1"/>
  <c r="H116" i="1"/>
  <c r="I116" i="1"/>
  <c r="J116" i="1"/>
  <c r="L116" i="1"/>
  <c r="R116" i="1"/>
  <c r="G116" i="1"/>
  <c r="H117" i="1"/>
  <c r="I117" i="1"/>
  <c r="J117" i="1"/>
  <c r="L117" i="1"/>
  <c r="R117" i="1"/>
  <c r="G117" i="1"/>
  <c r="H118" i="1"/>
  <c r="I118" i="1"/>
  <c r="J118" i="1"/>
  <c r="L118" i="1"/>
  <c r="R118" i="1"/>
  <c r="G118" i="1"/>
  <c r="H119" i="1"/>
  <c r="I119" i="1"/>
  <c r="J119" i="1"/>
  <c r="L119" i="1"/>
  <c r="R119" i="1"/>
  <c r="G119" i="1"/>
  <c r="H120" i="1"/>
  <c r="I120" i="1"/>
  <c r="J120" i="1"/>
  <c r="L120" i="1"/>
  <c r="R120" i="1"/>
  <c r="G120" i="1"/>
  <c r="H121" i="1"/>
  <c r="I121" i="1"/>
  <c r="J121" i="1"/>
  <c r="L121" i="1"/>
  <c r="R121" i="1"/>
  <c r="G121" i="1"/>
  <c r="H122" i="1"/>
  <c r="I122" i="1"/>
  <c r="J122" i="1"/>
  <c r="L122" i="1"/>
  <c r="R122" i="1"/>
  <c r="G122" i="1"/>
  <c r="H123" i="1"/>
  <c r="I123" i="1"/>
  <c r="J123" i="1"/>
  <c r="L123" i="1"/>
  <c r="R123" i="1"/>
  <c r="G123" i="1"/>
  <c r="H124" i="1"/>
  <c r="I124" i="1"/>
  <c r="J124" i="1"/>
  <c r="L124" i="1"/>
  <c r="R124" i="1"/>
  <c r="G124" i="1"/>
  <c r="H125" i="1"/>
  <c r="I125" i="1"/>
  <c r="J125" i="1"/>
  <c r="L125" i="1"/>
  <c r="R125" i="1"/>
  <c r="G125" i="1"/>
  <c r="H126" i="1"/>
  <c r="I126" i="1"/>
  <c r="J126" i="1"/>
  <c r="L126" i="1"/>
  <c r="R126" i="1"/>
  <c r="G126" i="1"/>
  <c r="H127" i="1"/>
  <c r="I127" i="1"/>
  <c r="J127" i="1"/>
  <c r="L127" i="1"/>
  <c r="R127" i="1"/>
  <c r="G127" i="1"/>
  <c r="H128" i="1"/>
  <c r="I128" i="1"/>
  <c r="J128" i="1"/>
  <c r="L128" i="1"/>
  <c r="R128" i="1"/>
  <c r="G128" i="1"/>
  <c r="H129" i="1"/>
  <c r="I129" i="1"/>
  <c r="J129" i="1"/>
  <c r="L129" i="1"/>
  <c r="R129" i="1"/>
  <c r="G129" i="1"/>
  <c r="H130" i="1"/>
  <c r="I130" i="1"/>
  <c r="J130" i="1"/>
  <c r="L130" i="1"/>
  <c r="R130" i="1"/>
  <c r="G130" i="1"/>
  <c r="H131" i="1"/>
  <c r="I131" i="1"/>
  <c r="J131" i="1"/>
  <c r="L131" i="1"/>
  <c r="R131" i="1"/>
  <c r="G131" i="1"/>
  <c r="H132" i="1"/>
  <c r="I132" i="1"/>
  <c r="J132" i="1"/>
  <c r="L132" i="1"/>
  <c r="R132" i="1"/>
  <c r="G132" i="1"/>
  <c r="H133" i="1"/>
  <c r="I133" i="1"/>
  <c r="J133" i="1"/>
  <c r="L133" i="1"/>
  <c r="R133" i="1"/>
  <c r="G133" i="1"/>
  <c r="H134" i="1"/>
  <c r="I134" i="1"/>
  <c r="J134" i="1"/>
  <c r="L134" i="1"/>
  <c r="R134" i="1"/>
  <c r="G134" i="1"/>
  <c r="H135" i="1"/>
  <c r="I135" i="1"/>
  <c r="J135" i="1"/>
  <c r="L135" i="1"/>
  <c r="R135" i="1"/>
  <c r="G135" i="1"/>
  <c r="H136" i="1"/>
  <c r="I136" i="1"/>
  <c r="J136" i="1"/>
  <c r="L136" i="1"/>
  <c r="R136" i="1"/>
  <c r="G136" i="1"/>
  <c r="H137" i="1"/>
  <c r="I137" i="1"/>
  <c r="J137" i="1"/>
  <c r="L137" i="1"/>
  <c r="R137" i="1"/>
  <c r="G137" i="1"/>
  <c r="H138" i="1"/>
  <c r="I138" i="1"/>
  <c r="J138" i="1"/>
  <c r="L138" i="1"/>
  <c r="R138" i="1"/>
  <c r="G138" i="1"/>
  <c r="H139" i="1"/>
  <c r="I139" i="1"/>
  <c r="J139" i="1"/>
  <c r="L139" i="1"/>
  <c r="R139" i="1"/>
  <c r="G139" i="1"/>
  <c r="H140" i="1"/>
  <c r="I140" i="1"/>
  <c r="J140" i="1"/>
  <c r="L140" i="1"/>
  <c r="R140" i="1"/>
  <c r="G140" i="1"/>
  <c r="H141" i="1"/>
  <c r="I141" i="1"/>
  <c r="J141" i="1"/>
  <c r="L141" i="1"/>
  <c r="R141" i="1"/>
  <c r="G141" i="1"/>
  <c r="H142" i="1"/>
  <c r="I142" i="1"/>
  <c r="J142" i="1"/>
  <c r="L142" i="1"/>
  <c r="R142" i="1"/>
  <c r="G142" i="1"/>
  <c r="H143" i="1"/>
  <c r="I143" i="1"/>
  <c r="J143" i="1"/>
  <c r="L143" i="1"/>
  <c r="R143" i="1"/>
  <c r="G143" i="1"/>
  <c r="H144" i="1"/>
  <c r="I144" i="1"/>
  <c r="J144" i="1"/>
  <c r="L144" i="1"/>
  <c r="R144" i="1"/>
  <c r="G144" i="1"/>
  <c r="H145" i="1"/>
  <c r="I145" i="1"/>
  <c r="J145" i="1"/>
  <c r="L145" i="1"/>
  <c r="R145" i="1"/>
  <c r="G145" i="1"/>
  <c r="H146" i="1"/>
  <c r="I146" i="1"/>
  <c r="J146" i="1"/>
  <c r="L146" i="1"/>
  <c r="R146" i="1"/>
  <c r="G146" i="1"/>
  <c r="H147" i="1"/>
  <c r="I147" i="1"/>
  <c r="J147" i="1"/>
  <c r="L147" i="1"/>
  <c r="R147" i="1"/>
  <c r="G147" i="1"/>
  <c r="H148" i="1"/>
  <c r="I148" i="1"/>
  <c r="J148" i="1"/>
  <c r="L148" i="1"/>
  <c r="R148" i="1"/>
  <c r="G148" i="1"/>
  <c r="H149" i="1"/>
  <c r="I149" i="1"/>
  <c r="J149" i="1"/>
  <c r="L149" i="1"/>
  <c r="R149" i="1"/>
  <c r="G149" i="1"/>
  <c r="H150" i="1"/>
  <c r="I150" i="1"/>
  <c r="J150" i="1"/>
  <c r="L150" i="1"/>
  <c r="R150" i="1"/>
  <c r="G150" i="1"/>
  <c r="H151" i="1"/>
  <c r="I151" i="1"/>
  <c r="J151" i="1"/>
  <c r="L151" i="1"/>
  <c r="R151" i="1"/>
  <c r="G151" i="1"/>
  <c r="H152" i="1"/>
  <c r="I152" i="1"/>
  <c r="J152" i="1"/>
  <c r="L152" i="1"/>
  <c r="R152" i="1"/>
  <c r="G152" i="1"/>
  <c r="H153" i="1"/>
  <c r="I153" i="1"/>
  <c r="J153" i="1"/>
  <c r="L153" i="1"/>
  <c r="R153" i="1"/>
  <c r="G153" i="1"/>
  <c r="H154" i="1"/>
  <c r="I154" i="1"/>
  <c r="J154" i="1"/>
  <c r="L154" i="1"/>
  <c r="R154" i="1"/>
  <c r="G154" i="1"/>
  <c r="H155" i="1"/>
  <c r="I155" i="1"/>
  <c r="J155" i="1"/>
  <c r="L155" i="1"/>
  <c r="R155" i="1"/>
  <c r="G155" i="1"/>
  <c r="H156" i="1"/>
  <c r="I156" i="1"/>
  <c r="J156" i="1"/>
  <c r="L156" i="1"/>
  <c r="R156" i="1"/>
  <c r="G156" i="1"/>
  <c r="H157" i="1"/>
  <c r="I157" i="1"/>
  <c r="J157" i="1"/>
  <c r="L157" i="1"/>
  <c r="R157" i="1"/>
  <c r="G157" i="1"/>
  <c r="H158" i="1"/>
  <c r="I158" i="1"/>
  <c r="J158" i="1"/>
  <c r="L158" i="1"/>
  <c r="R158" i="1"/>
  <c r="G158" i="1"/>
  <c r="H159" i="1"/>
  <c r="I159" i="1"/>
  <c r="J159" i="1"/>
  <c r="L159" i="1"/>
  <c r="R159" i="1"/>
  <c r="G159" i="1"/>
  <c r="H160" i="1"/>
  <c r="I160" i="1"/>
  <c r="J160" i="1"/>
  <c r="L160" i="1"/>
  <c r="R160" i="1"/>
  <c r="G160" i="1"/>
  <c r="H161" i="1"/>
  <c r="I161" i="1"/>
  <c r="J161" i="1"/>
  <c r="L161" i="1"/>
  <c r="R161" i="1"/>
  <c r="G161" i="1"/>
  <c r="H162" i="1"/>
  <c r="I162" i="1"/>
  <c r="J162" i="1"/>
  <c r="L162" i="1"/>
  <c r="R162" i="1"/>
  <c r="G162" i="1"/>
  <c r="H163" i="1"/>
  <c r="I163" i="1"/>
  <c r="J163" i="1"/>
  <c r="L163" i="1"/>
  <c r="R163" i="1"/>
  <c r="G163" i="1"/>
  <c r="H164" i="1"/>
  <c r="I164" i="1"/>
  <c r="J164" i="1"/>
  <c r="L164" i="1"/>
  <c r="R164" i="1"/>
  <c r="G164" i="1"/>
  <c r="H165" i="1"/>
  <c r="I165" i="1"/>
  <c r="J165" i="1"/>
  <c r="L165" i="1"/>
  <c r="R165" i="1"/>
  <c r="G165" i="1"/>
  <c r="H166" i="1"/>
  <c r="I166" i="1"/>
  <c r="J166" i="1"/>
  <c r="L166" i="1"/>
  <c r="R166" i="1"/>
  <c r="G166" i="1"/>
  <c r="H167" i="1"/>
  <c r="I167" i="1"/>
  <c r="J167" i="1"/>
  <c r="L167" i="1"/>
  <c r="R167" i="1"/>
  <c r="G167" i="1"/>
  <c r="H168" i="1"/>
  <c r="I168" i="1"/>
  <c r="J168" i="1"/>
  <c r="L168" i="1"/>
  <c r="R168" i="1"/>
  <c r="G168" i="1"/>
  <c r="H169" i="1"/>
  <c r="I169" i="1"/>
  <c r="J169" i="1"/>
  <c r="L169" i="1"/>
  <c r="R169" i="1"/>
  <c r="G169" i="1"/>
  <c r="H170" i="1"/>
  <c r="I170" i="1"/>
  <c r="J170" i="1"/>
  <c r="L170" i="1"/>
  <c r="R170" i="1"/>
  <c r="G170" i="1"/>
  <c r="H171" i="1"/>
  <c r="I171" i="1"/>
  <c r="J171" i="1"/>
  <c r="L171" i="1"/>
  <c r="R171" i="1"/>
  <c r="G171" i="1"/>
  <c r="H172" i="1"/>
  <c r="I172" i="1"/>
  <c r="J172" i="1"/>
  <c r="L172" i="1"/>
  <c r="R172" i="1"/>
  <c r="G172" i="1"/>
  <c r="H173" i="1"/>
  <c r="I173" i="1"/>
  <c r="J173" i="1"/>
  <c r="L173" i="1"/>
  <c r="R173" i="1"/>
  <c r="G173" i="1"/>
  <c r="H174" i="1"/>
  <c r="I174" i="1"/>
  <c r="J174" i="1"/>
  <c r="L174" i="1"/>
  <c r="R174" i="1"/>
  <c r="G174" i="1"/>
  <c r="H175" i="1"/>
  <c r="I175" i="1"/>
  <c r="J175" i="1"/>
  <c r="L175" i="1"/>
  <c r="R175" i="1"/>
  <c r="G175" i="1"/>
  <c r="H176" i="1"/>
  <c r="I176" i="1"/>
  <c r="J176" i="1"/>
  <c r="L176" i="1"/>
  <c r="R176" i="1"/>
  <c r="G176" i="1"/>
  <c r="H177" i="1"/>
  <c r="I177" i="1"/>
  <c r="J177" i="1"/>
  <c r="L177" i="1"/>
  <c r="R177" i="1"/>
  <c r="G177" i="1"/>
  <c r="H178" i="1"/>
  <c r="I178" i="1"/>
  <c r="J178" i="1"/>
  <c r="L178" i="1"/>
  <c r="R178" i="1"/>
  <c r="G178" i="1"/>
  <c r="H179" i="1"/>
  <c r="I179" i="1"/>
  <c r="J179" i="1"/>
  <c r="L179" i="1"/>
  <c r="R179" i="1"/>
  <c r="G179" i="1"/>
  <c r="H180" i="1"/>
  <c r="I180" i="1"/>
  <c r="J180" i="1"/>
  <c r="L180" i="1"/>
  <c r="R180" i="1"/>
  <c r="G180" i="1"/>
  <c r="H181" i="1"/>
  <c r="I181" i="1"/>
  <c r="J181" i="1"/>
  <c r="L181" i="1"/>
  <c r="R181" i="1"/>
  <c r="G181" i="1"/>
  <c r="H182" i="1"/>
  <c r="I182" i="1"/>
  <c r="J182" i="1"/>
  <c r="L182" i="1"/>
  <c r="R182" i="1"/>
  <c r="G182" i="1"/>
  <c r="H183" i="1"/>
  <c r="I183" i="1"/>
  <c r="J183" i="1"/>
  <c r="L183" i="1"/>
  <c r="R183" i="1"/>
  <c r="G183" i="1"/>
  <c r="H184" i="1"/>
  <c r="I184" i="1"/>
  <c r="J184" i="1"/>
  <c r="L184" i="1"/>
  <c r="R184" i="1"/>
  <c r="G184" i="1"/>
  <c r="H185" i="1"/>
  <c r="I185" i="1"/>
  <c r="J185" i="1"/>
  <c r="L185" i="1"/>
  <c r="R185" i="1"/>
  <c r="G185" i="1"/>
  <c r="H186" i="1"/>
  <c r="I186" i="1"/>
  <c r="J186" i="1"/>
  <c r="L186" i="1"/>
  <c r="R186" i="1"/>
  <c r="G186" i="1"/>
  <c r="H187" i="1"/>
  <c r="I187" i="1"/>
  <c r="J187" i="1"/>
  <c r="L187" i="1"/>
  <c r="R187" i="1"/>
  <c r="G187" i="1"/>
  <c r="H188" i="1"/>
  <c r="I188" i="1"/>
  <c r="J188" i="1"/>
  <c r="L188" i="1"/>
  <c r="R188" i="1"/>
  <c r="G188" i="1"/>
  <c r="H189" i="1"/>
  <c r="I189" i="1"/>
  <c r="J189" i="1"/>
  <c r="L189" i="1"/>
  <c r="R189" i="1"/>
  <c r="G18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H33" i="1"/>
  <c r="I33" i="1"/>
  <c r="J33" i="1"/>
  <c r="L33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K33" i="1"/>
  <c r="K34" i="1"/>
  <c r="K35" i="1"/>
  <c r="K36" i="1"/>
  <c r="K37" i="1"/>
  <c r="K38" i="1"/>
  <c r="K39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<sst xmlns="http://schemas.openxmlformats.org/spreadsheetml/2006/main" count="92" uniqueCount="88">
  <si>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</si>
  <si>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</si>
  <si>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</si>
  <si>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</si>
  <si>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</si>
  <si>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</si>
  <si>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</si>
  <si>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</si>
  <si>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</si>
  <si>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</si>
  <si>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</si>
  <si>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</si>
  <si>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</si>
  <si>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</si>
  <si>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</si>
  <si>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</si>
  <si>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</si>
  <si>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</si>
  <si>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</si>
  <si>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</si>
  <si>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</si>
  <si>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</si>
  <si>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</si>
  <si>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</si>
  <si>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</si>
  <si>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</si>
  <si>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</si>
  <si>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</si>
  <si>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</si>
  <si>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</si>
  <si>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</si>
  <si>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</si>
  <si>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</si>
  <si>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</si>
  <si>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</si>
  <si>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</si>
  <si>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</si>
  <si>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</si>
  <si>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</si>
  <si>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</si>
  <si>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</si>
  <si>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</si>
  <si>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</si>
  <si>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</si>
  <si>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</si>
  <si>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</si>
  <si>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</si>
  <si>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</si>
  <si>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</si>
  <si>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</si>
  <si>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</si>
  <si>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</si>
  <si>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</si>
  <si>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</si>
  <si>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</si>
  <si>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</si>
  <si>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</si>
  <si>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</si>
  <si>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</si>
  <si>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</si>
  <si>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</si>
  <si>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</si>
  <si>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</si>
  <si>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</si>
  <si>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</si>
  <si>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</si>
  <si>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</si>
  <si>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</si>
  <si>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</si>
  <si>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</si>
  <si>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</si>
  <si>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</si>
  <si>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</si>
  <si>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</si>
  <si>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</si>
  <si>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</si>
  <si>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</si>
  <si>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</si>
  <si>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</si>
  <si>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</si>
  <si>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</si>
  <si>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</si>
  <si>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 norm</t>
  </si>
  <si>
    <t>y norm</t>
  </si>
  <si>
    <t>z norm</t>
  </si>
  <si>
    <t>time</t>
  </si>
  <si>
    <t>gridSize</t>
  </si>
  <si>
    <t>blockSize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</si>
</sst>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1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  <font>
      <sz val="10"/>
      <color indexed="60"/>
      <name val="Verdana"/>
      <family val="2"/>
    </font>
    <font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0" fillId="0" borderId="0" xfId="0" applyFont="1"/>
    <xf numFmtId="0" fontId="0" fillId="0" borderId="0" xfId="0" applyFont="1" applyFill="1"/>
    <xf numFmtId="0" fontId="10" fillId="0" borderId="0" xfId="0" applyFont="1"/>
    <xf numFmtId="0" fontId="10" fillId="2" borderId="0" xfId="0" applyNumberFormat="1" applyFont="1" applyFill="1" applyAlignment="1" applyProtection="1"/>
    <xf numFmtId="0" fontId="9" fillId="3" borderId="0" xfId="0" applyNumberFormat="1" applyFont="1" applyFill="1" applyBorder="1" applyAlignment="1" applyProtection="1"/>
    <xf numFmtId="0" fontId="9" fillId="3" borderId="1" xfId="0" applyNumberFormat="1" applyFont="1" applyFill="1" applyBorder="1" applyAlignment="1" applyProtection="1"/>
    <xf numFmtId="0" fontId="9" fillId="3" borderId="2" xfId="0" applyNumberFormat="1" applyFont="1" applyFill="1" applyBorder="1" applyAlignment="1" applyProtection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5102781136638E-2"/>
          <c:y val="1.39049826187717E-2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gridSize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{6A45B238-4869-47F9-97A2-2B80E1E45520}</c15:txfldGUID>
                      <c15:f>plot!$C$32</c15:f>
                      <c15:dlblFieldTableCache>
                        <c:ptCount val="1"/>
                        <c:pt idx="0">
                          <c:v>gridSize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time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{A1CBD5C0-F10E-4E54-AC59-A6323E624424}</c15:txfldGUID>
                      <c15:f>plot!$E$32</c15:f>
                      <c15:dlblFieldTableCache>
                        <c:ptCount val="1"/>
                        <c:pt idx="0">
                          <c:v>time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blockSize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{B2FC576E-D726-4B6C-848E-B00A9A635DA2}</c15:txfldGUID>
                      <c15:f>plot!$D$32</c15:f>
                      <c15:dlblFieldTableCache>
                        <c:ptCount val="1"/>
                        <c:pt idx="0">
                          <c:v>blockSize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-0.64085638205578865</c:v>
                </c:pt>
                <c:pt idx="1">
                  <c:v>-0.29883623873011983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-0.64085638205578865</c:v>
                </c:pt>
                <c:pt idx="5">
                  <c:v>0.29883623873011972</c:v>
                </c:pt>
                <c:pt idx="6">
                  <c:v>0.64085638205578843</c:v>
                </c:pt>
                <c:pt idx="7">
                  <c:v>0.64085638205578865</c:v>
                </c:pt>
                <c:pt idx="8">
                  <c:v>-0.29883623873011972</c:v>
                </c:pt>
                <c:pt idx="9">
                  <c:v>-0.29883623873011983</c:v>
                </c:pt>
                <c:pt idx="10">
                  <c:v>0.64085638205578843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-0.58243082125727907</c:v>
                </c:pt>
                <c:pt idx="1">
                  <c:v>-0.11258451086432519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-0.58243082125727907</c:v>
                </c:pt>
                <c:pt idx="5">
                  <c:v>-0.75344089292011351</c:v>
                </c:pt>
                <c:pt idx="6">
                  <c:v>-0.28359458252715963</c:v>
                </c:pt>
                <c:pt idx="7">
                  <c:v>0.58243082125727907</c:v>
                </c:pt>
                <c:pt idx="8">
                  <c:v>0.75344089292011351</c:v>
                </c:pt>
                <c:pt idx="9">
                  <c:v>-0.11258451086432519</c:v>
                </c:pt>
                <c:pt idx="10">
                  <c:v>-0.28359458252715963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{C77A4955-1FF1-4092-BC20-60A0EDA9480B}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{6E698B69-94D5-42F0-93DD-43F7B48EC354}</c15:txfldGUID>
                      <c15:f>plot!$X$10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{C62A45DD-50BA-4F2B-A7B2-803C3F47F114}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{00D70C61-7578-449F-870A-9E9A71D8F516}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{EBD69CAA-A7F3-46E8-8732-214ED8859CB0}</c15:txfldGUID>
                      <c15:f>plot!$X$13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{B0E84CEA-3112-418D-99E6-6AAD7107939B}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{1DFAFE69-C0CE-4B25-B14E-354382960E6D}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{65ADDA55-E7A8-45D0-864B-8C7D7FFAC33E}</c15:txfldGUID>
                      <c15:f>plot!$X$16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{93DF97B1-E25F-47C2-9A0E-49CC440E6BD7}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{086808DD-12A3-4A40-BEE4-40A4F0EF6523}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{13438D51-C91C-4F23-86EC-9D2CF4B985E9}</c15:txfldGUID>
                      <c15:f>plot!$X$19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{AAF5CB52-832F-4FDC-BAD0-70C7E5CB60A9}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{CFB44265-EBA6-4CB7-BB20-566522131B2C}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{95A9D505-C718-4EFD-9A7A-373957DD4A4B}</c15:txfldGUID>
                      <c15:f>plot!$X$22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{DFCD1FC0-AD4F-4BA8-A580-FF34E3AE2BBE}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{09B71628-A881-4EAA-B523-AAA74566B6DD}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{95C616DE-C83B-44C8-8264-D3A2F1054A09}</c15:txfldGUID>
                      <c15:f>plot!$X$25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{35D26AFE-1A4F-43A1-B2E5-AC17B7E01559}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{10AEFD0B-6E8A-4157-BA27-9C2E7E4F94C2}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{2A422A4B-69AC-42F8-B0C5-9FBB7586B519}</c15:txfldGUID>
                      <c15:f>plot!$X$28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{C0A49EEF-7E92-4F32-A9B4-CC0EE76DC2FF}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0.60665436772322157</c:v>
                </c:pt>
                <c:pt idx="1">
                  <c:v>0.70062362980181248</c:v>
                </c:pt>
                <c:pt idx="2">
                  <c:v>0.60665436772322157</c:v>
                </c:pt>
                <c:pt idx="3">
                  <c:v>0.53825033905808783</c:v>
                </c:pt>
                <c:pt idx="4">
                  <c:v>0.63221960113667863</c:v>
                </c:pt>
                <c:pt idx="5">
                  <c:v>0.53825033905808783</c:v>
                </c:pt>
                <c:pt idx="6">
                  <c:v>0.4698463103929541</c:v>
                </c:pt>
                <c:pt idx="7">
                  <c:v>0.5638155724715449</c:v>
                </c:pt>
                <c:pt idx="8">
                  <c:v>0.4698463103929541</c:v>
                </c:pt>
                <c:pt idx="9">
                  <c:v>0.40144228172782032</c:v>
                </c:pt>
                <c:pt idx="10">
                  <c:v>0.49541154380641117</c:v>
                </c:pt>
                <c:pt idx="11">
                  <c:v>0.40144228172782032</c:v>
                </c:pt>
                <c:pt idx="12">
                  <c:v>0.33303825306268658</c:v>
                </c:pt>
                <c:pt idx="13">
                  <c:v>0.42700751514127738</c:v>
                </c:pt>
                <c:pt idx="14">
                  <c:v>0.33303825306268658</c:v>
                </c:pt>
                <c:pt idx="15">
                  <c:v>0.33303825306268658</c:v>
                </c:pt>
                <c:pt idx="16">
                  <c:v>0.42700751514127738</c:v>
                </c:pt>
                <c:pt idx="17">
                  <c:v>0.33303825306268658</c:v>
                </c:pt>
                <c:pt idx="18">
                  <c:v>0.33303825306268658</c:v>
                </c:pt>
                <c:pt idx="19">
                  <c:v>0.42700751514127738</c:v>
                </c:pt>
                <c:pt idx="20">
                  <c:v>0.33303825306268658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-0.33057921356645503</c:v>
                </c:pt>
                <c:pt idx="1">
                  <c:v>-0.34768022073273847</c:v>
                </c:pt>
                <c:pt idx="2">
                  <c:v>-0.33057921356645503</c:v>
                </c:pt>
                <c:pt idx="3">
                  <c:v>-0.42454847564504578</c:v>
                </c:pt>
                <c:pt idx="4">
                  <c:v>-0.44164948281132921</c:v>
                </c:pt>
                <c:pt idx="5">
                  <c:v>-0.42454847564504578</c:v>
                </c:pt>
                <c:pt idx="6">
                  <c:v>-0.51851773772363652</c:v>
                </c:pt>
                <c:pt idx="7">
                  <c:v>-0.53561874488992001</c:v>
                </c:pt>
                <c:pt idx="8">
                  <c:v>-0.51851773772363652</c:v>
                </c:pt>
                <c:pt idx="9">
                  <c:v>-0.61248699980222732</c:v>
                </c:pt>
                <c:pt idx="10">
                  <c:v>-0.6295880069685108</c:v>
                </c:pt>
                <c:pt idx="11">
                  <c:v>-0.61248699980222732</c:v>
                </c:pt>
                <c:pt idx="12">
                  <c:v>-0.70645626188081811</c:v>
                </c:pt>
                <c:pt idx="13">
                  <c:v>-0.7235572690471016</c:v>
                </c:pt>
                <c:pt idx="14">
                  <c:v>-0.70645626188081811</c:v>
                </c:pt>
                <c:pt idx="15">
                  <c:v>-0.70645626188081811</c:v>
                </c:pt>
                <c:pt idx="16">
                  <c:v>-0.7235572690471016</c:v>
                </c:pt>
                <c:pt idx="17">
                  <c:v>-0.70645626188081811</c:v>
                </c:pt>
                <c:pt idx="18">
                  <c:v>-0.70645626188081811</c:v>
                </c:pt>
                <c:pt idx="19">
                  <c:v>-0.7235572690471016</c:v>
                </c:pt>
                <c:pt idx="20">
                  <c:v>-0.70645626188081811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-8.6647582423624317E-2</c:v>
                </c:pt>
                <c:pt idx="8">
                  <c:v>-5.6334917236982154E-2</c:v>
                </c:pt>
                <c:pt idx="9">
                  <c:v>-2.6022252050339933E-2</c:v>
                </c:pt>
                <c:pt idx="10">
                  <c:v>4.290413136302261E-3</c:v>
                </c:pt>
                <c:pt idx="11">
                  <c:v>3.4603078322944486E-2</c:v>
                </c:pt>
                <c:pt idx="12">
                  <c:v>6.4915743509586663E-2</c:v>
                </c:pt>
                <c:pt idx="13">
                  <c:v>9.5228408696228908E-2</c:v>
                </c:pt>
                <c:pt idx="14">
                  <c:v>0.12554107388287108</c:v>
                </c:pt>
                <c:pt idx="15">
                  <c:v>0.15585373906951333</c:v>
                </c:pt>
                <c:pt idx="16">
                  <c:v>0.18616640425615549</c:v>
                </c:pt>
                <c:pt idx="17">
                  <c:v>0.21647906944279768</c:v>
                </c:pt>
                <c:pt idx="18">
                  <c:v>0.24679173462943996</c:v>
                </c:pt>
                <c:pt idx="19">
                  <c:v>0.27710439981608215</c:v>
                </c:pt>
                <c:pt idx="20">
                  <c:v>0.30741706500272431</c:v>
                </c:pt>
                <c:pt idx="21">
                  <c:v>0.33772973018936647</c:v>
                </c:pt>
                <c:pt idx="22">
                  <c:v>0.3680423953760088</c:v>
                </c:pt>
                <c:pt idx="23">
                  <c:v>0.39835506056265091</c:v>
                </c:pt>
                <c:pt idx="24">
                  <c:v>0.42866772574929313</c:v>
                </c:pt>
                <c:pt idx="25">
                  <c:v>0.45898039093593535</c:v>
                </c:pt>
                <c:pt idx="26">
                  <c:v>0.48929305612257756</c:v>
                </c:pt>
                <c:pt idx="27">
                  <c:v>0.51960572130921978</c:v>
                </c:pt>
                <c:pt idx="28">
                  <c:v>0.54991838649586189</c:v>
                </c:pt>
                <c:pt idx="29">
                  <c:v>0.58023105168250411</c:v>
                </c:pt>
                <c:pt idx="30">
                  <c:v>0.61054371686914644</c:v>
                </c:pt>
                <c:pt idx="31">
                  <c:v>0.64085638205578854</c:v>
                </c:pt>
                <c:pt idx="32">
                  <c:v>-0.29883623873011983</c:v>
                </c:pt>
                <c:pt idx="33">
                  <c:v>-0.26852357354347761</c:v>
                </c:pt>
                <c:pt idx="34">
                  <c:v>-0.23821090835683542</c:v>
                </c:pt>
                <c:pt idx="35">
                  <c:v>-0.20789824317019315</c:v>
                </c:pt>
                <c:pt idx="36">
                  <c:v>-0.17758557798355096</c:v>
                </c:pt>
                <c:pt idx="37">
                  <c:v>-0.14727291279690879</c:v>
                </c:pt>
                <c:pt idx="38">
                  <c:v>-0.11696024761026658</c:v>
                </c:pt>
                <c:pt idx="39">
                  <c:v>-8.6647582423624289E-2</c:v>
                </c:pt>
                <c:pt idx="40">
                  <c:v>-5.633491723698212E-2</c:v>
                </c:pt>
                <c:pt idx="41">
                  <c:v>-2.6022252050339902E-2</c:v>
                </c:pt>
                <c:pt idx="42">
                  <c:v>4.2904131363022905E-3</c:v>
                </c:pt>
                <c:pt idx="43">
                  <c:v>3.4603078322944514E-2</c:v>
                </c:pt>
                <c:pt idx="44">
                  <c:v>6.491574350958669E-2</c:v>
                </c:pt>
                <c:pt idx="45">
                  <c:v>9.5228408696228922E-2</c:v>
                </c:pt>
                <c:pt idx="46">
                  <c:v>0.12554107388287108</c:v>
                </c:pt>
                <c:pt idx="47">
                  <c:v>0.15585373906951333</c:v>
                </c:pt>
                <c:pt idx="48">
                  <c:v>0.18616640425615549</c:v>
                </c:pt>
                <c:pt idx="49">
                  <c:v>0.21647906944279768</c:v>
                </c:pt>
                <c:pt idx="50">
                  <c:v>0.24679173462943998</c:v>
                </c:pt>
                <c:pt idx="51">
                  <c:v>0.27710439981608215</c:v>
                </c:pt>
                <c:pt idx="52">
                  <c:v>0.30741706500272431</c:v>
                </c:pt>
                <c:pt idx="53">
                  <c:v>0.33772973018936647</c:v>
                </c:pt>
                <c:pt idx="54">
                  <c:v>0.3680423953760088</c:v>
                </c:pt>
                <c:pt idx="55">
                  <c:v>0.39835506056265096</c:v>
                </c:pt>
                <c:pt idx="56">
                  <c:v>0.42866772574929318</c:v>
                </c:pt>
                <c:pt idx="57">
                  <c:v>0.4589803909359354</c:v>
                </c:pt>
                <c:pt idx="58">
                  <c:v>0.48929305612257762</c:v>
                </c:pt>
                <c:pt idx="59">
                  <c:v>0.51960572130921978</c:v>
                </c:pt>
                <c:pt idx="60">
                  <c:v>0.54991838649586189</c:v>
                </c:pt>
                <c:pt idx="61">
                  <c:v>0.58023105168250411</c:v>
                </c:pt>
                <c:pt idx="62">
                  <c:v>0.61054371686914655</c:v>
                </c:pt>
                <c:pt idx="63">
                  <c:v>0.64085638205578865</c:v>
                </c:pt>
                <c:pt idx="64">
                  <c:v>-0.29883623873011983</c:v>
                </c:pt>
                <c:pt idx="65">
                  <c:v>-0.26852357354347761</c:v>
                </c:pt>
                <c:pt idx="66">
                  <c:v>-0.23821090835683542</c:v>
                </c:pt>
                <c:pt idx="67">
                  <c:v>-0.20789824317019312</c:v>
                </c:pt>
                <c:pt idx="68">
                  <c:v>-0.17758557798355093</c:v>
                </c:pt>
                <c:pt idx="69">
                  <c:v>-0.14727291279690877</c:v>
                </c:pt>
                <c:pt idx="70">
                  <c:v>-0.11696024761026655</c:v>
                </c:pt>
                <c:pt idx="71">
                  <c:v>-8.6647582423624275E-2</c:v>
                </c:pt>
                <c:pt idx="72">
                  <c:v>-5.6334917236982113E-2</c:v>
                </c:pt>
                <c:pt idx="73">
                  <c:v>-2.6022252050339891E-2</c:v>
                </c:pt>
                <c:pt idx="74">
                  <c:v>4.2904131363023035E-3</c:v>
                </c:pt>
                <c:pt idx="75">
                  <c:v>3.4603078322944528E-2</c:v>
                </c:pt>
                <c:pt idx="76">
                  <c:v>6.4915743509586704E-2</c:v>
                </c:pt>
                <c:pt idx="77">
                  <c:v>9.5228408696228936E-2</c:v>
                </c:pt>
                <c:pt idx="78">
                  <c:v>0.12554107388287111</c:v>
                </c:pt>
                <c:pt idx="79">
                  <c:v>0.15585373906951336</c:v>
                </c:pt>
                <c:pt idx="80">
                  <c:v>0.18616640425615552</c:v>
                </c:pt>
                <c:pt idx="81">
                  <c:v>0.21647906944279771</c:v>
                </c:pt>
                <c:pt idx="82">
                  <c:v>0.24679173462944001</c:v>
                </c:pt>
                <c:pt idx="83">
                  <c:v>0.2771043998160822</c:v>
                </c:pt>
                <c:pt idx="84">
                  <c:v>0.30741706500272437</c:v>
                </c:pt>
                <c:pt idx="85">
                  <c:v>-0.29883623873011983</c:v>
                </c:pt>
                <c:pt idx="86">
                  <c:v>-0.26852357354347761</c:v>
                </c:pt>
                <c:pt idx="87">
                  <c:v>-0.23821090835683539</c:v>
                </c:pt>
                <c:pt idx="88">
                  <c:v>-0.20789824317019309</c:v>
                </c:pt>
                <c:pt idx="89">
                  <c:v>-0.17758557798355093</c:v>
                </c:pt>
                <c:pt idx="90">
                  <c:v>-0.14727291279690877</c:v>
                </c:pt>
                <c:pt idx="91">
                  <c:v>-0.11696024761026655</c:v>
                </c:pt>
                <c:pt idx="92">
                  <c:v>-8.6647582423624275E-2</c:v>
                </c:pt>
                <c:pt idx="93">
                  <c:v>-5.6334917236982099E-2</c:v>
                </c:pt>
                <c:pt idx="94">
                  <c:v>-2.6022252050339877E-2</c:v>
                </c:pt>
                <c:pt idx="95">
                  <c:v>4.2904131363023191E-3</c:v>
                </c:pt>
                <c:pt idx="96">
                  <c:v>3.4603078322944542E-2</c:v>
                </c:pt>
                <c:pt idx="97">
                  <c:v>6.4915743509586732E-2</c:v>
                </c:pt>
                <c:pt idx="98">
                  <c:v>9.5228408696228964E-2</c:v>
                </c:pt>
                <c:pt idx="99">
                  <c:v>0.12554107388287114</c:v>
                </c:pt>
                <c:pt idx="100">
                  <c:v>0.15585373906951339</c:v>
                </c:pt>
                <c:pt idx="101">
                  <c:v>-0.29883623873011983</c:v>
                </c:pt>
                <c:pt idx="102">
                  <c:v>-0.26852357354347761</c:v>
                </c:pt>
                <c:pt idx="103">
                  <c:v>-0.23821090835683537</c:v>
                </c:pt>
                <c:pt idx="104">
                  <c:v>-0.20789824317019309</c:v>
                </c:pt>
                <c:pt idx="105">
                  <c:v>-0.17758557798355093</c:v>
                </c:pt>
                <c:pt idx="106">
                  <c:v>-0.14727291279690877</c:v>
                </c:pt>
                <c:pt idx="107">
                  <c:v>-0.11696024761026654</c:v>
                </c:pt>
                <c:pt idx="108">
                  <c:v>-8.6647582423624261E-2</c:v>
                </c:pt>
                <c:pt idx="109">
                  <c:v>-5.6334917236982085E-2</c:v>
                </c:pt>
                <c:pt idx="110">
                  <c:v>-2.602225205033986E-2</c:v>
                </c:pt>
                <c:pt idx="111">
                  <c:v>4.2904131363023391E-3</c:v>
                </c:pt>
                <c:pt idx="112">
                  <c:v>3.4603078322944569E-2</c:v>
                </c:pt>
                <c:pt idx="113">
                  <c:v>-0.29883623873011983</c:v>
                </c:pt>
                <c:pt idx="114">
                  <c:v>-0.26852357354347761</c:v>
                </c:pt>
                <c:pt idx="115">
                  <c:v>-0.23821090835683537</c:v>
                </c:pt>
                <c:pt idx="116">
                  <c:v>-0.20789824317019309</c:v>
                </c:pt>
                <c:pt idx="117">
                  <c:v>-0.17758557798355093</c:v>
                </c:pt>
                <c:pt idx="118">
                  <c:v>-0.14727291279690877</c:v>
                </c:pt>
                <c:pt idx="119">
                  <c:v>-0.11696024761026654</c:v>
                </c:pt>
                <c:pt idx="120">
                  <c:v>-8.6647582423624248E-2</c:v>
                </c:pt>
                <c:pt idx="121">
                  <c:v>-5.6334917236982071E-2</c:v>
                </c:pt>
                <c:pt idx="122">
                  <c:v>-2.6022252050339843E-2</c:v>
                </c:pt>
                <c:pt idx="123">
                  <c:v>-0.29883623873011983</c:v>
                </c:pt>
                <c:pt idx="124">
                  <c:v>-0.26852357354347756</c:v>
                </c:pt>
                <c:pt idx="125">
                  <c:v>-0.23821090835683537</c:v>
                </c:pt>
                <c:pt idx="126">
                  <c:v>-0.20789824317019309</c:v>
                </c:pt>
                <c:pt idx="127">
                  <c:v>-0.17758557798355093</c:v>
                </c:pt>
                <c:pt idx="128">
                  <c:v>-0.14727291279690874</c:v>
                </c:pt>
                <c:pt idx="129">
                  <c:v>-0.11696024761026652</c:v>
                </c:pt>
                <c:pt idx="130">
                  <c:v>-8.6647582423624234E-2</c:v>
                </c:pt>
                <c:pt idx="131">
                  <c:v>-5.633491723698205E-2</c:v>
                </c:pt>
                <c:pt idx="132">
                  <c:v>-0.29883623873011983</c:v>
                </c:pt>
                <c:pt idx="133">
                  <c:v>-0.26852357354347756</c:v>
                </c:pt>
                <c:pt idx="134">
                  <c:v>-0.23821090835683537</c:v>
                </c:pt>
                <c:pt idx="135">
                  <c:v>-0.20789824317019309</c:v>
                </c:pt>
                <c:pt idx="136">
                  <c:v>-0.1775855779835509</c:v>
                </c:pt>
                <c:pt idx="137">
                  <c:v>-0.14727291279690874</c:v>
                </c:pt>
                <c:pt idx="138">
                  <c:v>-0.11696024761026651</c:v>
                </c:pt>
                <c:pt idx="139">
                  <c:v>-8.664758242362422E-2</c:v>
                </c:pt>
                <c:pt idx="140">
                  <c:v>-0.29883623873011983</c:v>
                </c:pt>
                <c:pt idx="141">
                  <c:v>-0.26852357354347756</c:v>
                </c:pt>
                <c:pt idx="142">
                  <c:v>-0.23821090835683537</c:v>
                </c:pt>
                <c:pt idx="143">
                  <c:v>-0.20789824317019309</c:v>
                </c:pt>
                <c:pt idx="144">
                  <c:v>-0.1775855779835509</c:v>
                </c:pt>
                <c:pt idx="145">
                  <c:v>-0.14727291279690874</c:v>
                </c:pt>
                <c:pt idx="146">
                  <c:v>-0.11696024761026649</c:v>
                </c:pt>
                <c:pt idx="147">
                  <c:v>-0.29883623873011983</c:v>
                </c:pt>
                <c:pt idx="148">
                  <c:v>-0.26852357354347756</c:v>
                </c:pt>
                <c:pt idx="149">
                  <c:v>-0.23821090835683537</c:v>
                </c:pt>
                <c:pt idx="150">
                  <c:v>-0.20789824317019306</c:v>
                </c:pt>
                <c:pt idx="151">
                  <c:v>-0.1775855779835509</c:v>
                </c:pt>
                <c:pt idx="152">
                  <c:v>-0.14727291279690871</c:v>
                </c:pt>
                <c:pt idx="153">
                  <c:v>-0.29883623873011983</c:v>
                </c:pt>
                <c:pt idx="154">
                  <c:v>-0.26852357354347756</c:v>
                </c:pt>
                <c:pt idx="155">
                  <c:v>-0.23821090835683537</c:v>
                </c:pt>
                <c:pt idx="156">
                  <c:v>-0.20789824317019306</c:v>
                </c:pt>
                <c:pt idx="157">
                  <c:v>-0.17758557798355087</c:v>
                </c:pt>
                <c:pt idx="158">
                  <c:v>-0.29883623873011983</c:v>
                </c:pt>
                <c:pt idx="159">
                  <c:v>-0.26852357354347756</c:v>
                </c:pt>
                <c:pt idx="160">
                  <c:v>-0.23821090835683537</c:v>
                </c:pt>
                <c:pt idx="161">
                  <c:v>-0.20789824317019306</c:v>
                </c:pt>
                <c:pt idx="162">
                  <c:v>-0.17758557798355087</c:v>
                </c:pt>
                <c:pt idx="163">
                  <c:v>-0.29883623873011977</c:v>
                </c:pt>
                <c:pt idx="164">
                  <c:v>-0.26852357354347756</c:v>
                </c:pt>
                <c:pt idx="165">
                  <c:v>-0.23821090835683534</c:v>
                </c:pt>
                <c:pt idx="166">
                  <c:v>-0.20789824317019306</c:v>
                </c:pt>
                <c:pt idx="167">
                  <c:v>-0.29883623873011977</c:v>
                </c:pt>
                <c:pt idx="168">
                  <c:v>-0.26852357354347756</c:v>
                </c:pt>
                <c:pt idx="169">
                  <c:v>-0.23821090835683534</c:v>
                </c:pt>
                <c:pt idx="170">
                  <c:v>-0.20789824317019304</c:v>
                </c:pt>
                <c:pt idx="171">
                  <c:v>-0.29883623873011977</c:v>
                </c:pt>
                <c:pt idx="172">
                  <c:v>-0.26852357354347756</c:v>
                </c:pt>
                <c:pt idx="173">
                  <c:v>-0.23821090835683534</c:v>
                </c:pt>
                <c:pt idx="174">
                  <c:v>-0.20789824317019304</c:v>
                </c:pt>
                <c:pt idx="175">
                  <c:v>-0.29883623873011977</c:v>
                </c:pt>
                <c:pt idx="176">
                  <c:v>-0.26852357354347756</c:v>
                </c:pt>
                <c:pt idx="177">
                  <c:v>-0.23821090835683534</c:v>
                </c:pt>
                <c:pt idx="178">
                  <c:v>-0.20789824317019304</c:v>
                </c:pt>
                <c:pt idx="179">
                  <c:v>-0.29883623873011977</c:v>
                </c:pt>
                <c:pt idx="180">
                  <c:v>-0.26852357354347756</c:v>
                </c:pt>
                <c:pt idx="181">
                  <c:v>-0.23821090835683534</c:v>
                </c:pt>
                <c:pt idx="182">
                  <c:v>-0.29883623873011977</c:v>
                </c:pt>
                <c:pt idx="183">
                  <c:v>-0.26852357354347756</c:v>
                </c:pt>
                <c:pt idx="184">
                  <c:v>-0.23821090835683534</c:v>
                </c:pt>
                <c:pt idx="185">
                  <c:v>-0.29883623873011977</c:v>
                </c:pt>
                <c:pt idx="186">
                  <c:v>-0.26852357354347756</c:v>
                </c:pt>
                <c:pt idx="187">
                  <c:v>-0.23821090835683531</c:v>
                </c:pt>
                <c:pt idx="188">
                  <c:v>-0.29883623873011977</c:v>
                </c:pt>
                <c:pt idx="189">
                  <c:v>-0.26852357354347756</c:v>
                </c:pt>
                <c:pt idx="190">
                  <c:v>-0.23821090835683531</c:v>
                </c:pt>
                <c:pt idx="191">
                  <c:v>-0.29883623873011977</c:v>
                </c:pt>
                <c:pt idx="192">
                  <c:v>-0.26852357354347756</c:v>
                </c:pt>
                <c:pt idx="193">
                  <c:v>-0.23821090835683531</c:v>
                </c:pt>
                <c:pt idx="194">
                  <c:v>-0.29883623873011977</c:v>
                </c:pt>
                <c:pt idx="195">
                  <c:v>-0.26852357354347756</c:v>
                </c:pt>
                <c:pt idx="196">
                  <c:v>-0.29883623873011977</c:v>
                </c:pt>
                <c:pt idx="197">
                  <c:v>-0.26852357354347756</c:v>
                </c:pt>
                <c:pt idx="198">
                  <c:v>-0.29883623873011977</c:v>
                </c:pt>
                <c:pt idx="199">
                  <c:v>-0.2685235735434775</c:v>
                </c:pt>
                <c:pt idx="200">
                  <c:v>-0.29883623873011977</c:v>
                </c:pt>
                <c:pt idx="201">
                  <c:v>-0.2685235735434775</c:v>
                </c:pt>
                <c:pt idx="202">
                  <c:v>-0.29883623873011977</c:v>
                </c:pt>
                <c:pt idx="203">
                  <c:v>-0.2685235735434775</c:v>
                </c:pt>
                <c:pt idx="204">
                  <c:v>-0.29883623873011977</c:v>
                </c:pt>
                <c:pt idx="205">
                  <c:v>-0.2685235735434775</c:v>
                </c:pt>
                <c:pt idx="206">
                  <c:v>-0.29883623873011977</c:v>
                </c:pt>
                <c:pt idx="207">
                  <c:v>-0.2685235735434775</c:v>
                </c:pt>
                <c:pt idx="208">
                  <c:v>-0.29883623873011977</c:v>
                </c:pt>
                <c:pt idx="209">
                  <c:v>-0.26852357354347756</c:v>
                </c:pt>
                <c:pt idx="210">
                  <c:v>-0.29883623873011977</c:v>
                </c:pt>
                <c:pt idx="211">
                  <c:v>-0.2685235735434775</c:v>
                </c:pt>
                <c:pt idx="212">
                  <c:v>-0.29883623873011977</c:v>
                </c:pt>
                <c:pt idx="213">
                  <c:v>-0.2685235735434775</c:v>
                </c:pt>
                <c:pt idx="214">
                  <c:v>-0.29883623873011977</c:v>
                </c:pt>
                <c:pt idx="215">
                  <c:v>-0.2685235735434775</c:v>
                </c:pt>
                <c:pt idx="216">
                  <c:v>-0.29883623873011977</c:v>
                </c:pt>
                <c:pt idx="217">
                  <c:v>-0.29883623873011977</c:v>
                </c:pt>
                <c:pt idx="218">
                  <c:v>-0.29883623873011977</c:v>
                </c:pt>
                <c:pt idx="219">
                  <c:v>-0.29883623873011977</c:v>
                </c:pt>
                <c:pt idx="220">
                  <c:v>-0.29883623873011977</c:v>
                </c:pt>
                <c:pt idx="221">
                  <c:v>-0.29883623873011977</c:v>
                </c:pt>
                <c:pt idx="222">
                  <c:v>-0.29883623873011977</c:v>
                </c:pt>
                <c:pt idx="223">
                  <c:v>-0.29883623873011977</c:v>
                </c:pt>
                <c:pt idx="224">
                  <c:v>-0.29883623873011977</c:v>
                </c:pt>
                <c:pt idx="225">
                  <c:v>-0.29883623873011977</c:v>
                </c:pt>
                <c:pt idx="226">
                  <c:v>-0.29883623873011977</c:v>
                </c:pt>
                <c:pt idx="227">
                  <c:v>-0.29883623873011977</c:v>
                </c:pt>
                <c:pt idx="228">
                  <c:v>-0.29883623873011977</c:v>
                </c:pt>
                <c:pt idx="229">
                  <c:v>-0.29883623873011977</c:v>
                </c:pt>
                <c:pt idx="230">
                  <c:v>-0.29883623873011972</c:v>
                </c:pt>
                <c:pt idx="231">
                  <c:v>-0.29883623873011972</c:v>
                </c:pt>
                <c:pt idx="232">
                  <c:v>-0.29883623873011972</c:v>
                </c:pt>
                <c:pt idx="233">
                  <c:v>-0.29883623873011972</c:v>
                </c:pt>
                <c:pt idx="234">
                  <c:v>-0.29883623873011972</c:v>
                </c:pt>
                <c:pt idx="235">
                  <c:v>-0.29883623873011972</c:v>
                </c:pt>
                <c:pt idx="236">
                  <c:v>-0.29883623873011972</c:v>
                </c:pt>
                <c:pt idx="237">
                  <c:v>-0.29883623873011972</c:v>
                </c:pt>
                <c:pt idx="238">
                  <c:v>-0.29883623873011972</c:v>
                </c:pt>
                <c:pt idx="239">
                  <c:v>-0.29883623873011972</c:v>
                </c:pt>
                <c:pt idx="240">
                  <c:v>-0.29883623873011972</c:v>
                </c:pt>
                <c:pt idx="241">
                  <c:v>-0.29883623873011972</c:v>
                </c:pt>
                <c:pt idx="242">
                  <c:v>-0.29883623873011972</c:v>
                </c:pt>
                <c:pt idx="243">
                  <c:v>-0.29883623873011972</c:v>
                </c:pt>
                <c:pt idx="244">
                  <c:v>-0.29883623873011972</c:v>
                </c:pt>
                <c:pt idx="245">
                  <c:v>-0.29883623873011972</c:v>
                </c:pt>
                <c:pt idx="246">
                  <c:v>-0.29883623873011972</c:v>
                </c:pt>
                <c:pt idx="247">
                  <c:v>-0.29883623873011972</c:v>
                </c:pt>
              </c:numCache>
            </c:numRef>
          </c:xVal>
          <c:yVal>
            <c:numRef>
              <c:f>plot!$N$33:$N$280</c:f>
              <c:numCache>
                <c:formatCode>General</c:formatCode>
                <c:ptCount val="248"/>
                <c:pt idx="0">
                  <c:v>3.8620984649358481E-3</c:v>
                </c:pt>
                <c:pt idx="1">
                  <c:v>-0.1006980773538505</c:v>
                </c:pt>
                <c:pt idx="2">
                  <c:v>-0.12308043961606852</c:v>
                </c:pt>
                <c:pt idx="3">
                  <c:v>-0.12314333954436502</c:v>
                </c:pt>
                <c:pt idx="4">
                  <c:v>-0.11525113475980509</c:v>
                </c:pt>
                <c:pt idx="5">
                  <c:v>-0.10641962155221429</c:v>
                </c:pt>
                <c:pt idx="6">
                  <c:v>-8.8675875316770403E-2</c:v>
                </c:pt>
                <c:pt idx="7">
                  <c:v>-5.9587623740453122E-2</c:v>
                </c:pt>
                <c:pt idx="8">
                  <c:v>-3.1663573341387308E-2</c:v>
                </c:pt>
                <c:pt idx="9">
                  <c:v>-1.0324306551070694E-2</c:v>
                </c:pt>
                <c:pt idx="10">
                  <c:v>1.9441672681186267E-2</c:v>
                </c:pt>
                <c:pt idx="11">
                  <c:v>5.1477544034432943E-2</c:v>
                </c:pt>
                <c:pt idx="12">
                  <c:v>7.8956192427893868E-2</c:v>
                </c:pt>
                <c:pt idx="13">
                  <c:v>0.10230300822378965</c:v>
                </c:pt>
                <c:pt idx="14">
                  <c:v>0.14780738262927617</c:v>
                </c:pt>
                <c:pt idx="15">
                  <c:v>0.16562641076126006</c:v>
                </c:pt>
                <c:pt idx="16">
                  <c:v>0.16868494602671444</c:v>
                </c:pt>
                <c:pt idx="17">
                  <c:v>0.16911137842592786</c:v>
                </c:pt>
                <c:pt idx="18">
                  <c:v>0.1685156923159162</c:v>
                </c:pt>
                <c:pt idx="19">
                  <c:v>0.17026117789475775</c:v>
                </c:pt>
                <c:pt idx="20">
                  <c:v>0.16774694694545608</c:v>
                </c:pt>
                <c:pt idx="21">
                  <c:v>0.17087418885319577</c:v>
                </c:pt>
                <c:pt idx="22">
                  <c:v>0.17085121691812749</c:v>
                </c:pt>
                <c:pt idx="23">
                  <c:v>0.17477921044184844</c:v>
                </c:pt>
                <c:pt idx="24">
                  <c:v>0.17759817774793399</c:v>
                </c:pt>
                <c:pt idx="25">
                  <c:v>0.17838663030531859</c:v>
                </c:pt>
                <c:pt idx="26">
                  <c:v>0.18045868684547975</c:v>
                </c:pt>
                <c:pt idx="27">
                  <c:v>0.18458317564852406</c:v>
                </c:pt>
                <c:pt idx="28">
                  <c:v>0.18773910091178081</c:v>
                </c:pt>
                <c:pt idx="29">
                  <c:v>0.19226792020472283</c:v>
                </c:pt>
                <c:pt idx="30">
                  <c:v>0.19355876030458685</c:v>
                </c:pt>
                <c:pt idx="31">
                  <c:v>0.19534569857329531</c:v>
                </c:pt>
                <c:pt idx="32">
                  <c:v>-9.3841986844991176E-2</c:v>
                </c:pt>
                <c:pt idx="33">
                  <c:v>-0.11246883069880409</c:v>
                </c:pt>
                <c:pt idx="34">
                  <c:v>-8.7856993160417007E-2</c:v>
                </c:pt>
                <c:pt idx="35">
                  <c:v>-3.9007815503597831E-2</c:v>
                </c:pt>
                <c:pt idx="36">
                  <c:v>1.7185444688084972E-2</c:v>
                </c:pt>
                <c:pt idx="37">
                  <c:v>8.4348134847500256E-2</c:v>
                </c:pt>
                <c:pt idx="38">
                  <c:v>0.1394307488313688</c:v>
                </c:pt>
                <c:pt idx="39">
                  <c:v>0.21024661213731091</c:v>
                </c:pt>
                <c:pt idx="40">
                  <c:v>0.21879948703416402</c:v>
                </c:pt>
                <c:pt idx="41">
                  <c:v>0.22547784270717172</c:v>
                </c:pt>
                <c:pt idx="42">
                  <c:v>0.2305644150892889</c:v>
                </c:pt>
                <c:pt idx="43">
                  <c:v>0.23998570001546943</c:v>
                </c:pt>
                <c:pt idx="44">
                  <c:v>0.25068915952132759</c:v>
                </c:pt>
                <c:pt idx="45">
                  <c:v>0.26155442745797663</c:v>
                </c:pt>
                <c:pt idx="46">
                  <c:v>0.27535721405632313</c:v>
                </c:pt>
                <c:pt idx="47">
                  <c:v>0.28340808258485656</c:v>
                </c:pt>
                <c:pt idx="48">
                  <c:v>0.29973452800101064</c:v>
                </c:pt>
                <c:pt idx="49">
                  <c:v>0.31455628842176453</c:v>
                </c:pt>
                <c:pt idx="50">
                  <c:v>0.32928837762145008</c:v>
                </c:pt>
                <c:pt idx="51">
                  <c:v>0.34296537674709687</c:v>
                </c:pt>
                <c:pt idx="52">
                  <c:v>0.35402637761474987</c:v>
                </c:pt>
                <c:pt idx="53">
                  <c:v>0.37262824217720936</c:v>
                </c:pt>
                <c:pt idx="54">
                  <c:v>0.3885231984445876</c:v>
                </c:pt>
                <c:pt idx="55">
                  <c:v>0.41057087741069931</c:v>
                </c:pt>
                <c:pt idx="56">
                  <c:v>0.4313369535583732</c:v>
                </c:pt>
                <c:pt idx="57">
                  <c:v>0.44881902373318566</c:v>
                </c:pt>
                <c:pt idx="58">
                  <c:v>0.47088795315870036</c:v>
                </c:pt>
                <c:pt idx="59">
                  <c:v>0.49269415829464475</c:v>
                </c:pt>
                <c:pt idx="60">
                  <c:v>0.51537048874363522</c:v>
                </c:pt>
                <c:pt idx="61">
                  <c:v>0.53715449048477715</c:v>
                </c:pt>
                <c:pt idx="62">
                  <c:v>0.55937970131576753</c:v>
                </c:pt>
                <c:pt idx="63">
                  <c:v>0.58089211646812611</c:v>
                </c:pt>
                <c:pt idx="64">
                  <c:v>-0.11258451086432519</c:v>
                </c:pt>
                <c:pt idx="65">
                  <c:v>-8.3153202544281435E-2</c:v>
                </c:pt>
                <c:pt idx="66">
                  <c:v>1.7904998166347053E-3</c:v>
                </c:pt>
                <c:pt idx="67">
                  <c:v>9.5091826803046092E-2</c:v>
                </c:pt>
                <c:pt idx="68">
                  <c:v>0.20319786285851166</c:v>
                </c:pt>
                <c:pt idx="69">
                  <c:v>0.23458364168239679</c:v>
                </c:pt>
                <c:pt idx="70">
                  <c:v>0.24592728318946436</c:v>
                </c:pt>
                <c:pt idx="71">
                  <c:v>0.26289133768125</c:v>
                </c:pt>
                <c:pt idx="72">
                  <c:v>0.27979897839740075</c:v>
                </c:pt>
                <c:pt idx="73">
                  <c:v>0.30247549943347085</c:v>
                </c:pt>
                <c:pt idx="74">
                  <c:v>0.3192687879017127</c:v>
                </c:pt>
                <c:pt idx="75">
                  <c:v>0.34795642543618954</c:v>
                </c:pt>
                <c:pt idx="76">
                  <c:v>0.37017515630646503</c:v>
                </c:pt>
                <c:pt idx="77">
                  <c:v>0.39287931246911323</c:v>
                </c:pt>
                <c:pt idx="78">
                  <c:v>0.42317722024122589</c:v>
                </c:pt>
                <c:pt idx="79">
                  <c:v>0.45442568107408055</c:v>
                </c:pt>
                <c:pt idx="80">
                  <c:v>0.48819341722190646</c:v>
                </c:pt>
                <c:pt idx="81">
                  <c:v>0.52064210019010393</c:v>
                </c:pt>
                <c:pt idx="82">
                  <c:v>0.55966498918411911</c:v>
                </c:pt>
                <c:pt idx="83">
                  <c:v>0.59398028201234809</c:v>
                </c:pt>
                <c:pt idx="84">
                  <c:v>0.6298642970948064</c:v>
                </c:pt>
                <c:pt idx="85">
                  <c:v>-0.10624072461804396</c:v>
                </c:pt>
                <c:pt idx="86">
                  <c:v>-2.6334810538750586E-2</c:v>
                </c:pt>
                <c:pt idx="87">
                  <c:v>0.1000109808194099</c:v>
                </c:pt>
                <c:pt idx="88">
                  <c:v>0.23206752343813641</c:v>
                </c:pt>
                <c:pt idx="89">
                  <c:v>0.25236990122054009</c:v>
                </c:pt>
                <c:pt idx="90">
                  <c:v>0.27339698637406562</c:v>
                </c:pt>
                <c:pt idx="91">
                  <c:v>0.30067704303032489</c:v>
                </c:pt>
                <c:pt idx="92">
                  <c:v>0.32827728598072886</c:v>
                </c:pt>
                <c:pt idx="93">
                  <c:v>0.36439829609697816</c:v>
                </c:pt>
                <c:pt idx="94">
                  <c:v>0.39731143977876526</c:v>
                </c:pt>
                <c:pt idx="95">
                  <c:v>0.43364114274744803</c:v>
                </c:pt>
                <c:pt idx="96">
                  <c:v>0.47780711938470172</c:v>
                </c:pt>
                <c:pt idx="97">
                  <c:v>0.52081575597957841</c:v>
                </c:pt>
                <c:pt idx="98">
                  <c:v>0.57049646506577456</c:v>
                </c:pt>
                <c:pt idx="99">
                  <c:v>0.62024588079425591</c:v>
                </c:pt>
                <c:pt idx="100">
                  <c:v>0.66962631993615152</c:v>
                </c:pt>
                <c:pt idx="101">
                  <c:v>-9.3789670691572902E-2</c:v>
                </c:pt>
                <c:pt idx="102">
                  <c:v>3.3363638123903583E-2</c:v>
                </c:pt>
                <c:pt idx="103">
                  <c:v>0.21513644051116454</c:v>
                </c:pt>
                <c:pt idx="104">
                  <c:v>0.25855493462125445</c:v>
                </c:pt>
                <c:pt idx="105">
                  <c:v>0.28742334400096708</c:v>
                </c:pt>
                <c:pt idx="106">
                  <c:v>0.32507400602007641</c:v>
                </c:pt>
                <c:pt idx="107">
                  <c:v>0.36552401106799354</c:v>
                </c:pt>
                <c:pt idx="108">
                  <c:v>0.40771035970686598</c:v>
                </c:pt>
                <c:pt idx="109">
                  <c:v>0.4572433638061798</c:v>
                </c:pt>
                <c:pt idx="110">
                  <c:v>0.51455937248524719</c:v>
                </c:pt>
                <c:pt idx="111">
                  <c:v>0.57305359049193516</c:v>
                </c:pt>
                <c:pt idx="112">
                  <c:v>0.63629933498631408</c:v>
                </c:pt>
                <c:pt idx="113">
                  <c:v>-7.7579953669879187E-2</c:v>
                </c:pt>
                <c:pt idx="114">
                  <c:v>0.10551495129028743</c:v>
                </c:pt>
                <c:pt idx="115">
                  <c:v>0.25145890736275966</c:v>
                </c:pt>
                <c:pt idx="116">
                  <c:v>0.28446486695243289</c:v>
                </c:pt>
                <c:pt idx="117">
                  <c:v>0.32970975704870625</c:v>
                </c:pt>
                <c:pt idx="118">
                  <c:v>0.38121495625028745</c:v>
                </c:pt>
                <c:pt idx="119">
                  <c:v>0.43308579676455716</c:v>
                </c:pt>
                <c:pt idx="120">
                  <c:v>0.49959353442407484</c:v>
                </c:pt>
                <c:pt idx="121">
                  <c:v>0.57092903340322265</c:v>
                </c:pt>
                <c:pt idx="122">
                  <c:v>0.64933502716411207</c:v>
                </c:pt>
                <c:pt idx="123">
                  <c:v>-5.480632232467969E-2</c:v>
                </c:pt>
                <c:pt idx="124">
                  <c:v>0.16793984342370749</c:v>
                </c:pt>
                <c:pt idx="125">
                  <c:v>0.26828927120997853</c:v>
                </c:pt>
                <c:pt idx="126">
                  <c:v>0.316878488089885</c:v>
                </c:pt>
                <c:pt idx="127">
                  <c:v>0.37660094453265347</c:v>
                </c:pt>
                <c:pt idx="128">
                  <c:v>0.4385326864050203</c:v>
                </c:pt>
                <c:pt idx="129">
                  <c:v>0.51666499711924807</c:v>
                </c:pt>
                <c:pt idx="130">
                  <c:v>0.6041212089538005</c:v>
                </c:pt>
                <c:pt idx="131">
                  <c:v>0.69667753104508601</c:v>
                </c:pt>
                <c:pt idx="132">
                  <c:v>-2.1323793549899939E-2</c:v>
                </c:pt>
                <c:pt idx="133">
                  <c:v>0.24280235309446932</c:v>
                </c:pt>
                <c:pt idx="134">
                  <c:v>0.29024366399245127</c:v>
                </c:pt>
                <c:pt idx="135">
                  <c:v>0.35010991838696504</c:v>
                </c:pt>
                <c:pt idx="136">
                  <c:v>0.42460411233397388</c:v>
                </c:pt>
                <c:pt idx="137">
                  <c:v>0.51190213689225261</c:v>
                </c:pt>
                <c:pt idx="138">
                  <c:v>0.60985026276597865</c:v>
                </c:pt>
                <c:pt idx="139">
                  <c:v>0.71400704864637321</c:v>
                </c:pt>
                <c:pt idx="140">
                  <c:v>1.325699327250407E-2</c:v>
                </c:pt>
                <c:pt idx="141">
                  <c:v>0.25772884730754636</c:v>
                </c:pt>
                <c:pt idx="142">
                  <c:v>0.31218195216667677</c:v>
                </c:pt>
                <c:pt idx="143">
                  <c:v>0.39106841595586322</c:v>
                </c:pt>
                <c:pt idx="144">
                  <c:v>0.4785795168694118</c:v>
                </c:pt>
                <c:pt idx="145">
                  <c:v>0.58703194494250122</c:v>
                </c:pt>
                <c:pt idx="146">
                  <c:v>0.70714668231211075</c:v>
                </c:pt>
                <c:pt idx="147">
                  <c:v>3.9220957040819404E-2</c:v>
                </c:pt>
                <c:pt idx="148">
                  <c:v>0.26983188922621498</c:v>
                </c:pt>
                <c:pt idx="149">
                  <c:v>0.34080069866373502</c:v>
                </c:pt>
                <c:pt idx="150">
                  <c:v>0.43053261552521294</c:v>
                </c:pt>
                <c:pt idx="151">
                  <c:v>0.5425059493114146</c:v>
                </c:pt>
                <c:pt idx="152">
                  <c:v>0.66990301900201676</c:v>
                </c:pt>
                <c:pt idx="153">
                  <c:v>7.4386655611276914E-2</c:v>
                </c:pt>
                <c:pt idx="154">
                  <c:v>0.28082123554379163</c:v>
                </c:pt>
                <c:pt idx="155">
                  <c:v>0.36321631217944006</c:v>
                </c:pt>
                <c:pt idx="156">
                  <c:v>0.47377120162387276</c:v>
                </c:pt>
                <c:pt idx="157">
                  <c:v>0.60656045627107513</c:v>
                </c:pt>
                <c:pt idx="158">
                  <c:v>0.11149567534140478</c:v>
                </c:pt>
                <c:pt idx="159">
                  <c:v>0.2956258493193058</c:v>
                </c:pt>
                <c:pt idx="160">
                  <c:v>0.39671065735317046</c:v>
                </c:pt>
                <c:pt idx="161">
                  <c:v>0.52279248560574132</c:v>
                </c:pt>
                <c:pt idx="162">
                  <c:v>0.67551886408876505</c:v>
                </c:pt>
                <c:pt idx="163">
                  <c:v>0.14627648330410922</c:v>
                </c:pt>
                <c:pt idx="164">
                  <c:v>0.31226048023552072</c:v>
                </c:pt>
                <c:pt idx="165">
                  <c:v>0.42462918691886709</c:v>
                </c:pt>
                <c:pt idx="166">
                  <c:v>0.57146423288316872</c:v>
                </c:pt>
                <c:pt idx="167">
                  <c:v>0.17253633351388861</c:v>
                </c:pt>
                <c:pt idx="168">
                  <c:v>0.32825626326008517</c:v>
                </c:pt>
                <c:pt idx="169">
                  <c:v>0.4551287420134057</c:v>
                </c:pt>
                <c:pt idx="170">
                  <c:v>0.62645565714127649</c:v>
                </c:pt>
                <c:pt idx="171">
                  <c:v>0.22513331699432582</c:v>
                </c:pt>
                <c:pt idx="172">
                  <c:v>0.34704929285557873</c:v>
                </c:pt>
                <c:pt idx="173">
                  <c:v>0.49002256811446004</c:v>
                </c:pt>
                <c:pt idx="174">
                  <c:v>0.68136951245788613</c:v>
                </c:pt>
                <c:pt idx="175">
                  <c:v>0.24921523334914203</c:v>
                </c:pt>
                <c:pt idx="176">
                  <c:v>0.36015310753052932</c:v>
                </c:pt>
                <c:pt idx="177">
                  <c:v>0.52832990410913228</c:v>
                </c:pt>
                <c:pt idx="178">
                  <c:v>0.7368915311462908</c:v>
                </c:pt>
                <c:pt idx="179">
                  <c:v>0.25644744126813479</c:v>
                </c:pt>
                <c:pt idx="180">
                  <c:v>0.38106193959295587</c:v>
                </c:pt>
                <c:pt idx="181">
                  <c:v>0.56385867106670029</c:v>
                </c:pt>
                <c:pt idx="182">
                  <c:v>0.26267049059933228</c:v>
                </c:pt>
                <c:pt idx="183">
                  <c:v>0.40293190229905596</c:v>
                </c:pt>
                <c:pt idx="184">
                  <c:v>0.60264371357701174</c:v>
                </c:pt>
                <c:pt idx="185">
                  <c:v>0.267842452185168</c:v>
                </c:pt>
                <c:pt idx="186">
                  <c:v>0.42130421091578524</c:v>
                </c:pt>
                <c:pt idx="187">
                  <c:v>0.64603724697158793</c:v>
                </c:pt>
                <c:pt idx="188">
                  <c:v>0.2750928611702862</c:v>
                </c:pt>
                <c:pt idx="189">
                  <c:v>0.44132157191222243</c:v>
                </c:pt>
                <c:pt idx="190">
                  <c:v>0.68727409697060426</c:v>
                </c:pt>
                <c:pt idx="191">
                  <c:v>0.27885638423604497</c:v>
                </c:pt>
                <c:pt idx="192">
                  <c:v>0.45977630944098591</c:v>
                </c:pt>
                <c:pt idx="193">
                  <c:v>0.72889069172621745</c:v>
                </c:pt>
                <c:pt idx="194">
                  <c:v>0.2866961837655933</c:v>
                </c:pt>
                <c:pt idx="195">
                  <c:v>0.48267782471676363</c:v>
                </c:pt>
                <c:pt idx="196">
                  <c:v>0.29329554728595075</c:v>
                </c:pt>
                <c:pt idx="197">
                  <c:v>0.50572075560578822</c:v>
                </c:pt>
                <c:pt idx="198">
                  <c:v>0.29992759649050199</c:v>
                </c:pt>
                <c:pt idx="199">
                  <c:v>0.53297775741733244</c:v>
                </c:pt>
                <c:pt idx="200">
                  <c:v>0.30929552322627174</c:v>
                </c:pt>
                <c:pt idx="201">
                  <c:v>0.55911544130892932</c:v>
                </c:pt>
                <c:pt idx="202">
                  <c:v>0.31637430854598686</c:v>
                </c:pt>
                <c:pt idx="203">
                  <c:v>0.58095071716649704</c:v>
                </c:pt>
                <c:pt idx="204">
                  <c:v>0.32372334634492639</c:v>
                </c:pt>
                <c:pt idx="205">
                  <c:v>0.60810432548722382</c:v>
                </c:pt>
                <c:pt idx="206">
                  <c:v>0.33432589618395153</c:v>
                </c:pt>
                <c:pt idx="207">
                  <c:v>0.57411778917978573</c:v>
                </c:pt>
                <c:pt idx="208">
                  <c:v>0.34223097178834777</c:v>
                </c:pt>
                <c:pt idx="209">
                  <c:v>0.50004831234827163</c:v>
                </c:pt>
                <c:pt idx="210">
                  <c:v>0.35221792535946389</c:v>
                </c:pt>
                <c:pt idx="211">
                  <c:v>0.69298056621382031</c:v>
                </c:pt>
                <c:pt idx="212">
                  <c:v>0.35771922141927681</c:v>
                </c:pt>
                <c:pt idx="213">
                  <c:v>0.71999571302103726</c:v>
                </c:pt>
                <c:pt idx="214">
                  <c:v>0.36614355152271905</c:v>
                </c:pt>
                <c:pt idx="215">
                  <c:v>0.74781237379255516</c:v>
                </c:pt>
                <c:pt idx="216">
                  <c:v>0.37443018246097082</c:v>
                </c:pt>
                <c:pt idx="217">
                  <c:v>0.38677641349352554</c:v>
                </c:pt>
                <c:pt idx="218">
                  <c:v>0.3975912773395015</c:v>
                </c:pt>
                <c:pt idx="219">
                  <c:v>0.40796874383722592</c:v>
                </c:pt>
                <c:pt idx="220">
                  <c:v>0.41782362056200745</c:v>
                </c:pt>
                <c:pt idx="221">
                  <c:v>0.4266179754809743</c:v>
                </c:pt>
                <c:pt idx="222">
                  <c:v>0.43636393168962256</c:v>
                </c:pt>
                <c:pt idx="223">
                  <c:v>0.44645875754793274</c:v>
                </c:pt>
                <c:pt idx="224">
                  <c:v>0.45467611008265979</c:v>
                </c:pt>
                <c:pt idx="225">
                  <c:v>0.46517069234095104</c:v>
                </c:pt>
                <c:pt idx="226">
                  <c:v>0.47789399991098491</c:v>
                </c:pt>
                <c:pt idx="227">
                  <c:v>0.48784159725011228</c:v>
                </c:pt>
                <c:pt idx="228">
                  <c:v>0.50014618500572028</c:v>
                </c:pt>
                <c:pt idx="229">
                  <c:v>0.51098706398809535</c:v>
                </c:pt>
                <c:pt idx="230">
                  <c:v>0.5225935312702199</c:v>
                </c:pt>
                <c:pt idx="231">
                  <c:v>0.53877799550383387</c:v>
                </c:pt>
                <c:pt idx="232">
                  <c:v>0.54894848443284339</c:v>
                </c:pt>
                <c:pt idx="233">
                  <c:v>0.56396760396672663</c:v>
                </c:pt>
                <c:pt idx="234">
                  <c:v>0.57547820594768773</c:v>
                </c:pt>
                <c:pt idx="235">
                  <c:v>0.58648556274430996</c:v>
                </c:pt>
                <c:pt idx="236">
                  <c:v>0.60045054513955365</c:v>
                </c:pt>
                <c:pt idx="237">
                  <c:v>0.61442477100817017</c:v>
                </c:pt>
                <c:pt idx="238">
                  <c:v>0.62780093462022357</c:v>
                </c:pt>
                <c:pt idx="239">
                  <c:v>0.64268235498891657</c:v>
                </c:pt>
                <c:pt idx="240">
                  <c:v>0.65717888474985642</c:v>
                </c:pt>
                <c:pt idx="241">
                  <c:v>0.66939713655829314</c:v>
                </c:pt>
                <c:pt idx="242">
                  <c:v>0.68807152569658137</c:v>
                </c:pt>
                <c:pt idx="243">
                  <c:v>0.69721770436494801</c:v>
                </c:pt>
                <c:pt idx="244">
                  <c:v>0.71112036478508145</c:v>
                </c:pt>
                <c:pt idx="245">
                  <c:v>0.7240883861656402</c:v>
                </c:pt>
                <c:pt idx="246">
                  <c:v>0.74081478476080198</c:v>
                </c:pt>
                <c:pt idx="247">
                  <c:v>0.75164013089616943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0.64085638205578843</c:v>
                </c:pt>
                <c:pt idx="2">
                  <c:v>0.64085638205578865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-0.28359458252715963</c:v>
                </c:pt>
                <c:pt idx="2">
                  <c:v>0.58243082125727907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-0.64085638205578843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0.28359458252715963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0.29883623873011972</c:v>
                </c:pt>
                <c:pt idx="3">
                  <c:v>0.64085638205578843</c:v>
                </c:pt>
                <c:pt idx="4">
                  <c:v>-0.29883623873011983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-0.75344089292011351</c:v>
                </c:pt>
                <c:pt idx="3">
                  <c:v>-0.28359458252715963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-0.29883623873011983</c:v>
                </c:pt>
                <c:pt idx="2">
                  <c:v>-0.29883623873011983</c:v>
                </c:pt>
                <c:pt idx="3">
                  <c:v>-0.29883623873011983</c:v>
                </c:pt>
                <c:pt idx="4">
                  <c:v>-0.29883623873011983</c:v>
                </c:pt>
                <c:pt idx="5">
                  <c:v>-0.29883623873011983</c:v>
                </c:pt>
                <c:pt idx="6">
                  <c:v>-0.29883623873011983</c:v>
                </c:pt>
                <c:pt idx="7">
                  <c:v>-0.29883623873011983</c:v>
                </c:pt>
                <c:pt idx="8">
                  <c:v>-0.29883623873011983</c:v>
                </c:pt>
                <c:pt idx="9">
                  <c:v>-0.29883623873011983</c:v>
                </c:pt>
                <c:pt idx="10">
                  <c:v>-0.29883623873011983</c:v>
                </c:pt>
                <c:pt idx="11">
                  <c:v>-0.29883623873011983</c:v>
                </c:pt>
                <c:pt idx="12">
                  <c:v>-0.29883623873011977</c:v>
                </c:pt>
                <c:pt idx="13">
                  <c:v>-0.29883623873011977</c:v>
                </c:pt>
                <c:pt idx="14">
                  <c:v>-0.29883623873011977</c:v>
                </c:pt>
                <c:pt idx="15">
                  <c:v>-0.29883623873011977</c:v>
                </c:pt>
                <c:pt idx="16">
                  <c:v>-0.29883623873011977</c:v>
                </c:pt>
                <c:pt idx="17">
                  <c:v>-0.29883623873011977</c:v>
                </c:pt>
                <c:pt idx="18">
                  <c:v>-0.29883623873011977</c:v>
                </c:pt>
                <c:pt idx="19">
                  <c:v>-0.29883623873011977</c:v>
                </c:pt>
                <c:pt idx="20">
                  <c:v>-0.29883623873011977</c:v>
                </c:pt>
                <c:pt idx="21">
                  <c:v>-0.29883623873011977</c:v>
                </c:pt>
                <c:pt idx="22">
                  <c:v>-0.29883623873011977</c:v>
                </c:pt>
                <c:pt idx="23">
                  <c:v>-0.29883623873011977</c:v>
                </c:pt>
                <c:pt idx="24">
                  <c:v>-0.29883623873011977</c:v>
                </c:pt>
                <c:pt idx="25">
                  <c:v>-0.29883623873011977</c:v>
                </c:pt>
                <c:pt idx="26">
                  <c:v>-0.29883623873011977</c:v>
                </c:pt>
                <c:pt idx="27">
                  <c:v>-0.29883623873011977</c:v>
                </c:pt>
                <c:pt idx="28">
                  <c:v>-0.29883623873011977</c:v>
                </c:pt>
                <c:pt idx="29">
                  <c:v>-0.29883623873011977</c:v>
                </c:pt>
                <c:pt idx="30">
                  <c:v>-0.29883623873011977</c:v>
                </c:pt>
                <c:pt idx="31">
                  <c:v>-0.29883623873011977</c:v>
                </c:pt>
                <c:pt idx="32">
                  <c:v>-0.3330382530626867</c:v>
                </c:pt>
                <c:pt idx="33">
                  <c:v>-0.3330382530626867</c:v>
                </c:pt>
                <c:pt idx="34">
                  <c:v>-0.3330382530626867</c:v>
                </c:pt>
                <c:pt idx="35">
                  <c:v>-0.3330382530626867</c:v>
                </c:pt>
                <c:pt idx="36">
                  <c:v>-0.3330382530626867</c:v>
                </c:pt>
                <c:pt idx="37">
                  <c:v>-0.3330382530626867</c:v>
                </c:pt>
                <c:pt idx="38">
                  <c:v>-0.33303825306268664</c:v>
                </c:pt>
                <c:pt idx="39">
                  <c:v>-0.33303825306268664</c:v>
                </c:pt>
                <c:pt idx="40">
                  <c:v>-0.33303825306268664</c:v>
                </c:pt>
                <c:pt idx="41">
                  <c:v>-0.33303825306268664</c:v>
                </c:pt>
                <c:pt idx="42">
                  <c:v>-0.33303825306268664</c:v>
                </c:pt>
                <c:pt idx="43">
                  <c:v>-0.33303825306268664</c:v>
                </c:pt>
                <c:pt idx="44">
                  <c:v>-0.33303825306268664</c:v>
                </c:pt>
                <c:pt idx="45">
                  <c:v>-0.33303825306268664</c:v>
                </c:pt>
                <c:pt idx="46">
                  <c:v>-0.33303825306268664</c:v>
                </c:pt>
                <c:pt idx="47">
                  <c:v>-0.33303825306268664</c:v>
                </c:pt>
                <c:pt idx="48">
                  <c:v>-0.33303825306268664</c:v>
                </c:pt>
                <c:pt idx="49">
                  <c:v>-0.33303825306268664</c:v>
                </c:pt>
                <c:pt idx="50">
                  <c:v>-0.33303825306268664</c:v>
                </c:pt>
                <c:pt idx="51">
                  <c:v>-0.33303825306268664</c:v>
                </c:pt>
                <c:pt idx="52">
                  <c:v>-0.33303825306268664</c:v>
                </c:pt>
                <c:pt idx="53">
                  <c:v>-0.33303825306268664</c:v>
                </c:pt>
                <c:pt idx="54">
                  <c:v>-0.33303825306268664</c:v>
                </c:pt>
                <c:pt idx="55">
                  <c:v>-0.33303825306268658</c:v>
                </c:pt>
                <c:pt idx="56">
                  <c:v>-0.33303825306268658</c:v>
                </c:pt>
                <c:pt idx="57">
                  <c:v>-0.33303825306268658</c:v>
                </c:pt>
                <c:pt idx="58">
                  <c:v>-0.33303825306268658</c:v>
                </c:pt>
                <c:pt idx="59">
                  <c:v>-0.33303825306268658</c:v>
                </c:pt>
                <c:pt idx="60">
                  <c:v>-0.33303825306268658</c:v>
                </c:pt>
                <c:pt idx="61">
                  <c:v>-0.33303825306268658</c:v>
                </c:pt>
                <c:pt idx="62">
                  <c:v>-0.33303825306268658</c:v>
                </c:pt>
                <c:pt idx="63">
                  <c:v>-0.33303825306268658</c:v>
                </c:pt>
                <c:pt idx="64">
                  <c:v>-0.36724026739525356</c:v>
                </c:pt>
                <c:pt idx="65">
                  <c:v>-0.36724026739525356</c:v>
                </c:pt>
                <c:pt idx="66">
                  <c:v>-0.36724026739525356</c:v>
                </c:pt>
                <c:pt idx="67">
                  <c:v>-0.36724026739525356</c:v>
                </c:pt>
                <c:pt idx="68">
                  <c:v>-0.36724026739525351</c:v>
                </c:pt>
                <c:pt idx="69">
                  <c:v>-0.36724026739525351</c:v>
                </c:pt>
                <c:pt idx="70">
                  <c:v>-0.36724026739525351</c:v>
                </c:pt>
                <c:pt idx="71">
                  <c:v>-0.36724026739525351</c:v>
                </c:pt>
                <c:pt idx="72">
                  <c:v>-0.36724026739525351</c:v>
                </c:pt>
                <c:pt idx="73">
                  <c:v>-0.36724026739525351</c:v>
                </c:pt>
                <c:pt idx="74">
                  <c:v>-0.36724026739525351</c:v>
                </c:pt>
                <c:pt idx="75">
                  <c:v>-0.36724026739525351</c:v>
                </c:pt>
                <c:pt idx="76">
                  <c:v>-0.36724026739525351</c:v>
                </c:pt>
                <c:pt idx="77">
                  <c:v>-0.36724026739525351</c:v>
                </c:pt>
                <c:pt idx="78">
                  <c:v>-0.36724026739525351</c:v>
                </c:pt>
                <c:pt idx="79">
                  <c:v>-0.36724026739525345</c:v>
                </c:pt>
                <c:pt idx="80">
                  <c:v>-0.36724026739525345</c:v>
                </c:pt>
                <c:pt idx="81">
                  <c:v>-0.36724026739525345</c:v>
                </c:pt>
                <c:pt idx="82">
                  <c:v>-0.36724026739525345</c:v>
                </c:pt>
                <c:pt idx="83">
                  <c:v>-0.36724026739525345</c:v>
                </c:pt>
                <c:pt idx="84">
                  <c:v>-0.36724026739525345</c:v>
                </c:pt>
                <c:pt idx="85">
                  <c:v>-0.40144228172782043</c:v>
                </c:pt>
                <c:pt idx="86">
                  <c:v>-0.40144228172782043</c:v>
                </c:pt>
                <c:pt idx="87">
                  <c:v>-0.40144228172782043</c:v>
                </c:pt>
                <c:pt idx="88">
                  <c:v>-0.40144228172782037</c:v>
                </c:pt>
                <c:pt idx="89">
                  <c:v>-0.40144228172782037</c:v>
                </c:pt>
                <c:pt idx="90">
                  <c:v>-0.40144228172782037</c:v>
                </c:pt>
                <c:pt idx="91">
                  <c:v>-0.40144228172782037</c:v>
                </c:pt>
                <c:pt idx="92">
                  <c:v>-0.40144228172782037</c:v>
                </c:pt>
                <c:pt idx="93">
                  <c:v>-0.40144228172782037</c:v>
                </c:pt>
                <c:pt idx="94">
                  <c:v>-0.40144228172782037</c:v>
                </c:pt>
                <c:pt idx="95">
                  <c:v>-0.40144228172782037</c:v>
                </c:pt>
                <c:pt idx="96">
                  <c:v>-0.40144228172782032</c:v>
                </c:pt>
                <c:pt idx="97">
                  <c:v>-0.40144228172782032</c:v>
                </c:pt>
                <c:pt idx="98">
                  <c:v>-0.40144228172782032</c:v>
                </c:pt>
                <c:pt idx="99">
                  <c:v>-0.40144228172782032</c:v>
                </c:pt>
                <c:pt idx="100">
                  <c:v>-0.40144228172782032</c:v>
                </c:pt>
                <c:pt idx="101">
                  <c:v>-0.43564429606038735</c:v>
                </c:pt>
                <c:pt idx="102">
                  <c:v>-0.43564429606038735</c:v>
                </c:pt>
                <c:pt idx="103">
                  <c:v>-0.43564429606038729</c:v>
                </c:pt>
                <c:pt idx="104">
                  <c:v>-0.43564429606038729</c:v>
                </c:pt>
                <c:pt idx="105">
                  <c:v>-0.43564429606038729</c:v>
                </c:pt>
                <c:pt idx="106">
                  <c:v>-0.43564429606038729</c:v>
                </c:pt>
                <c:pt idx="107">
                  <c:v>-0.43564429606038729</c:v>
                </c:pt>
                <c:pt idx="108">
                  <c:v>-0.43564429606038729</c:v>
                </c:pt>
                <c:pt idx="109">
                  <c:v>-0.43564429606038729</c:v>
                </c:pt>
                <c:pt idx="110">
                  <c:v>-0.43564429606038724</c:v>
                </c:pt>
                <c:pt idx="111">
                  <c:v>-0.43564429606038724</c:v>
                </c:pt>
                <c:pt idx="112">
                  <c:v>-0.43564429606038724</c:v>
                </c:pt>
                <c:pt idx="113">
                  <c:v>-0.46984631039295421</c:v>
                </c:pt>
                <c:pt idx="114">
                  <c:v>-0.46984631039295421</c:v>
                </c:pt>
                <c:pt idx="115">
                  <c:v>-0.46984631039295416</c:v>
                </c:pt>
                <c:pt idx="116">
                  <c:v>-0.46984631039295416</c:v>
                </c:pt>
                <c:pt idx="117">
                  <c:v>-0.46984631039295416</c:v>
                </c:pt>
                <c:pt idx="118">
                  <c:v>-0.46984631039295416</c:v>
                </c:pt>
                <c:pt idx="119">
                  <c:v>-0.46984631039295416</c:v>
                </c:pt>
                <c:pt idx="120">
                  <c:v>-0.4698463103929541</c:v>
                </c:pt>
                <c:pt idx="121">
                  <c:v>-0.4698463103929541</c:v>
                </c:pt>
                <c:pt idx="122">
                  <c:v>-0.4698463103929541</c:v>
                </c:pt>
                <c:pt idx="123">
                  <c:v>-0.50404832472552108</c:v>
                </c:pt>
                <c:pt idx="124">
                  <c:v>-0.50404832472552108</c:v>
                </c:pt>
                <c:pt idx="125">
                  <c:v>-0.50404832472552108</c:v>
                </c:pt>
                <c:pt idx="126">
                  <c:v>-0.50404832472552108</c:v>
                </c:pt>
                <c:pt idx="127">
                  <c:v>-0.50404832472552108</c:v>
                </c:pt>
                <c:pt idx="128">
                  <c:v>-0.50404832472552108</c:v>
                </c:pt>
                <c:pt idx="129">
                  <c:v>-0.50404832472552108</c:v>
                </c:pt>
                <c:pt idx="130">
                  <c:v>-0.50404832472552108</c:v>
                </c:pt>
                <c:pt idx="131">
                  <c:v>-0.50404832472552097</c:v>
                </c:pt>
                <c:pt idx="132">
                  <c:v>-0.53825033905808795</c:v>
                </c:pt>
                <c:pt idx="133">
                  <c:v>-0.53825033905808795</c:v>
                </c:pt>
                <c:pt idx="134">
                  <c:v>-0.53825033905808795</c:v>
                </c:pt>
                <c:pt idx="135">
                  <c:v>-0.53825033905808795</c:v>
                </c:pt>
                <c:pt idx="136">
                  <c:v>-0.53825033905808795</c:v>
                </c:pt>
                <c:pt idx="137">
                  <c:v>-0.53825033905808795</c:v>
                </c:pt>
                <c:pt idx="138">
                  <c:v>-0.53825033905808795</c:v>
                </c:pt>
                <c:pt idx="139">
                  <c:v>-0.53825033905808783</c:v>
                </c:pt>
                <c:pt idx="140">
                  <c:v>-0.57245235339065481</c:v>
                </c:pt>
                <c:pt idx="141">
                  <c:v>-0.57245235339065481</c:v>
                </c:pt>
                <c:pt idx="142">
                  <c:v>-0.57245235339065481</c:v>
                </c:pt>
                <c:pt idx="143">
                  <c:v>-0.57245235339065481</c:v>
                </c:pt>
                <c:pt idx="144">
                  <c:v>-0.57245235339065481</c:v>
                </c:pt>
                <c:pt idx="145">
                  <c:v>-0.57245235339065481</c:v>
                </c:pt>
                <c:pt idx="146">
                  <c:v>-0.5724523533906547</c:v>
                </c:pt>
                <c:pt idx="147">
                  <c:v>-0.60665436772322168</c:v>
                </c:pt>
                <c:pt idx="148">
                  <c:v>-0.60665436772322168</c:v>
                </c:pt>
                <c:pt idx="149">
                  <c:v>-0.60665436772322168</c:v>
                </c:pt>
                <c:pt idx="150">
                  <c:v>-0.60665436772322168</c:v>
                </c:pt>
                <c:pt idx="151">
                  <c:v>-0.60665436772322168</c:v>
                </c:pt>
                <c:pt idx="152">
                  <c:v>-0.60665436772322168</c:v>
                </c:pt>
                <c:pt idx="153">
                  <c:v>-0.64085638205578854</c:v>
                </c:pt>
                <c:pt idx="154">
                  <c:v>-0.64085638205578854</c:v>
                </c:pt>
                <c:pt idx="155">
                  <c:v>-0.64085638205578854</c:v>
                </c:pt>
                <c:pt idx="156">
                  <c:v>-0.64085638205578854</c:v>
                </c:pt>
                <c:pt idx="157">
                  <c:v>-0.35312515036911474</c:v>
                </c:pt>
                <c:pt idx="158">
                  <c:v>-0.35855404153301434</c:v>
                </c:pt>
                <c:pt idx="159">
                  <c:v>-0.35855404153301429</c:v>
                </c:pt>
                <c:pt idx="160">
                  <c:v>-0.35855404153301429</c:v>
                </c:pt>
                <c:pt idx="161">
                  <c:v>-0.35855404153301423</c:v>
                </c:pt>
                <c:pt idx="162">
                  <c:v>-0.35855404153301423</c:v>
                </c:pt>
                <c:pt idx="163">
                  <c:v>-0.36398293269691379</c:v>
                </c:pt>
                <c:pt idx="164">
                  <c:v>-0.36398293269691379</c:v>
                </c:pt>
                <c:pt idx="165">
                  <c:v>-0.36398293269691379</c:v>
                </c:pt>
                <c:pt idx="166">
                  <c:v>-0.36398293269691373</c:v>
                </c:pt>
                <c:pt idx="167">
                  <c:v>-0.36941182386081328</c:v>
                </c:pt>
                <c:pt idx="168">
                  <c:v>-0.36941182386081328</c:v>
                </c:pt>
                <c:pt idx="169">
                  <c:v>-0.36941182386081328</c:v>
                </c:pt>
                <c:pt idx="170">
                  <c:v>-0.36941182386081323</c:v>
                </c:pt>
                <c:pt idx="171">
                  <c:v>-0.37484071502471283</c:v>
                </c:pt>
                <c:pt idx="172">
                  <c:v>-0.37484071502471283</c:v>
                </c:pt>
                <c:pt idx="173">
                  <c:v>-0.37484071502471283</c:v>
                </c:pt>
                <c:pt idx="174">
                  <c:v>-0.37484071502471278</c:v>
                </c:pt>
                <c:pt idx="175">
                  <c:v>-0.38026960618861233</c:v>
                </c:pt>
                <c:pt idx="176">
                  <c:v>-0.38026960618861233</c:v>
                </c:pt>
                <c:pt idx="177">
                  <c:v>-0.38026960618861227</c:v>
                </c:pt>
                <c:pt idx="178">
                  <c:v>-0.38026960618861227</c:v>
                </c:pt>
                <c:pt idx="179">
                  <c:v>-0.38569849735251183</c:v>
                </c:pt>
                <c:pt idx="180">
                  <c:v>-0.38569849735251183</c:v>
                </c:pt>
                <c:pt idx="181">
                  <c:v>-0.38569849735251177</c:v>
                </c:pt>
                <c:pt idx="182">
                  <c:v>-0.39112738851641132</c:v>
                </c:pt>
                <c:pt idx="183">
                  <c:v>-0.39112738851641132</c:v>
                </c:pt>
                <c:pt idx="184">
                  <c:v>-0.39112738851641127</c:v>
                </c:pt>
                <c:pt idx="185">
                  <c:v>-0.39655627968031082</c:v>
                </c:pt>
                <c:pt idx="186">
                  <c:v>-0.39655627968031082</c:v>
                </c:pt>
                <c:pt idx="187">
                  <c:v>-0.39655627968031076</c:v>
                </c:pt>
                <c:pt idx="188">
                  <c:v>-0.40198517084421037</c:v>
                </c:pt>
                <c:pt idx="189">
                  <c:v>-0.40198517084421037</c:v>
                </c:pt>
                <c:pt idx="190">
                  <c:v>-0.40198517084421032</c:v>
                </c:pt>
                <c:pt idx="191">
                  <c:v>-0.40741406200810987</c:v>
                </c:pt>
                <c:pt idx="192">
                  <c:v>-0.40741406200810987</c:v>
                </c:pt>
                <c:pt idx="193">
                  <c:v>-0.40741406200810981</c:v>
                </c:pt>
                <c:pt idx="194">
                  <c:v>-0.41284295317200936</c:v>
                </c:pt>
                <c:pt idx="195">
                  <c:v>-0.41284295317200936</c:v>
                </c:pt>
                <c:pt idx="196">
                  <c:v>-0.41827184433590886</c:v>
                </c:pt>
                <c:pt idx="197">
                  <c:v>-0.41827184433590886</c:v>
                </c:pt>
                <c:pt idx="198">
                  <c:v>-0.42370073549980836</c:v>
                </c:pt>
                <c:pt idx="199">
                  <c:v>-0.4237007354998083</c:v>
                </c:pt>
                <c:pt idx="200">
                  <c:v>-0.42912962666370785</c:v>
                </c:pt>
                <c:pt idx="201">
                  <c:v>-0.4291296266637078</c:v>
                </c:pt>
                <c:pt idx="202">
                  <c:v>-0.43455851782760735</c:v>
                </c:pt>
                <c:pt idx="203">
                  <c:v>-0.43455851782760729</c:v>
                </c:pt>
                <c:pt idx="204">
                  <c:v>-0.4399874089915069</c:v>
                </c:pt>
                <c:pt idx="205">
                  <c:v>-0.43998740899150685</c:v>
                </c:pt>
                <c:pt idx="206">
                  <c:v>-0.4454163001554064</c:v>
                </c:pt>
                <c:pt idx="207">
                  <c:v>-0.44541630015540634</c:v>
                </c:pt>
                <c:pt idx="208">
                  <c:v>-0.45084519131930589</c:v>
                </c:pt>
                <c:pt idx="209">
                  <c:v>-0.45084519131930589</c:v>
                </c:pt>
                <c:pt idx="210">
                  <c:v>-0.45627408248320539</c:v>
                </c:pt>
                <c:pt idx="211">
                  <c:v>-0.45627408248320533</c:v>
                </c:pt>
                <c:pt idx="212">
                  <c:v>-0.46170297364710489</c:v>
                </c:pt>
                <c:pt idx="213">
                  <c:v>-0.46170297364710483</c:v>
                </c:pt>
                <c:pt idx="214">
                  <c:v>-0.46713186481100438</c:v>
                </c:pt>
                <c:pt idx="215">
                  <c:v>-0.46713186481100433</c:v>
                </c:pt>
                <c:pt idx="216">
                  <c:v>-0.47256075597490388</c:v>
                </c:pt>
                <c:pt idx="217">
                  <c:v>-0.47798964713880343</c:v>
                </c:pt>
                <c:pt idx="218">
                  <c:v>-0.48341853830270293</c:v>
                </c:pt>
                <c:pt idx="219">
                  <c:v>-0.48884742946660242</c:v>
                </c:pt>
                <c:pt idx="220">
                  <c:v>-0.49427632063050192</c:v>
                </c:pt>
                <c:pt idx="221">
                  <c:v>-0.49970521179440142</c:v>
                </c:pt>
                <c:pt idx="222">
                  <c:v>-0.50513410295830097</c:v>
                </c:pt>
                <c:pt idx="223">
                  <c:v>-0.51056299412220041</c:v>
                </c:pt>
                <c:pt idx="224">
                  <c:v>-0.51599188528609996</c:v>
                </c:pt>
                <c:pt idx="225">
                  <c:v>-0.52142077644999951</c:v>
                </c:pt>
                <c:pt idx="226">
                  <c:v>-0.52684966761389895</c:v>
                </c:pt>
                <c:pt idx="227">
                  <c:v>-0.53227855877779851</c:v>
                </c:pt>
                <c:pt idx="228">
                  <c:v>-0.53770744994169795</c:v>
                </c:pt>
                <c:pt idx="229">
                  <c:v>-0.5431363411055975</c:v>
                </c:pt>
                <c:pt idx="230">
                  <c:v>-0.54856523226949694</c:v>
                </c:pt>
                <c:pt idx="231">
                  <c:v>-0.55399412343339649</c:v>
                </c:pt>
                <c:pt idx="232">
                  <c:v>-0.55942301459729593</c:v>
                </c:pt>
                <c:pt idx="233">
                  <c:v>-0.56485190576119548</c:v>
                </c:pt>
                <c:pt idx="234">
                  <c:v>-0.57028079692509503</c:v>
                </c:pt>
                <c:pt idx="235">
                  <c:v>-0.57570968808899448</c:v>
                </c:pt>
                <c:pt idx="236">
                  <c:v>-0.58113857925289403</c:v>
                </c:pt>
                <c:pt idx="237">
                  <c:v>-0.58656747041679358</c:v>
                </c:pt>
                <c:pt idx="238">
                  <c:v>-0.59199636158069302</c:v>
                </c:pt>
                <c:pt idx="239">
                  <c:v>-0.59742525274459257</c:v>
                </c:pt>
                <c:pt idx="240">
                  <c:v>-0.60285414390849201</c:v>
                </c:pt>
                <c:pt idx="241">
                  <c:v>-0.60828303507239156</c:v>
                </c:pt>
                <c:pt idx="242">
                  <c:v>-0.61371192623629101</c:v>
                </c:pt>
                <c:pt idx="243">
                  <c:v>-0.61914081740019056</c:v>
                </c:pt>
                <c:pt idx="244">
                  <c:v>-0.62456970856409</c:v>
                </c:pt>
                <c:pt idx="245">
                  <c:v>-0.62999859972798944</c:v>
                </c:pt>
                <c:pt idx="246">
                  <c:v>-0.63542749089188899</c:v>
                </c:pt>
                <c:pt idx="247">
                  <c:v>-0.64085638205578843</c:v>
                </c:pt>
              </c:numCache>
            </c:numRef>
          </c:xVal>
          <c:yVal>
            <c:numRef>
              <c:f>plot!$P$33:$P$280</c:f>
              <c:numCache>
                <c:formatCode>General</c:formatCode>
                <c:ptCount val="248"/>
                <c:pt idx="0">
                  <c:v>3.8620984649358481E-3</c:v>
                </c:pt>
                <c:pt idx="1">
                  <c:v>-9.5181623429242912E-2</c:v>
                </c:pt>
                <c:pt idx="2">
                  <c:v>-0.11204753176685339</c:v>
                </c:pt>
                <c:pt idx="3">
                  <c:v>-0.1065939777705423</c:v>
                </c:pt>
                <c:pt idx="4">
                  <c:v>-9.3185319061374838E-2</c:v>
                </c:pt>
                <c:pt idx="5">
                  <c:v>-7.8837351929176458E-2</c:v>
                </c:pt>
                <c:pt idx="6">
                  <c:v>-5.5577151769125033E-2</c:v>
                </c:pt>
                <c:pt idx="7">
                  <c:v>-2.0972446268200162E-2</c:v>
                </c:pt>
                <c:pt idx="8">
                  <c:v>1.2468058055473186E-2</c:v>
                </c:pt>
                <c:pt idx="9">
                  <c:v>3.9323778770397388E-2</c:v>
                </c:pt>
                <c:pt idx="10">
                  <c:v>7.4606211927261884E-2</c:v>
                </c:pt>
                <c:pt idx="11">
                  <c:v>0.11215853720511615</c:v>
                </c:pt>
                <c:pt idx="12">
                  <c:v>0.14515363952318461</c:v>
                </c:pt>
                <c:pt idx="13">
                  <c:v>0.17401690924368798</c:v>
                </c:pt>
                <c:pt idx="14">
                  <c:v>0.22503773757378204</c:v>
                </c:pt>
                <c:pt idx="15">
                  <c:v>0.24837321963037351</c:v>
                </c:pt>
                <c:pt idx="16">
                  <c:v>0.25694820882043545</c:v>
                </c:pt>
                <c:pt idx="17">
                  <c:v>0.2628910951442564</c:v>
                </c:pt>
                <c:pt idx="18">
                  <c:v>0.26781186295885234</c:v>
                </c:pt>
                <c:pt idx="19">
                  <c:v>0.27507380246230145</c:v>
                </c:pt>
                <c:pt idx="20">
                  <c:v>0.27807602543760734</c:v>
                </c:pt>
                <c:pt idx="21">
                  <c:v>0.2867197212699546</c:v>
                </c:pt>
                <c:pt idx="22">
                  <c:v>0.29221320325949385</c:v>
                </c:pt>
                <c:pt idx="23">
                  <c:v>0.30165765070782241</c:v>
                </c:pt>
                <c:pt idx="24">
                  <c:v>0.3099930719385155</c:v>
                </c:pt>
                <c:pt idx="25">
                  <c:v>0.31629797842050766</c:v>
                </c:pt>
                <c:pt idx="26">
                  <c:v>0.32388648888527638</c:v>
                </c:pt>
                <c:pt idx="27">
                  <c:v>0.33352743161292825</c:v>
                </c:pt>
                <c:pt idx="28">
                  <c:v>0.34219981080079254</c:v>
                </c:pt>
                <c:pt idx="29">
                  <c:v>0.35224508401834215</c:v>
                </c:pt>
                <c:pt idx="30">
                  <c:v>0.35905237804281376</c:v>
                </c:pt>
                <c:pt idx="31">
                  <c:v>0.36635577023612975</c:v>
                </c:pt>
                <c:pt idx="32">
                  <c:v>-0.14082661788428652</c:v>
                </c:pt>
                <c:pt idx="33">
                  <c:v>-0.15393700781349184</c:v>
                </c:pt>
                <c:pt idx="34">
                  <c:v>-0.12380871635049723</c:v>
                </c:pt>
                <c:pt idx="35">
                  <c:v>-6.9443084769070462E-2</c:v>
                </c:pt>
                <c:pt idx="36">
                  <c:v>-7.7333706527801249E-3</c:v>
                </c:pt>
                <c:pt idx="37">
                  <c:v>6.4945773431242748E-2</c:v>
                </c:pt>
                <c:pt idx="38">
                  <c:v>0.12554484133971883</c:v>
                </c:pt>
                <c:pt idx="39">
                  <c:v>0.20187715857026853</c:v>
                </c:pt>
                <c:pt idx="40">
                  <c:v>0.21594648739172917</c:v>
                </c:pt>
                <c:pt idx="41">
                  <c:v>0.22814129698934446</c:v>
                </c:pt>
                <c:pt idx="42">
                  <c:v>0.23874432329606918</c:v>
                </c:pt>
                <c:pt idx="43">
                  <c:v>0.25368206214685729</c:v>
                </c:pt>
                <c:pt idx="44">
                  <c:v>0.26990197557732298</c:v>
                </c:pt>
                <c:pt idx="45">
                  <c:v>0.28628369743857962</c:v>
                </c:pt>
                <c:pt idx="46">
                  <c:v>0.30560293796153365</c:v>
                </c:pt>
                <c:pt idx="47">
                  <c:v>0.31917026041467467</c:v>
                </c:pt>
                <c:pt idx="48">
                  <c:v>0.34101315975543622</c:v>
                </c:pt>
                <c:pt idx="49">
                  <c:v>0.36135137410079771</c:v>
                </c:pt>
                <c:pt idx="50">
                  <c:v>0.38159991722509085</c:v>
                </c:pt>
                <c:pt idx="51">
                  <c:v>0.40079337027534523</c:v>
                </c:pt>
                <c:pt idx="52">
                  <c:v>0.4173708250676057</c:v>
                </c:pt>
                <c:pt idx="53">
                  <c:v>0.44148914355467284</c:v>
                </c:pt>
                <c:pt idx="54">
                  <c:v>0.46290055374665867</c:v>
                </c:pt>
                <c:pt idx="55">
                  <c:v>0.49046468663737791</c:v>
                </c:pt>
                <c:pt idx="56">
                  <c:v>0.5167472167096594</c:v>
                </c:pt>
                <c:pt idx="57">
                  <c:v>0.53974574080907933</c:v>
                </c:pt>
                <c:pt idx="58">
                  <c:v>0.56733112415920162</c:v>
                </c:pt>
                <c:pt idx="59">
                  <c:v>0.5946537832197536</c:v>
                </c:pt>
                <c:pt idx="60">
                  <c:v>0.62284656759335166</c:v>
                </c:pt>
                <c:pt idx="61">
                  <c:v>0.65014702325910112</c:v>
                </c:pt>
                <c:pt idx="62">
                  <c:v>0.67788868801469904</c:v>
                </c:pt>
                <c:pt idx="63">
                  <c:v>0.70491755709166526</c:v>
                </c:pt>
                <c:pt idx="64">
                  <c:v>-0.20655377294291596</c:v>
                </c:pt>
                <c:pt idx="65">
                  <c:v>-0.17160601069826462</c:v>
                </c:pt>
                <c:pt idx="66">
                  <c:v>-8.1145854412740942E-2</c:v>
                </c:pt>
                <c:pt idx="67">
                  <c:v>1.7671926498278034E-2</c:v>
                </c:pt>
                <c:pt idx="68">
                  <c:v>0.13129441647835111</c:v>
                </c:pt>
                <c:pt idx="69">
                  <c:v>0.16819664922684385</c:v>
                </c:pt>
                <c:pt idx="70">
                  <c:v>0.18505674465851896</c:v>
                </c:pt>
                <c:pt idx="71">
                  <c:v>0.20753725307491219</c:v>
                </c:pt>
                <c:pt idx="72">
                  <c:v>0.22996134771567045</c:v>
                </c:pt>
                <c:pt idx="73">
                  <c:v>0.25815432267634819</c:v>
                </c:pt>
                <c:pt idx="74">
                  <c:v>0.28046406506919752</c:v>
                </c:pt>
                <c:pt idx="75">
                  <c:v>0.31466815652828201</c:v>
                </c:pt>
                <c:pt idx="76">
                  <c:v>0.34240334132316497</c:v>
                </c:pt>
                <c:pt idx="77">
                  <c:v>0.37062395141042082</c:v>
                </c:pt>
                <c:pt idx="78">
                  <c:v>0.40643831310714096</c:v>
                </c:pt>
                <c:pt idx="79">
                  <c:v>0.4432032278646032</c:v>
                </c:pt>
                <c:pt idx="80">
                  <c:v>0.48248741793703664</c:v>
                </c:pt>
                <c:pt idx="81">
                  <c:v>0.52045255482984165</c:v>
                </c:pt>
                <c:pt idx="82">
                  <c:v>0.56499189774846448</c:v>
                </c:pt>
                <c:pt idx="83">
                  <c:v>0.60482364450130111</c:v>
                </c:pt>
                <c:pt idx="84">
                  <c:v>0.64622411350836684</c:v>
                </c:pt>
                <c:pt idx="85">
                  <c:v>-0.2471946177359301</c:v>
                </c:pt>
                <c:pt idx="86">
                  <c:v>-0.16177224973202914</c:v>
                </c:pt>
                <c:pt idx="87">
                  <c:v>-2.9910004449261118E-2</c:v>
                </c:pt>
                <c:pt idx="88">
                  <c:v>0.10766299209407298</c:v>
                </c:pt>
                <c:pt idx="89">
                  <c:v>0.13348182380108417</c:v>
                </c:pt>
                <c:pt idx="90">
                  <c:v>0.16002536287921729</c:v>
                </c:pt>
                <c:pt idx="91">
                  <c:v>0.19282187346008411</c:v>
                </c:pt>
                <c:pt idx="92">
                  <c:v>0.22593857033509571</c:v>
                </c:pt>
                <c:pt idx="93">
                  <c:v>0.26757603437595245</c:v>
                </c:pt>
                <c:pt idx="94">
                  <c:v>0.3060056319823472</c:v>
                </c:pt>
                <c:pt idx="95">
                  <c:v>0.3478517888756375</c:v>
                </c:pt>
                <c:pt idx="96">
                  <c:v>0.39753421943749878</c:v>
                </c:pt>
                <c:pt idx="97">
                  <c:v>0.44605930995698301</c:v>
                </c:pt>
                <c:pt idx="98">
                  <c:v>0.50125647296778675</c:v>
                </c:pt>
                <c:pt idx="99">
                  <c:v>0.55652234262087563</c:v>
                </c:pt>
                <c:pt idx="100">
                  <c:v>0.61141923568737888</c:v>
                </c:pt>
                <c:pt idx="101">
                  <c:v>-0.28172819484875444</c:v>
                </c:pt>
                <c:pt idx="102">
                  <c:v>-0.1490584321086704</c:v>
                </c:pt>
                <c:pt idx="103">
                  <c:v>3.8230824203198094E-2</c:v>
                </c:pt>
                <c:pt idx="104">
                  <c:v>8.7165772237895595E-2</c:v>
                </c:pt>
                <c:pt idx="105">
                  <c:v>0.12155063554221575</c:v>
                </c:pt>
                <c:pt idx="106">
                  <c:v>0.16471775148593271</c:v>
                </c:pt>
                <c:pt idx="107">
                  <c:v>0.21068421045845737</c:v>
                </c:pt>
                <c:pt idx="108">
                  <c:v>0.25838701302193734</c:v>
                </c:pt>
                <c:pt idx="109">
                  <c:v>0.3134364710458587</c:v>
                </c:pt>
                <c:pt idx="110">
                  <c:v>0.37626893364953368</c:v>
                </c:pt>
                <c:pt idx="111">
                  <c:v>0.44027960558082913</c:v>
                </c:pt>
                <c:pt idx="112">
                  <c:v>0.50904180399981569</c:v>
                </c:pt>
                <c:pt idx="113">
                  <c:v>-0.31250310886635613</c:v>
                </c:pt>
                <c:pt idx="114">
                  <c:v>-0.12389174998158192</c:v>
                </c:pt>
                <c:pt idx="115">
                  <c:v>2.7568660015497827E-2</c:v>
                </c:pt>
                <c:pt idx="116">
                  <c:v>6.6091073529778652E-2</c:v>
                </c:pt>
                <c:pt idx="117">
                  <c:v>0.11685241755065957</c:v>
                </c:pt>
                <c:pt idx="118">
                  <c:v>0.17387407067684835</c:v>
                </c:pt>
                <c:pt idx="119">
                  <c:v>0.23126136511572559</c:v>
                </c:pt>
                <c:pt idx="120">
                  <c:v>0.30328555669985086</c:v>
                </c:pt>
                <c:pt idx="121">
                  <c:v>0.38013750960360615</c:v>
                </c:pt>
                <c:pt idx="122">
                  <c:v>0.46405995728910326</c:v>
                </c:pt>
                <c:pt idx="123">
                  <c:v>-0.33671410856045203</c:v>
                </c:pt>
                <c:pt idx="124">
                  <c:v>-0.10845148888745723</c:v>
                </c:pt>
                <c:pt idx="125">
                  <c:v>-2.585607176578672E-3</c:v>
                </c:pt>
                <c:pt idx="126">
                  <c:v>5.1520063627935403E-2</c:v>
                </c:pt>
                <c:pt idx="127">
                  <c:v>0.11675897399531138</c:v>
                </c:pt>
                <c:pt idx="128">
                  <c:v>0.1842071697922858</c:v>
                </c:pt>
                <c:pt idx="129">
                  <c:v>0.2678559344311211</c:v>
                </c:pt>
                <c:pt idx="130">
                  <c:v>0.36082860019028112</c:v>
                </c:pt>
                <c:pt idx="131">
                  <c:v>0.45890137620617416</c:v>
                </c:pt>
                <c:pt idx="132">
                  <c:v>-0.35021621082496762</c:v>
                </c:pt>
                <c:pt idx="133">
                  <c:v>-8.0573610255990788E-2</c:v>
                </c:pt>
                <c:pt idx="134">
                  <c:v>-2.7615845433401297E-2</c:v>
                </c:pt>
                <c:pt idx="135">
                  <c:v>3.7766862885720037E-2</c:v>
                </c:pt>
                <c:pt idx="136">
                  <c:v>0.11777751075733646</c:v>
                </c:pt>
                <c:pt idx="137">
                  <c:v>0.21059198924022277</c:v>
                </c:pt>
                <c:pt idx="138">
                  <c:v>0.31405656903855633</c:v>
                </c:pt>
                <c:pt idx="139">
                  <c:v>0.42372980884355854</c:v>
                </c:pt>
                <c:pt idx="140">
                  <c:v>-0.36262005504185907</c:v>
                </c:pt>
                <c:pt idx="141">
                  <c:v>-0.11263174708220919</c:v>
                </c:pt>
                <c:pt idx="142">
                  <c:v>-5.2662188298471267E-2</c:v>
                </c:pt>
                <c:pt idx="143">
                  <c:v>3.1740729415322813E-2</c:v>
                </c:pt>
                <c:pt idx="144">
                  <c:v>0.12476828425347894</c:v>
                </c:pt>
                <c:pt idx="145">
                  <c:v>0.23873716625117597</c:v>
                </c:pt>
                <c:pt idx="146">
                  <c:v>0.36436835754539298</c:v>
                </c:pt>
                <c:pt idx="147">
                  <c:v>-0.38364072231283908</c:v>
                </c:pt>
                <c:pt idx="148">
                  <c:v>-0.14751333620283594</c:v>
                </c:pt>
                <c:pt idx="149">
                  <c:v>-7.1028072840708376E-2</c:v>
                </c:pt>
                <c:pt idx="150">
                  <c:v>2.4220297945377112E-2</c:v>
                </c:pt>
                <c:pt idx="151">
                  <c:v>0.14171008565618629</c:v>
                </c:pt>
                <c:pt idx="152">
                  <c:v>0.27462360927139617</c:v>
                </c:pt>
                <c:pt idx="153">
                  <c:v>-0.39545965478167699</c:v>
                </c:pt>
                <c:pt idx="154">
                  <c:v>-0.18350862092455464</c:v>
                </c:pt>
                <c:pt idx="155">
                  <c:v>-9.5597090364298726E-2</c:v>
                </c:pt>
                <c:pt idx="156">
                  <c:v>2.0474253004741566E-2</c:v>
                </c:pt>
                <c:pt idx="157">
                  <c:v>0.55404749254205232</c:v>
                </c:pt>
                <c:pt idx="158">
                  <c:v>2.945901797120648E-2</c:v>
                </c:pt>
                <c:pt idx="159">
                  <c:v>0.21910564587371512</c:v>
                </c:pt>
                <c:pt idx="160">
                  <c:v>0.32570690783218731</c:v>
                </c:pt>
                <c:pt idx="161">
                  <c:v>0.4573051900093657</c:v>
                </c:pt>
                <c:pt idx="162">
                  <c:v>0.61554802241699702</c:v>
                </c:pt>
                <c:pt idx="163">
                  <c:v>5.6781947991165621E-2</c:v>
                </c:pt>
                <c:pt idx="164">
                  <c:v>0.22828239884718474</c:v>
                </c:pt>
                <c:pt idx="165">
                  <c:v>0.34616755945513855</c:v>
                </c:pt>
                <c:pt idx="166">
                  <c:v>0.49851905934404783</c:v>
                </c:pt>
                <c:pt idx="167">
                  <c:v>7.558392025819971E-2</c:v>
                </c:pt>
                <c:pt idx="168">
                  <c:v>0.23682030392900383</c:v>
                </c:pt>
                <c:pt idx="169">
                  <c:v>0.36920923660693189</c:v>
                </c:pt>
                <c:pt idx="170">
                  <c:v>0.54605260565941027</c:v>
                </c:pt>
                <c:pt idx="171">
                  <c:v>0.12072302579589161</c:v>
                </c:pt>
                <c:pt idx="172">
                  <c:v>0.24815545558175212</c:v>
                </c:pt>
                <c:pt idx="173">
                  <c:v>0.39664518476524097</c:v>
                </c:pt>
                <c:pt idx="174">
                  <c:v>0.59350858303327469</c:v>
                </c:pt>
                <c:pt idx="175">
                  <c:v>0.13734706420796255</c:v>
                </c:pt>
                <c:pt idx="176">
                  <c:v>0.25380139231395743</c:v>
                </c:pt>
                <c:pt idx="177">
                  <c:v>0.42749464281716787</c:v>
                </c:pt>
                <c:pt idx="178">
                  <c:v>0.64157272377893404</c:v>
                </c:pt>
                <c:pt idx="179">
                  <c:v>0.13712139418420996</c:v>
                </c:pt>
                <c:pt idx="180">
                  <c:v>0.26725234643363865</c:v>
                </c:pt>
                <c:pt idx="181">
                  <c:v>0.45556553183199061</c:v>
                </c:pt>
                <c:pt idx="182">
                  <c:v>0.13588656557266221</c:v>
                </c:pt>
                <c:pt idx="183">
                  <c:v>0.28166443119699347</c:v>
                </c:pt>
                <c:pt idx="184">
                  <c:v>0.48689269639955679</c:v>
                </c:pt>
                <c:pt idx="185">
                  <c:v>0.1336006492157526</c:v>
                </c:pt>
                <c:pt idx="186">
                  <c:v>0.29257886187097742</c:v>
                </c:pt>
                <c:pt idx="187">
                  <c:v>0.52282835185138765</c:v>
                </c:pt>
                <c:pt idx="188">
                  <c:v>0.13339318025812552</c:v>
                </c:pt>
                <c:pt idx="189">
                  <c:v>0.3051383449246694</c:v>
                </c:pt>
                <c:pt idx="190">
                  <c:v>0.55660732390765877</c:v>
                </c:pt>
                <c:pt idx="191">
                  <c:v>0.129698825381139</c:v>
                </c:pt>
                <c:pt idx="192">
                  <c:v>0.31613520451068755</c:v>
                </c:pt>
                <c:pt idx="193">
                  <c:v>0.59076604072052663</c:v>
                </c:pt>
                <c:pt idx="194">
                  <c:v>0.13008074696794206</c:v>
                </c:pt>
                <c:pt idx="195">
                  <c:v>0.33157884184371994</c:v>
                </c:pt>
                <c:pt idx="196">
                  <c:v>0.12922223254555412</c:v>
                </c:pt>
                <c:pt idx="197">
                  <c:v>0.34716389478999921</c:v>
                </c:pt>
                <c:pt idx="198">
                  <c:v>0.12839640380736012</c:v>
                </c:pt>
                <c:pt idx="199">
                  <c:v>0.36696301865879821</c:v>
                </c:pt>
                <c:pt idx="200">
                  <c:v>0.13030645260038456</c:v>
                </c:pt>
                <c:pt idx="201">
                  <c:v>0.3856428246076497</c:v>
                </c:pt>
                <c:pt idx="202">
                  <c:v>0.12992735997735441</c:v>
                </c:pt>
                <c:pt idx="203">
                  <c:v>0.40002022252247216</c:v>
                </c:pt>
                <c:pt idx="204">
                  <c:v>0.12981851983354858</c:v>
                </c:pt>
                <c:pt idx="205">
                  <c:v>0.4197159529004536</c:v>
                </c:pt>
                <c:pt idx="206">
                  <c:v>0.13296319172982846</c:v>
                </c:pt>
                <c:pt idx="207">
                  <c:v>0.3782715386502703</c:v>
                </c:pt>
                <c:pt idx="208">
                  <c:v>0.13341038939147939</c:v>
                </c:pt>
                <c:pt idx="209">
                  <c:v>0.29674418387601087</c:v>
                </c:pt>
                <c:pt idx="210">
                  <c:v>0.13593946501985019</c:v>
                </c:pt>
                <c:pt idx="211">
                  <c:v>0.48221855979881423</c:v>
                </c:pt>
                <c:pt idx="212">
                  <c:v>0.13398288313691784</c:v>
                </c:pt>
                <c:pt idx="213">
                  <c:v>0.50177582866328585</c:v>
                </c:pt>
                <c:pt idx="214">
                  <c:v>0.1349493352976148</c:v>
                </c:pt>
                <c:pt idx="215">
                  <c:v>0.52213461149205842</c:v>
                </c:pt>
                <c:pt idx="216">
                  <c:v>0.13577808829312124</c:v>
                </c:pt>
                <c:pt idx="217">
                  <c:v>0.14066644138293066</c:v>
                </c:pt>
                <c:pt idx="218">
                  <c:v>0.14402342728616133</c:v>
                </c:pt>
                <c:pt idx="219">
                  <c:v>0.14694301584114039</c:v>
                </c:pt>
                <c:pt idx="220">
                  <c:v>0.14934001462317664</c:v>
                </c:pt>
                <c:pt idx="221">
                  <c:v>0.15067649159939819</c:v>
                </c:pt>
                <c:pt idx="222">
                  <c:v>0.15296456986530119</c:v>
                </c:pt>
                <c:pt idx="223">
                  <c:v>0.15560151778086601</c:v>
                </c:pt>
                <c:pt idx="224">
                  <c:v>0.15636099237284781</c:v>
                </c:pt>
                <c:pt idx="225">
                  <c:v>0.15939769668839376</c:v>
                </c:pt>
                <c:pt idx="226">
                  <c:v>0.16466312631568231</c:v>
                </c:pt>
                <c:pt idx="227">
                  <c:v>0.1671528457120644</c:v>
                </c:pt>
                <c:pt idx="228">
                  <c:v>0.17199955552492718</c:v>
                </c:pt>
                <c:pt idx="229">
                  <c:v>0.17538255656455681</c:v>
                </c:pt>
                <c:pt idx="230">
                  <c:v>0.1795311459039361</c:v>
                </c:pt>
                <c:pt idx="231">
                  <c:v>0.18825773219480474</c:v>
                </c:pt>
                <c:pt idx="232">
                  <c:v>0.19097034318106898</c:v>
                </c:pt>
                <c:pt idx="233">
                  <c:v>0.19853158477220695</c:v>
                </c:pt>
                <c:pt idx="234">
                  <c:v>0.20258430881042278</c:v>
                </c:pt>
                <c:pt idx="235">
                  <c:v>0.20613378766429963</c:v>
                </c:pt>
                <c:pt idx="236">
                  <c:v>0.2126408921167981</c:v>
                </c:pt>
                <c:pt idx="237">
                  <c:v>0.21915724004266929</c:v>
                </c:pt>
                <c:pt idx="238">
                  <c:v>0.22507552571197736</c:v>
                </c:pt>
                <c:pt idx="239">
                  <c:v>0.23249906813792509</c:v>
                </c:pt>
                <c:pt idx="240">
                  <c:v>0.23953771995611967</c:v>
                </c:pt>
                <c:pt idx="241">
                  <c:v>0.244298093821811</c:v>
                </c:pt>
                <c:pt idx="242">
                  <c:v>0.25551460501735401</c:v>
                </c:pt>
                <c:pt idx="243">
                  <c:v>0.25720290574297533</c:v>
                </c:pt>
                <c:pt idx="244">
                  <c:v>0.26364768822036344</c:v>
                </c:pt>
                <c:pt idx="245">
                  <c:v>0.26915783165817692</c:v>
                </c:pt>
                <c:pt idx="246">
                  <c:v>0.27842635231059337</c:v>
                </c:pt>
                <c:pt idx="247">
                  <c:v>0.28179382050321555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-8.6647582423624331E-2</c:v>
                </c:pt>
                <c:pt idx="8">
                  <c:v>-5.6334917236982175E-2</c:v>
                </c:pt>
                <c:pt idx="9">
                  <c:v>-2.6022252050339957E-2</c:v>
                </c:pt>
                <c:pt idx="10">
                  <c:v>4.2904131363022341E-3</c:v>
                </c:pt>
                <c:pt idx="11">
                  <c:v>3.4603078322944451E-2</c:v>
                </c:pt>
                <c:pt idx="12">
                  <c:v>6.4915743509586635E-2</c:v>
                </c:pt>
                <c:pt idx="13">
                  <c:v>9.5228408696228867E-2</c:v>
                </c:pt>
                <c:pt idx="14">
                  <c:v>0.12554107388287103</c:v>
                </c:pt>
                <c:pt idx="15">
                  <c:v>0.15585373906951328</c:v>
                </c:pt>
                <c:pt idx="16">
                  <c:v>0.18616640425615544</c:v>
                </c:pt>
                <c:pt idx="17">
                  <c:v>0.21647906944279763</c:v>
                </c:pt>
                <c:pt idx="18">
                  <c:v>0.2467917346294399</c:v>
                </c:pt>
                <c:pt idx="19">
                  <c:v>0.27710439981608209</c:v>
                </c:pt>
                <c:pt idx="20">
                  <c:v>0.30741706500272425</c:v>
                </c:pt>
                <c:pt idx="21">
                  <c:v>0.33772973018936642</c:v>
                </c:pt>
                <c:pt idx="22">
                  <c:v>0.36804239537600875</c:v>
                </c:pt>
                <c:pt idx="23">
                  <c:v>0.39835506056265085</c:v>
                </c:pt>
                <c:pt idx="24">
                  <c:v>0.42866772574929307</c:v>
                </c:pt>
                <c:pt idx="25">
                  <c:v>0.45898039093593529</c:v>
                </c:pt>
                <c:pt idx="26">
                  <c:v>0.48929305612257751</c:v>
                </c:pt>
                <c:pt idx="27">
                  <c:v>0.51960572130921967</c:v>
                </c:pt>
                <c:pt idx="28">
                  <c:v>0.54991838649586178</c:v>
                </c:pt>
                <c:pt idx="29">
                  <c:v>0.580231051682504</c:v>
                </c:pt>
                <c:pt idx="30">
                  <c:v>0.61054371686914632</c:v>
                </c:pt>
                <c:pt idx="31">
                  <c:v>0.64085638205578843</c:v>
                </c:pt>
                <c:pt idx="32">
                  <c:v>-0.3330382530626867</c:v>
                </c:pt>
                <c:pt idx="33">
                  <c:v>-0.30272558787604448</c:v>
                </c:pt>
                <c:pt idx="34">
                  <c:v>-0.27241292268940226</c:v>
                </c:pt>
                <c:pt idx="35">
                  <c:v>-0.24210025750276001</c:v>
                </c:pt>
                <c:pt idx="36">
                  <c:v>-0.21178759231611785</c:v>
                </c:pt>
                <c:pt idx="37">
                  <c:v>-0.18147492712947569</c:v>
                </c:pt>
                <c:pt idx="38">
                  <c:v>-0.15116226194283347</c:v>
                </c:pt>
                <c:pt idx="39">
                  <c:v>-0.1208495967561912</c:v>
                </c:pt>
                <c:pt idx="40">
                  <c:v>-9.0536931569549034E-2</c:v>
                </c:pt>
                <c:pt idx="41">
                  <c:v>-6.0224266382906823E-2</c:v>
                </c:pt>
                <c:pt idx="42">
                  <c:v>-2.9911601196264632E-2</c:v>
                </c:pt>
                <c:pt idx="43">
                  <c:v>4.010639903775868E-4</c:v>
                </c:pt>
                <c:pt idx="44">
                  <c:v>3.0713729177019762E-2</c:v>
                </c:pt>
                <c:pt idx="45">
                  <c:v>6.1026394363661994E-2</c:v>
                </c:pt>
                <c:pt idx="46">
                  <c:v>9.1339059550304164E-2</c:v>
                </c:pt>
                <c:pt idx="47">
                  <c:v>0.12165172473694641</c:v>
                </c:pt>
                <c:pt idx="48">
                  <c:v>0.15196438992358857</c:v>
                </c:pt>
                <c:pt idx="49">
                  <c:v>0.18227705511023076</c:v>
                </c:pt>
                <c:pt idx="50">
                  <c:v>0.21258972029687304</c:v>
                </c:pt>
                <c:pt idx="51">
                  <c:v>0.24290238548351523</c:v>
                </c:pt>
                <c:pt idx="52">
                  <c:v>0.27321505067015739</c:v>
                </c:pt>
                <c:pt idx="53">
                  <c:v>0.30352771585679955</c:v>
                </c:pt>
                <c:pt idx="54">
                  <c:v>0.33384038104344188</c:v>
                </c:pt>
                <c:pt idx="55">
                  <c:v>0.36415304623008399</c:v>
                </c:pt>
                <c:pt idx="56">
                  <c:v>0.39446571141672621</c:v>
                </c:pt>
                <c:pt idx="57">
                  <c:v>0.42477837660336842</c:v>
                </c:pt>
                <c:pt idx="58">
                  <c:v>0.45509104179001064</c:v>
                </c:pt>
                <c:pt idx="59">
                  <c:v>0.48540370697665286</c:v>
                </c:pt>
                <c:pt idx="60">
                  <c:v>0.51571637216329491</c:v>
                </c:pt>
                <c:pt idx="61">
                  <c:v>0.54602903734993713</c:v>
                </c:pt>
                <c:pt idx="62">
                  <c:v>0.57634170253657946</c:v>
                </c:pt>
                <c:pt idx="63">
                  <c:v>0.60665436772322157</c:v>
                </c:pt>
                <c:pt idx="64">
                  <c:v>-0.36724026739525356</c:v>
                </c:pt>
                <c:pt idx="65">
                  <c:v>-0.3369276022086114</c:v>
                </c:pt>
                <c:pt idx="66">
                  <c:v>-0.30661493702196918</c:v>
                </c:pt>
                <c:pt idx="67">
                  <c:v>-0.27630227183532691</c:v>
                </c:pt>
                <c:pt idx="68">
                  <c:v>-0.24598960664868474</c:v>
                </c:pt>
                <c:pt idx="69">
                  <c:v>-0.21567694146204258</c:v>
                </c:pt>
                <c:pt idx="70">
                  <c:v>-0.18536427627540036</c:v>
                </c:pt>
                <c:pt idx="71">
                  <c:v>-0.15505161108875809</c:v>
                </c:pt>
                <c:pt idx="72">
                  <c:v>-0.12473894590211594</c:v>
                </c:pt>
                <c:pt idx="73">
                  <c:v>-9.4426280715473723E-2</c:v>
                </c:pt>
                <c:pt idx="74">
                  <c:v>-6.4113615528831533E-2</c:v>
                </c:pt>
                <c:pt idx="75">
                  <c:v>-3.3800950342189322E-2</c:v>
                </c:pt>
                <c:pt idx="76">
                  <c:v>-3.488285155547144E-3</c:v>
                </c:pt>
                <c:pt idx="77">
                  <c:v>2.6824380031095087E-2</c:v>
                </c:pt>
                <c:pt idx="78">
                  <c:v>5.7137045217737256E-2</c:v>
                </c:pt>
                <c:pt idx="79">
                  <c:v>8.7449710404379488E-2</c:v>
                </c:pt>
                <c:pt idx="80">
                  <c:v>0.11776237559102168</c:v>
                </c:pt>
                <c:pt idx="81">
                  <c:v>0.14807504077766384</c:v>
                </c:pt>
                <c:pt idx="82">
                  <c:v>0.17838770596430614</c:v>
                </c:pt>
                <c:pt idx="83">
                  <c:v>0.20870037115094831</c:v>
                </c:pt>
                <c:pt idx="84">
                  <c:v>0.23901303633759047</c:v>
                </c:pt>
                <c:pt idx="85">
                  <c:v>-0.40144228172782043</c:v>
                </c:pt>
                <c:pt idx="86">
                  <c:v>-0.37112961654117826</c:v>
                </c:pt>
                <c:pt idx="87">
                  <c:v>-0.34081695135453605</c:v>
                </c:pt>
                <c:pt idx="88">
                  <c:v>-0.31050428616789377</c:v>
                </c:pt>
                <c:pt idx="89">
                  <c:v>-0.28019162098125161</c:v>
                </c:pt>
                <c:pt idx="90">
                  <c:v>-0.24987895579460945</c:v>
                </c:pt>
                <c:pt idx="91">
                  <c:v>-0.21956629060796723</c:v>
                </c:pt>
                <c:pt idx="92">
                  <c:v>-0.18925362542132496</c:v>
                </c:pt>
                <c:pt idx="93">
                  <c:v>-0.15894096023468279</c:v>
                </c:pt>
                <c:pt idx="94">
                  <c:v>-0.12862829504804058</c:v>
                </c:pt>
                <c:pt idx="95">
                  <c:v>-9.8315629861398399E-2</c:v>
                </c:pt>
                <c:pt idx="96">
                  <c:v>-6.8002964674756181E-2</c:v>
                </c:pt>
                <c:pt idx="97">
                  <c:v>-3.7690299488114011E-2</c:v>
                </c:pt>
                <c:pt idx="98">
                  <c:v>-7.3776343014717782E-3</c:v>
                </c:pt>
                <c:pt idx="99">
                  <c:v>2.293503088517039E-2</c:v>
                </c:pt>
                <c:pt idx="100">
                  <c:v>5.3247696071812622E-2</c:v>
                </c:pt>
                <c:pt idx="101">
                  <c:v>-0.43564429606038735</c:v>
                </c:pt>
                <c:pt idx="102">
                  <c:v>-0.40533163087374519</c:v>
                </c:pt>
                <c:pt idx="103">
                  <c:v>-0.37501896568710297</c:v>
                </c:pt>
                <c:pt idx="104">
                  <c:v>-0.34470630050046069</c:v>
                </c:pt>
                <c:pt idx="105">
                  <c:v>-0.31439363531381853</c:v>
                </c:pt>
                <c:pt idx="106">
                  <c:v>-0.28408097012717637</c:v>
                </c:pt>
                <c:pt idx="107">
                  <c:v>-0.25376830494053415</c:v>
                </c:pt>
                <c:pt idx="108">
                  <c:v>-0.22345563975389188</c:v>
                </c:pt>
                <c:pt idx="109">
                  <c:v>-0.19314297456724971</c:v>
                </c:pt>
                <c:pt idx="110">
                  <c:v>-0.1628303093806075</c:v>
                </c:pt>
                <c:pt idx="111">
                  <c:v>-0.13251764419396531</c:v>
                </c:pt>
                <c:pt idx="112">
                  <c:v>-0.10220497900732309</c:v>
                </c:pt>
                <c:pt idx="113">
                  <c:v>-0.46984631039295421</c:v>
                </c:pt>
                <c:pt idx="114">
                  <c:v>-0.43953364520631205</c:v>
                </c:pt>
                <c:pt idx="115">
                  <c:v>-0.40922098001966983</c:v>
                </c:pt>
                <c:pt idx="116">
                  <c:v>-0.37890831483302756</c:v>
                </c:pt>
                <c:pt idx="117">
                  <c:v>-0.3485956496463854</c:v>
                </c:pt>
                <c:pt idx="118">
                  <c:v>-0.31828298445974323</c:v>
                </c:pt>
                <c:pt idx="119">
                  <c:v>-0.28797031927310102</c:v>
                </c:pt>
                <c:pt idx="120">
                  <c:v>-0.25765765408645874</c:v>
                </c:pt>
                <c:pt idx="121">
                  <c:v>-0.22734498889981658</c:v>
                </c:pt>
                <c:pt idx="122">
                  <c:v>-0.19703232371317436</c:v>
                </c:pt>
                <c:pt idx="123">
                  <c:v>-0.50404832472552119</c:v>
                </c:pt>
                <c:pt idx="124">
                  <c:v>-0.47373565953887892</c:v>
                </c:pt>
                <c:pt idx="125">
                  <c:v>-0.4434229943522367</c:v>
                </c:pt>
                <c:pt idx="126">
                  <c:v>-0.41311032916559443</c:v>
                </c:pt>
                <c:pt idx="127">
                  <c:v>-0.38279766397895226</c:v>
                </c:pt>
                <c:pt idx="128">
                  <c:v>-0.3524849987923101</c:v>
                </c:pt>
                <c:pt idx="129">
                  <c:v>-0.32217233360566788</c:v>
                </c:pt>
                <c:pt idx="130">
                  <c:v>-0.29185966841902561</c:v>
                </c:pt>
                <c:pt idx="131">
                  <c:v>-0.26154700323238345</c:v>
                </c:pt>
                <c:pt idx="132">
                  <c:v>-0.53825033905808806</c:v>
                </c:pt>
                <c:pt idx="133">
                  <c:v>-0.50793767387144584</c:v>
                </c:pt>
                <c:pt idx="134">
                  <c:v>-0.47762500868480356</c:v>
                </c:pt>
                <c:pt idx="135">
                  <c:v>-0.44731234349816129</c:v>
                </c:pt>
                <c:pt idx="136">
                  <c:v>-0.41699967831151913</c:v>
                </c:pt>
                <c:pt idx="137">
                  <c:v>-0.38668701312487697</c:v>
                </c:pt>
                <c:pt idx="138">
                  <c:v>-0.35637434793823475</c:v>
                </c:pt>
                <c:pt idx="139">
                  <c:v>-0.32606168275159247</c:v>
                </c:pt>
                <c:pt idx="140">
                  <c:v>-0.57245235339065492</c:v>
                </c:pt>
                <c:pt idx="141">
                  <c:v>-0.54213968820401282</c:v>
                </c:pt>
                <c:pt idx="142">
                  <c:v>-0.5118270230173706</c:v>
                </c:pt>
                <c:pt idx="143">
                  <c:v>-0.48151435783072821</c:v>
                </c:pt>
                <c:pt idx="144">
                  <c:v>-0.45120169264408605</c:v>
                </c:pt>
                <c:pt idx="145">
                  <c:v>-0.42088902745744389</c:v>
                </c:pt>
                <c:pt idx="146">
                  <c:v>-0.39057636227080167</c:v>
                </c:pt>
                <c:pt idx="147">
                  <c:v>-0.60665436772322179</c:v>
                </c:pt>
                <c:pt idx="148">
                  <c:v>-0.57634170253657968</c:v>
                </c:pt>
                <c:pt idx="149">
                  <c:v>-0.54602903734993746</c:v>
                </c:pt>
                <c:pt idx="150">
                  <c:v>-0.51571637216329513</c:v>
                </c:pt>
                <c:pt idx="151">
                  <c:v>-0.48540370697665297</c:v>
                </c:pt>
                <c:pt idx="152">
                  <c:v>-0.45509104179001075</c:v>
                </c:pt>
                <c:pt idx="153">
                  <c:v>-0.64085638205578865</c:v>
                </c:pt>
                <c:pt idx="154">
                  <c:v>-0.61054371686914655</c:v>
                </c:pt>
                <c:pt idx="155">
                  <c:v>-0.58023105168250433</c:v>
                </c:pt>
                <c:pt idx="156">
                  <c:v>-0.549918386495862</c:v>
                </c:pt>
                <c:pt idx="157">
                  <c:v>-0.23187448962254603</c:v>
                </c:pt>
                <c:pt idx="158">
                  <c:v>-0.35855404153301434</c:v>
                </c:pt>
                <c:pt idx="159">
                  <c:v>-0.32824137634637218</c:v>
                </c:pt>
                <c:pt idx="160">
                  <c:v>-0.29792871115972996</c:v>
                </c:pt>
                <c:pt idx="161">
                  <c:v>-0.26761604597308769</c:v>
                </c:pt>
                <c:pt idx="162">
                  <c:v>-0.23730338078644553</c:v>
                </c:pt>
                <c:pt idx="163">
                  <c:v>-0.36398293269691384</c:v>
                </c:pt>
                <c:pt idx="164">
                  <c:v>-0.33367026751027168</c:v>
                </c:pt>
                <c:pt idx="165">
                  <c:v>-0.30335760232362946</c:v>
                </c:pt>
                <c:pt idx="166">
                  <c:v>-0.27304493713698719</c:v>
                </c:pt>
                <c:pt idx="167">
                  <c:v>-0.36941182386081334</c:v>
                </c:pt>
                <c:pt idx="168">
                  <c:v>-0.33909915867417123</c:v>
                </c:pt>
                <c:pt idx="169">
                  <c:v>-0.30878649348752901</c:v>
                </c:pt>
                <c:pt idx="170">
                  <c:v>-0.27847382830088668</c:v>
                </c:pt>
                <c:pt idx="171">
                  <c:v>-0.37484071502471289</c:v>
                </c:pt>
                <c:pt idx="172">
                  <c:v>-0.34452804983807073</c:v>
                </c:pt>
                <c:pt idx="173">
                  <c:v>-0.31421538465142851</c:v>
                </c:pt>
                <c:pt idx="174">
                  <c:v>-0.28390271946478624</c:v>
                </c:pt>
                <c:pt idx="175">
                  <c:v>-0.38026960618861239</c:v>
                </c:pt>
                <c:pt idx="176">
                  <c:v>-0.34995694100197022</c:v>
                </c:pt>
                <c:pt idx="177">
                  <c:v>-0.31964427581532801</c:v>
                </c:pt>
                <c:pt idx="178">
                  <c:v>-0.28933161062868573</c:v>
                </c:pt>
                <c:pt idx="179">
                  <c:v>-0.38569849735251188</c:v>
                </c:pt>
                <c:pt idx="180">
                  <c:v>-0.35538583216586972</c:v>
                </c:pt>
                <c:pt idx="181">
                  <c:v>-0.3250731669792275</c:v>
                </c:pt>
                <c:pt idx="182">
                  <c:v>-0.39112738851641138</c:v>
                </c:pt>
                <c:pt idx="183">
                  <c:v>-0.36081472332976922</c:v>
                </c:pt>
                <c:pt idx="184">
                  <c:v>-0.330502058143127</c:v>
                </c:pt>
                <c:pt idx="185">
                  <c:v>-0.39655627968031087</c:v>
                </c:pt>
                <c:pt idx="186">
                  <c:v>-0.36624361449366871</c:v>
                </c:pt>
                <c:pt idx="187">
                  <c:v>-0.33593094930702649</c:v>
                </c:pt>
                <c:pt idx="188">
                  <c:v>-0.40198517084421043</c:v>
                </c:pt>
                <c:pt idx="189">
                  <c:v>-0.37167250565756821</c:v>
                </c:pt>
                <c:pt idx="190">
                  <c:v>-0.34135984047092599</c:v>
                </c:pt>
                <c:pt idx="191">
                  <c:v>-0.40741406200810992</c:v>
                </c:pt>
                <c:pt idx="192">
                  <c:v>-0.37710139682146776</c:v>
                </c:pt>
                <c:pt idx="193">
                  <c:v>-0.34678873163482554</c:v>
                </c:pt>
                <c:pt idx="194">
                  <c:v>-0.41284295317200942</c:v>
                </c:pt>
                <c:pt idx="195">
                  <c:v>-0.38253028798536726</c:v>
                </c:pt>
                <c:pt idx="196">
                  <c:v>-0.41827184433590892</c:v>
                </c:pt>
                <c:pt idx="197">
                  <c:v>-0.38795917914926675</c:v>
                </c:pt>
                <c:pt idx="198">
                  <c:v>-0.42370073549980841</c:v>
                </c:pt>
                <c:pt idx="199">
                  <c:v>-0.39338807031316625</c:v>
                </c:pt>
                <c:pt idx="200">
                  <c:v>-0.42912962666370791</c:v>
                </c:pt>
                <c:pt idx="201">
                  <c:v>-0.39881696147706575</c:v>
                </c:pt>
                <c:pt idx="202">
                  <c:v>-0.4345585178276074</c:v>
                </c:pt>
                <c:pt idx="203">
                  <c:v>-0.40424585264096524</c:v>
                </c:pt>
                <c:pt idx="204">
                  <c:v>-0.43998740899150696</c:v>
                </c:pt>
                <c:pt idx="205">
                  <c:v>-0.40967474380486474</c:v>
                </c:pt>
                <c:pt idx="206">
                  <c:v>-0.44541630015540645</c:v>
                </c:pt>
                <c:pt idx="207">
                  <c:v>-0.41510363496876429</c:v>
                </c:pt>
                <c:pt idx="208">
                  <c:v>-0.45084519131930595</c:v>
                </c:pt>
                <c:pt idx="209">
                  <c:v>-0.42053252613266379</c:v>
                </c:pt>
                <c:pt idx="210">
                  <c:v>-0.45627408248320545</c:v>
                </c:pt>
                <c:pt idx="211">
                  <c:v>-0.42596141729656328</c:v>
                </c:pt>
                <c:pt idx="212">
                  <c:v>-0.46170297364710494</c:v>
                </c:pt>
                <c:pt idx="213">
                  <c:v>-0.43139030846046278</c:v>
                </c:pt>
                <c:pt idx="214">
                  <c:v>-0.46713186481100444</c:v>
                </c:pt>
                <c:pt idx="215">
                  <c:v>-0.43681919962436228</c:v>
                </c:pt>
                <c:pt idx="216">
                  <c:v>-0.47256075597490393</c:v>
                </c:pt>
                <c:pt idx="217">
                  <c:v>-0.47798964713880349</c:v>
                </c:pt>
                <c:pt idx="218">
                  <c:v>-0.48341853830270298</c:v>
                </c:pt>
                <c:pt idx="219">
                  <c:v>-0.48884742946660248</c:v>
                </c:pt>
                <c:pt idx="220">
                  <c:v>-0.49427632063050198</c:v>
                </c:pt>
                <c:pt idx="221">
                  <c:v>-0.49970521179440147</c:v>
                </c:pt>
                <c:pt idx="222">
                  <c:v>-0.50513410295830108</c:v>
                </c:pt>
                <c:pt idx="223">
                  <c:v>-0.51056299412220052</c:v>
                </c:pt>
                <c:pt idx="224">
                  <c:v>-0.51599188528610007</c:v>
                </c:pt>
                <c:pt idx="225">
                  <c:v>-0.52142077644999962</c:v>
                </c:pt>
                <c:pt idx="226">
                  <c:v>-0.52684966761389906</c:v>
                </c:pt>
                <c:pt idx="227">
                  <c:v>-0.53227855877779862</c:v>
                </c:pt>
                <c:pt idx="228">
                  <c:v>-0.53770744994169806</c:v>
                </c:pt>
                <c:pt idx="229">
                  <c:v>-0.54313634110559761</c:v>
                </c:pt>
                <c:pt idx="230">
                  <c:v>-0.54856523226949705</c:v>
                </c:pt>
                <c:pt idx="231">
                  <c:v>-0.5539941234333966</c:v>
                </c:pt>
                <c:pt idx="232">
                  <c:v>-0.55942301459729604</c:v>
                </c:pt>
                <c:pt idx="233">
                  <c:v>-0.56485190576119559</c:v>
                </c:pt>
                <c:pt idx="234">
                  <c:v>-0.57028079692509515</c:v>
                </c:pt>
                <c:pt idx="235">
                  <c:v>-0.57570968808899459</c:v>
                </c:pt>
                <c:pt idx="236">
                  <c:v>-0.58113857925289414</c:v>
                </c:pt>
                <c:pt idx="237">
                  <c:v>-0.58656747041679369</c:v>
                </c:pt>
                <c:pt idx="238">
                  <c:v>-0.59199636158069313</c:v>
                </c:pt>
                <c:pt idx="239">
                  <c:v>-0.59742525274459268</c:v>
                </c:pt>
                <c:pt idx="240">
                  <c:v>-0.60285414390849212</c:v>
                </c:pt>
                <c:pt idx="241">
                  <c:v>-0.60828303507239168</c:v>
                </c:pt>
                <c:pt idx="242">
                  <c:v>-0.61371192623629112</c:v>
                </c:pt>
                <c:pt idx="243">
                  <c:v>-0.61914081740019067</c:v>
                </c:pt>
                <c:pt idx="244">
                  <c:v>-0.62456970856409011</c:v>
                </c:pt>
                <c:pt idx="245">
                  <c:v>-0.62999859972798966</c:v>
                </c:pt>
                <c:pt idx="246">
                  <c:v>-0.63542749089188921</c:v>
                </c:pt>
                <c:pt idx="247">
                  <c:v>-0.64085638205578865</c:v>
                </c:pt>
              </c:numCache>
            </c:numRef>
          </c:xVal>
          <c:yVal>
            <c:numRef>
              <c:f>plot!$R$33:$R$280</c:f>
              <c:numCache>
                <c:formatCode>General</c:formatCode>
                <c:ptCount val="248"/>
                <c:pt idx="0">
                  <c:v>-0.11258451086432519</c:v>
                </c:pt>
                <c:pt idx="1">
                  <c:v>-0.11810096478893278</c:v>
                </c:pt>
                <c:pt idx="2">
                  <c:v>-0.12361741871354032</c:v>
                </c:pt>
                <c:pt idx="3">
                  <c:v>-0.12913387263814791</c:v>
                </c:pt>
                <c:pt idx="4">
                  <c:v>-0.13465032656275544</c:v>
                </c:pt>
                <c:pt idx="5">
                  <c:v>-0.14016678048736303</c:v>
                </c:pt>
                <c:pt idx="6">
                  <c:v>-0.14568323441197056</c:v>
                </c:pt>
                <c:pt idx="7">
                  <c:v>-0.15119968833657815</c:v>
                </c:pt>
                <c:pt idx="8">
                  <c:v>-0.15671614226118569</c:v>
                </c:pt>
                <c:pt idx="9">
                  <c:v>-0.16223259618579328</c:v>
                </c:pt>
                <c:pt idx="10">
                  <c:v>-0.16774905011040081</c:v>
                </c:pt>
                <c:pt idx="11">
                  <c:v>-0.1732655040350084</c:v>
                </c:pt>
                <c:pt idx="12">
                  <c:v>-0.17878195795961593</c:v>
                </c:pt>
                <c:pt idx="13">
                  <c:v>-0.18429841188422352</c:v>
                </c:pt>
                <c:pt idx="14">
                  <c:v>-0.18981486580883106</c:v>
                </c:pt>
                <c:pt idx="15">
                  <c:v>-0.19533131973343865</c:v>
                </c:pt>
                <c:pt idx="16">
                  <c:v>-0.20084777365804618</c:v>
                </c:pt>
                <c:pt idx="17">
                  <c:v>-0.20636422758265374</c:v>
                </c:pt>
                <c:pt idx="18">
                  <c:v>-0.21188068150726133</c:v>
                </c:pt>
                <c:pt idx="19">
                  <c:v>-0.21739713543186889</c:v>
                </c:pt>
                <c:pt idx="20">
                  <c:v>-0.22291358935647643</c:v>
                </c:pt>
                <c:pt idx="21">
                  <c:v>-0.22843004328108399</c:v>
                </c:pt>
                <c:pt idx="22">
                  <c:v>-0.23394649720569158</c:v>
                </c:pt>
                <c:pt idx="23">
                  <c:v>-0.23946295113029914</c:v>
                </c:pt>
                <c:pt idx="24">
                  <c:v>-0.2449794050549067</c:v>
                </c:pt>
                <c:pt idx="25">
                  <c:v>-0.25049585897951426</c:v>
                </c:pt>
                <c:pt idx="26">
                  <c:v>-0.25601231290412185</c:v>
                </c:pt>
                <c:pt idx="27">
                  <c:v>-0.26152876682872939</c:v>
                </c:pt>
                <c:pt idx="28">
                  <c:v>-0.26704522075333692</c:v>
                </c:pt>
                <c:pt idx="29">
                  <c:v>-0.27256167467794451</c:v>
                </c:pt>
                <c:pt idx="30">
                  <c:v>-0.2780781286025521</c:v>
                </c:pt>
                <c:pt idx="31">
                  <c:v>-0.28359458252715963</c:v>
                </c:pt>
                <c:pt idx="32">
                  <c:v>-0.15956914190362054</c:v>
                </c:pt>
                <c:pt idx="33">
                  <c:v>-0.16508559582822813</c:v>
                </c:pt>
                <c:pt idx="34">
                  <c:v>-0.17060204975283572</c:v>
                </c:pt>
                <c:pt idx="35">
                  <c:v>-0.17611850367744325</c:v>
                </c:pt>
                <c:pt idx="36">
                  <c:v>-0.18163495760205078</c:v>
                </c:pt>
                <c:pt idx="37">
                  <c:v>-0.18715141152665837</c:v>
                </c:pt>
                <c:pt idx="38">
                  <c:v>-0.19266786545126593</c:v>
                </c:pt>
                <c:pt idx="39">
                  <c:v>-0.1981843193758735</c:v>
                </c:pt>
                <c:pt idx="40">
                  <c:v>-0.20370077330048106</c:v>
                </c:pt>
                <c:pt idx="41">
                  <c:v>-0.20921722722508862</c:v>
                </c:pt>
                <c:pt idx="42">
                  <c:v>-0.21473368114969618</c:v>
                </c:pt>
                <c:pt idx="43">
                  <c:v>-0.22025013507430374</c:v>
                </c:pt>
                <c:pt idx="44">
                  <c:v>-0.22576658899891131</c:v>
                </c:pt>
                <c:pt idx="45">
                  <c:v>-0.23128304292351887</c:v>
                </c:pt>
                <c:pt idx="46">
                  <c:v>-0.23679949684812643</c:v>
                </c:pt>
                <c:pt idx="47">
                  <c:v>-0.24231595077273402</c:v>
                </c:pt>
                <c:pt idx="48">
                  <c:v>-0.24783240469734155</c:v>
                </c:pt>
                <c:pt idx="49">
                  <c:v>-0.25334885862194911</c:v>
                </c:pt>
                <c:pt idx="50">
                  <c:v>-0.2588653125465567</c:v>
                </c:pt>
                <c:pt idx="51">
                  <c:v>-0.26438176647116429</c:v>
                </c:pt>
                <c:pt idx="52">
                  <c:v>-0.26989822039577183</c:v>
                </c:pt>
                <c:pt idx="53">
                  <c:v>-0.27541467432037936</c:v>
                </c:pt>
                <c:pt idx="54">
                  <c:v>-0.28093112824498695</c:v>
                </c:pt>
                <c:pt idx="55">
                  <c:v>-0.28644758216959454</c:v>
                </c:pt>
                <c:pt idx="56">
                  <c:v>-0.29196403609420207</c:v>
                </c:pt>
                <c:pt idx="57">
                  <c:v>-0.29748049001880961</c:v>
                </c:pt>
                <c:pt idx="58">
                  <c:v>-0.3029969439434172</c:v>
                </c:pt>
                <c:pt idx="59">
                  <c:v>-0.30851339786802479</c:v>
                </c:pt>
                <c:pt idx="60">
                  <c:v>-0.31402985179263232</c:v>
                </c:pt>
                <c:pt idx="61">
                  <c:v>-0.31954630571723985</c:v>
                </c:pt>
                <c:pt idx="62">
                  <c:v>-0.32506275964184744</c:v>
                </c:pt>
                <c:pt idx="63">
                  <c:v>-0.33057921356645503</c:v>
                </c:pt>
                <c:pt idx="64">
                  <c:v>-0.20655377294291596</c:v>
                </c:pt>
                <c:pt idx="65">
                  <c:v>-0.21207022686752353</c:v>
                </c:pt>
                <c:pt idx="66">
                  <c:v>-0.21758668079213109</c:v>
                </c:pt>
                <c:pt idx="67">
                  <c:v>-0.22310313471673865</c:v>
                </c:pt>
                <c:pt idx="68">
                  <c:v>-0.22861958864134621</c:v>
                </c:pt>
                <c:pt idx="69">
                  <c:v>-0.23413604256595377</c:v>
                </c:pt>
                <c:pt idx="70">
                  <c:v>-0.23965249649056133</c:v>
                </c:pt>
                <c:pt idx="71">
                  <c:v>-0.2451689504151689</c:v>
                </c:pt>
                <c:pt idx="72">
                  <c:v>-0.25068540433977649</c:v>
                </c:pt>
                <c:pt idx="73">
                  <c:v>-0.25620185826438402</c:v>
                </c:pt>
                <c:pt idx="74">
                  <c:v>-0.26171831218899155</c:v>
                </c:pt>
                <c:pt idx="75">
                  <c:v>-0.26723476611359914</c:v>
                </c:pt>
                <c:pt idx="76">
                  <c:v>-0.27275122003820673</c:v>
                </c:pt>
                <c:pt idx="77">
                  <c:v>-0.27826767396281427</c:v>
                </c:pt>
                <c:pt idx="78">
                  <c:v>-0.2837841278874218</c:v>
                </c:pt>
                <c:pt idx="79">
                  <c:v>-0.28930058181202944</c:v>
                </c:pt>
                <c:pt idx="80">
                  <c:v>-0.29481703573663698</c:v>
                </c:pt>
                <c:pt idx="81">
                  <c:v>-0.30033348966124451</c:v>
                </c:pt>
                <c:pt idx="82">
                  <c:v>-0.3058499435858521</c:v>
                </c:pt>
                <c:pt idx="83">
                  <c:v>-0.31136639751045964</c:v>
                </c:pt>
                <c:pt idx="84">
                  <c:v>-0.31688285143506723</c:v>
                </c:pt>
                <c:pt idx="85">
                  <c:v>-0.25353840398221134</c:v>
                </c:pt>
                <c:pt idx="86">
                  <c:v>-0.25905485790681892</c:v>
                </c:pt>
                <c:pt idx="87">
                  <c:v>-0.26457131183142646</c:v>
                </c:pt>
                <c:pt idx="88">
                  <c:v>-0.27008776575603405</c:v>
                </c:pt>
                <c:pt idx="89">
                  <c:v>-0.27560421968064158</c:v>
                </c:pt>
                <c:pt idx="90">
                  <c:v>-0.28112067360524917</c:v>
                </c:pt>
                <c:pt idx="91">
                  <c:v>-0.28663712752985671</c:v>
                </c:pt>
                <c:pt idx="92">
                  <c:v>-0.2921535814544643</c:v>
                </c:pt>
                <c:pt idx="93">
                  <c:v>-0.29767003537907188</c:v>
                </c:pt>
                <c:pt idx="94">
                  <c:v>-0.30318648930367942</c:v>
                </c:pt>
                <c:pt idx="95">
                  <c:v>-0.30870294322828695</c:v>
                </c:pt>
                <c:pt idx="96">
                  <c:v>-0.31421939715289454</c:v>
                </c:pt>
                <c:pt idx="97">
                  <c:v>-0.31973585107750213</c:v>
                </c:pt>
                <c:pt idx="98">
                  <c:v>-0.32525230500210967</c:v>
                </c:pt>
                <c:pt idx="99">
                  <c:v>-0.3307687589267172</c:v>
                </c:pt>
                <c:pt idx="100">
                  <c:v>-0.33628521285132479</c:v>
                </c:pt>
                <c:pt idx="101">
                  <c:v>-0.30052303502150679</c:v>
                </c:pt>
                <c:pt idx="102">
                  <c:v>-0.30603948894611432</c:v>
                </c:pt>
                <c:pt idx="103">
                  <c:v>-0.31155594287072186</c:v>
                </c:pt>
                <c:pt idx="104">
                  <c:v>-0.31707239679532945</c:v>
                </c:pt>
                <c:pt idx="105">
                  <c:v>-0.32258885071993704</c:v>
                </c:pt>
                <c:pt idx="106">
                  <c:v>-0.32810530464454457</c:v>
                </c:pt>
                <c:pt idx="107">
                  <c:v>-0.3336217585691521</c:v>
                </c:pt>
                <c:pt idx="108">
                  <c:v>-0.33913821249375969</c:v>
                </c:pt>
                <c:pt idx="109">
                  <c:v>-0.34465466641836728</c:v>
                </c:pt>
                <c:pt idx="110">
                  <c:v>-0.35017112034297482</c:v>
                </c:pt>
                <c:pt idx="111">
                  <c:v>-0.35568757426758235</c:v>
                </c:pt>
                <c:pt idx="112">
                  <c:v>-0.36120402819218994</c:v>
                </c:pt>
                <c:pt idx="113">
                  <c:v>-0.34750766606080213</c:v>
                </c:pt>
                <c:pt idx="114">
                  <c:v>-0.35302411998540972</c:v>
                </c:pt>
                <c:pt idx="115">
                  <c:v>-0.35854057391001726</c:v>
                </c:pt>
                <c:pt idx="116">
                  <c:v>-0.36405702783462485</c:v>
                </c:pt>
                <c:pt idx="117">
                  <c:v>-0.36957348175923238</c:v>
                </c:pt>
                <c:pt idx="118">
                  <c:v>-0.37508993568383997</c:v>
                </c:pt>
                <c:pt idx="119">
                  <c:v>-0.3806063896084475</c:v>
                </c:pt>
                <c:pt idx="120">
                  <c:v>-0.38612284353305509</c:v>
                </c:pt>
                <c:pt idx="121">
                  <c:v>-0.39163929745766263</c:v>
                </c:pt>
                <c:pt idx="122">
                  <c:v>-0.39715575138227022</c:v>
                </c:pt>
                <c:pt idx="123">
                  <c:v>-0.39449229710009753</c:v>
                </c:pt>
                <c:pt idx="124">
                  <c:v>-0.40000875102470507</c:v>
                </c:pt>
                <c:pt idx="125">
                  <c:v>-0.40552520494931266</c:v>
                </c:pt>
                <c:pt idx="126">
                  <c:v>-0.41104165887392019</c:v>
                </c:pt>
                <c:pt idx="127">
                  <c:v>-0.41655811279852778</c:v>
                </c:pt>
                <c:pt idx="128">
                  <c:v>-0.42207456672313531</c:v>
                </c:pt>
                <c:pt idx="129">
                  <c:v>-0.4275910206477429</c:v>
                </c:pt>
                <c:pt idx="130">
                  <c:v>-0.43310747457235044</c:v>
                </c:pt>
                <c:pt idx="131">
                  <c:v>-0.43862392849695803</c:v>
                </c:pt>
                <c:pt idx="132">
                  <c:v>-0.44147692813939288</c:v>
                </c:pt>
                <c:pt idx="133">
                  <c:v>-0.44699338206400047</c:v>
                </c:pt>
                <c:pt idx="134">
                  <c:v>-0.452509835988608</c:v>
                </c:pt>
                <c:pt idx="135">
                  <c:v>-0.45802628991321559</c:v>
                </c:pt>
                <c:pt idx="136">
                  <c:v>-0.46354274383782312</c:v>
                </c:pt>
                <c:pt idx="137">
                  <c:v>-0.46905919776243071</c:v>
                </c:pt>
                <c:pt idx="138">
                  <c:v>-0.47457565168703825</c:v>
                </c:pt>
                <c:pt idx="139">
                  <c:v>-0.48009210561164584</c:v>
                </c:pt>
                <c:pt idx="140">
                  <c:v>-0.48846155917868833</c:v>
                </c:pt>
                <c:pt idx="141">
                  <c:v>-0.49397801310329592</c:v>
                </c:pt>
                <c:pt idx="142">
                  <c:v>-0.49949446702790345</c:v>
                </c:pt>
                <c:pt idx="143">
                  <c:v>-0.50501092095251099</c:v>
                </c:pt>
                <c:pt idx="144">
                  <c:v>-0.51052737487711863</c:v>
                </c:pt>
                <c:pt idx="145">
                  <c:v>-0.51604382880172617</c:v>
                </c:pt>
                <c:pt idx="146">
                  <c:v>-0.5215602827263337</c:v>
                </c:pt>
                <c:pt idx="147">
                  <c:v>-0.53544619021798368</c:v>
                </c:pt>
                <c:pt idx="148">
                  <c:v>-0.54096264414259121</c:v>
                </c:pt>
                <c:pt idx="149">
                  <c:v>-0.54647909806719885</c:v>
                </c:pt>
                <c:pt idx="150">
                  <c:v>-0.55199555199180639</c:v>
                </c:pt>
                <c:pt idx="151">
                  <c:v>-0.55751200591641392</c:v>
                </c:pt>
                <c:pt idx="152">
                  <c:v>-0.56302845984102157</c:v>
                </c:pt>
                <c:pt idx="153">
                  <c:v>-0.58243082125727907</c:v>
                </c:pt>
                <c:pt idx="154">
                  <c:v>-0.58794727518188661</c:v>
                </c:pt>
                <c:pt idx="155">
                  <c:v>-0.59346372910649414</c:v>
                </c:pt>
                <c:pt idx="156">
                  <c:v>-0.59898018303110179</c:v>
                </c:pt>
                <c:pt idx="157">
                  <c:v>-0.20922910599020844</c:v>
                </c:pt>
                <c:pt idx="158">
                  <c:v>-0.1946211682345235</c:v>
                </c:pt>
                <c:pt idx="159">
                  <c:v>-0.20013762215913106</c:v>
                </c:pt>
                <c:pt idx="160">
                  <c:v>-0.20565407608373862</c:v>
                </c:pt>
                <c:pt idx="161">
                  <c:v>-0.21117053000834618</c:v>
                </c:pt>
                <c:pt idx="162">
                  <c:v>-0.21668698393295374</c:v>
                </c:pt>
                <c:pt idx="163">
                  <c:v>-0.2020790461772688</c:v>
                </c:pt>
                <c:pt idx="164">
                  <c:v>-0.20759550010187636</c:v>
                </c:pt>
                <c:pt idx="165">
                  <c:v>-0.21311195402648392</c:v>
                </c:pt>
                <c:pt idx="166">
                  <c:v>-0.21862840795109151</c:v>
                </c:pt>
                <c:pt idx="167">
                  <c:v>-0.2095369241200141</c:v>
                </c:pt>
                <c:pt idx="168">
                  <c:v>-0.21505337804462166</c:v>
                </c:pt>
                <c:pt idx="169">
                  <c:v>-0.22056983196922922</c:v>
                </c:pt>
                <c:pt idx="170">
                  <c:v>-0.22608628589383678</c:v>
                </c:pt>
                <c:pt idx="171">
                  <c:v>-0.2169948020627594</c:v>
                </c:pt>
                <c:pt idx="172">
                  <c:v>-0.22251125598736696</c:v>
                </c:pt>
                <c:pt idx="173">
                  <c:v>-0.22802770991197452</c:v>
                </c:pt>
                <c:pt idx="174">
                  <c:v>-0.23354416383658211</c:v>
                </c:pt>
                <c:pt idx="175">
                  <c:v>-0.22445268000550467</c:v>
                </c:pt>
                <c:pt idx="176">
                  <c:v>-0.22996913393011226</c:v>
                </c:pt>
                <c:pt idx="177">
                  <c:v>-0.23548558785471979</c:v>
                </c:pt>
                <c:pt idx="178">
                  <c:v>-0.24100204177932738</c:v>
                </c:pt>
                <c:pt idx="179">
                  <c:v>-0.23191055794825</c:v>
                </c:pt>
                <c:pt idx="180">
                  <c:v>-0.23742701187285753</c:v>
                </c:pt>
                <c:pt idx="181">
                  <c:v>-0.24294346579746512</c:v>
                </c:pt>
                <c:pt idx="182">
                  <c:v>-0.23936843589099527</c:v>
                </c:pt>
                <c:pt idx="183">
                  <c:v>-0.24488488981560286</c:v>
                </c:pt>
                <c:pt idx="184">
                  <c:v>-0.25040134374021039</c:v>
                </c:pt>
                <c:pt idx="185">
                  <c:v>-0.2468263138337406</c:v>
                </c:pt>
                <c:pt idx="186">
                  <c:v>-0.25234276775834813</c:v>
                </c:pt>
                <c:pt idx="187">
                  <c:v>-0.25785922168295572</c:v>
                </c:pt>
                <c:pt idx="188">
                  <c:v>-0.25428419177648587</c:v>
                </c:pt>
                <c:pt idx="189">
                  <c:v>-0.25980064570109346</c:v>
                </c:pt>
                <c:pt idx="190">
                  <c:v>-0.26531709962570099</c:v>
                </c:pt>
                <c:pt idx="191">
                  <c:v>-0.2617420697192312</c:v>
                </c:pt>
                <c:pt idx="192">
                  <c:v>-0.26725852364383873</c:v>
                </c:pt>
                <c:pt idx="193">
                  <c:v>-0.27277497756844632</c:v>
                </c:pt>
                <c:pt idx="194">
                  <c:v>-0.26919994766197647</c:v>
                </c:pt>
                <c:pt idx="195">
                  <c:v>-0.27471640158658406</c:v>
                </c:pt>
                <c:pt idx="196">
                  <c:v>-0.2766578256047218</c:v>
                </c:pt>
                <c:pt idx="197">
                  <c:v>-0.28217427952932933</c:v>
                </c:pt>
                <c:pt idx="198">
                  <c:v>-0.28411570354746707</c:v>
                </c:pt>
                <c:pt idx="199">
                  <c:v>-0.28963215747207466</c:v>
                </c:pt>
                <c:pt idx="200">
                  <c:v>-0.2915735814902124</c:v>
                </c:pt>
                <c:pt idx="201">
                  <c:v>-0.29709003541481993</c:v>
                </c:pt>
                <c:pt idx="202">
                  <c:v>-0.29903145943295767</c:v>
                </c:pt>
                <c:pt idx="203">
                  <c:v>-0.30454791335756526</c:v>
                </c:pt>
                <c:pt idx="204">
                  <c:v>-0.30648933737570294</c:v>
                </c:pt>
                <c:pt idx="205">
                  <c:v>-0.31200579130031053</c:v>
                </c:pt>
                <c:pt idx="206">
                  <c:v>-0.31394721531844827</c:v>
                </c:pt>
                <c:pt idx="207">
                  <c:v>-0.3194636692430558</c:v>
                </c:pt>
                <c:pt idx="208">
                  <c:v>-0.3214050932611936</c:v>
                </c:pt>
                <c:pt idx="209">
                  <c:v>-0.32692154718580113</c:v>
                </c:pt>
                <c:pt idx="210">
                  <c:v>-0.32886297120393887</c:v>
                </c:pt>
                <c:pt idx="211">
                  <c:v>-0.33437942512854646</c:v>
                </c:pt>
                <c:pt idx="212">
                  <c:v>-0.33632084914668414</c:v>
                </c:pt>
                <c:pt idx="213">
                  <c:v>-0.34183730307129173</c:v>
                </c:pt>
                <c:pt idx="214">
                  <c:v>-0.34377872708942947</c:v>
                </c:pt>
                <c:pt idx="215">
                  <c:v>-0.349295181014037</c:v>
                </c:pt>
                <c:pt idx="216">
                  <c:v>-0.3512366050321748</c:v>
                </c:pt>
                <c:pt idx="217">
                  <c:v>-0.35869448297492013</c:v>
                </c:pt>
                <c:pt idx="218">
                  <c:v>-0.36615236091766534</c:v>
                </c:pt>
                <c:pt idx="219">
                  <c:v>-0.37361023886041067</c:v>
                </c:pt>
                <c:pt idx="220">
                  <c:v>-0.381068116803156</c:v>
                </c:pt>
                <c:pt idx="221">
                  <c:v>-0.38852599474590127</c:v>
                </c:pt>
                <c:pt idx="222">
                  <c:v>-0.39598387268864654</c:v>
                </c:pt>
                <c:pt idx="223">
                  <c:v>-0.40344175063139187</c:v>
                </c:pt>
                <c:pt idx="224">
                  <c:v>-0.4108996285741372</c:v>
                </c:pt>
                <c:pt idx="225">
                  <c:v>-0.41835750651688247</c:v>
                </c:pt>
                <c:pt idx="226">
                  <c:v>-0.42581538445962774</c:v>
                </c:pt>
                <c:pt idx="227">
                  <c:v>-0.43327326240237307</c:v>
                </c:pt>
                <c:pt idx="228">
                  <c:v>-0.44073114034511834</c:v>
                </c:pt>
                <c:pt idx="229">
                  <c:v>-0.44818901828786367</c:v>
                </c:pt>
                <c:pt idx="230">
                  <c:v>-0.45564689623060894</c:v>
                </c:pt>
                <c:pt idx="231">
                  <c:v>-0.46310477417335427</c:v>
                </c:pt>
                <c:pt idx="232">
                  <c:v>-0.47056265211609954</c:v>
                </c:pt>
                <c:pt idx="233">
                  <c:v>-0.47802053005884487</c:v>
                </c:pt>
                <c:pt idx="234">
                  <c:v>-0.48547840800159014</c:v>
                </c:pt>
                <c:pt idx="235">
                  <c:v>-0.49293628594433547</c:v>
                </c:pt>
                <c:pt idx="236">
                  <c:v>-0.5003941638870808</c:v>
                </c:pt>
                <c:pt idx="237">
                  <c:v>-0.50785204182982602</c:v>
                </c:pt>
                <c:pt idx="238">
                  <c:v>-0.51530991977257135</c:v>
                </c:pt>
                <c:pt idx="239">
                  <c:v>-0.52276779771531667</c:v>
                </c:pt>
                <c:pt idx="240">
                  <c:v>-0.53022567565806189</c:v>
                </c:pt>
                <c:pt idx="241">
                  <c:v>-0.53768355360080733</c:v>
                </c:pt>
                <c:pt idx="242">
                  <c:v>-0.54514143154355255</c:v>
                </c:pt>
                <c:pt idx="243">
                  <c:v>-0.55259930948629787</c:v>
                </c:pt>
                <c:pt idx="244">
                  <c:v>-0.5600571874290432</c:v>
                </c:pt>
                <c:pt idx="245">
                  <c:v>-0.56751506537178842</c:v>
                </c:pt>
                <c:pt idx="246">
                  <c:v>-0.57497294331453375</c:v>
                </c:pt>
                <c:pt idx="247">
                  <c:v>-0.58243082125727907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{1841633D-2E07-4488-89D7-10D23644DF1B}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{D8787EBB-F625-41F7-9E54-32BBE06FC8FA}</c15:txfldGUID>
                      <c15:f>plot!$AC$10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{933C1CC0-FEF7-4DE7-9E28-DDCAE88C7FD2}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{829FA06B-91CC-4A83-B7FD-641437540D3D}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{580EB922-9DE9-4C1A-90E8-3740052B7B26}</c15:txfldGUID>
                      <c15:f>plot!$AC$13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{66CE2BE5-A04B-44FD-B5B4-819660590402}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{73181F96-3354-4FBD-B860-939538D1F4D6}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{E1435AFC-4E0B-432F-B344-AD96C8B5DA00}</c15:txfldGUID>
                      <c15:f>plot!$AC$16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{BEE431B8-5F2A-4151-847D-E46C94B5EAED}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{0B727828-6389-408E-8A1C-6EA0E877DB77}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{AB2C3A38-C7AF-4676-8B49-4E5F3B13D550}</c15:txfldGUID>
                      <c15:f>plot!$AC$19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{31532C4E-91BB-40EB-9447-15B2B2DD43F7}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{D781B264-0BFF-438A-88BE-EC8C590BAB64}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{3E2CA265-4AD0-4370-8066-F0F4C1828902}</c15:txfldGUID>
                      <c15:f>plot!$AC$22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{B6C5C593-88B7-44BB-99DB-32A2EC891836}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{690BBDE9-C582-407F-B996-A12793542ACD}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{790A1ADB-3BF6-4EDA-A018-CE4557B968F5}</c15:txfldGUID>
                      <c15:f>plot!$AC$25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{35D76A9E-B1D0-46C5-9741-8B30DFF5C1F9}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{C82551BB-79C7-493E-83F7-05C7116CBAAA}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{0AD2A331-6523-490F-B3D1-DE62927BEDC5}</c15:txfldGUID>
                      <c15:f>plot!$AC$28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{0252634E-C233-4959-86A5-C318EB87C158}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-0.48171488982591709</c:v>
                </c:pt>
                <c:pt idx="1">
                  <c:v>-0.51591690415848401</c:v>
                </c:pt>
                <c:pt idx="2">
                  <c:v>-0.48171488982591709</c:v>
                </c:pt>
                <c:pt idx="3">
                  <c:v>-0.29226073240940331</c:v>
                </c:pt>
                <c:pt idx="4">
                  <c:v>-0.32646274674197018</c:v>
                </c:pt>
                <c:pt idx="5">
                  <c:v>-0.29226073240940331</c:v>
                </c:pt>
                <c:pt idx="6">
                  <c:v>-0.10280657499288957</c:v>
                </c:pt>
                <c:pt idx="7">
                  <c:v>-0.13700858932545645</c:v>
                </c:pt>
                <c:pt idx="8">
                  <c:v>-0.10280657499288957</c:v>
                </c:pt>
                <c:pt idx="9">
                  <c:v>8.6647582423624164E-2</c:v>
                </c:pt>
                <c:pt idx="10">
                  <c:v>5.2445568091057292E-2</c:v>
                </c:pt>
                <c:pt idx="11">
                  <c:v>8.6647582423624164E-2</c:v>
                </c:pt>
                <c:pt idx="12">
                  <c:v>0.27610173984013792</c:v>
                </c:pt>
                <c:pt idx="13">
                  <c:v>0.24189972550757108</c:v>
                </c:pt>
                <c:pt idx="14">
                  <c:v>0.27610173984013792</c:v>
                </c:pt>
                <c:pt idx="15">
                  <c:v>0.27610173984013792</c:v>
                </c:pt>
                <c:pt idx="16">
                  <c:v>0.24189972550757108</c:v>
                </c:pt>
                <c:pt idx="17">
                  <c:v>0.27610173984013792</c:v>
                </c:pt>
                <c:pt idx="18">
                  <c:v>0.27610173984013792</c:v>
                </c:pt>
                <c:pt idx="19">
                  <c:v>0.24189972550757108</c:v>
                </c:pt>
                <c:pt idx="20">
                  <c:v>0.27610173984013792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-0.61139220436146879</c:v>
                </c:pt>
                <c:pt idx="1">
                  <c:v>-0.65837683540076419</c:v>
                </c:pt>
                <c:pt idx="2">
                  <c:v>-0.61139220436146879</c:v>
                </c:pt>
                <c:pt idx="3">
                  <c:v>-0.64587004139026605</c:v>
                </c:pt>
                <c:pt idx="4">
                  <c:v>-0.69285467242956145</c:v>
                </c:pt>
                <c:pt idx="5">
                  <c:v>-0.64587004139026605</c:v>
                </c:pt>
                <c:pt idx="6">
                  <c:v>-0.6803478784190633</c:v>
                </c:pt>
                <c:pt idx="7">
                  <c:v>-0.7273325094583587</c:v>
                </c:pt>
                <c:pt idx="8">
                  <c:v>-0.6803478784190633</c:v>
                </c:pt>
                <c:pt idx="9">
                  <c:v>-0.71482571544786055</c:v>
                </c:pt>
                <c:pt idx="10">
                  <c:v>-0.76181034648715595</c:v>
                </c:pt>
                <c:pt idx="11">
                  <c:v>-0.71482571544786055</c:v>
                </c:pt>
                <c:pt idx="12">
                  <c:v>-0.74930355247665781</c:v>
                </c:pt>
                <c:pt idx="13">
                  <c:v>-0.79628818351595321</c:v>
                </c:pt>
                <c:pt idx="14">
                  <c:v>-0.74930355247665781</c:v>
                </c:pt>
                <c:pt idx="15">
                  <c:v>-0.74930355247665781</c:v>
                </c:pt>
                <c:pt idx="16">
                  <c:v>-0.79628818351595321</c:v>
                </c:pt>
                <c:pt idx="17">
                  <c:v>-0.74930355247665781</c:v>
                </c:pt>
                <c:pt idx="18">
                  <c:v>-0.74930355247665781</c:v>
                </c:pt>
                <c:pt idx="19">
                  <c:v>-0.79628818351595321</c:v>
                </c:pt>
                <c:pt idx="20">
                  <c:v>-0.74930355247665781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{3D27B44A-6134-4E8C-A8E8-7B24605BF928}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{03B3A7F1-1567-4DF1-BB10-C613848B2188}</c15:txfldGUID>
                      <c15:f>plot!$AH$10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{C8D194A9-ACF8-4C51-9760-88D60903F649}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{FE1CC25E-B9A3-42AD-8D5A-A658EF4FE329}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1,5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{D5DD4AD0-C7F4-430E-8F3B-4A8065D958BC}</c15:txfldGUID>
                      <c15:f>plot!$AH$13</c15:f>
                      <c15:dlblFieldTableCache>
                        <c:ptCount val="1"/>
                        <c:pt idx="0">
                          <c:v>1,5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{6AA8CE46-0795-49E8-8CB8-68D7AA1B30E3}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{E899837B-8F3B-4BB0-9546-888AF28BB0FE}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{D7384474-E845-42E1-89CF-7906109B13F2}</c15:txfldGUID>
                      <c15:f>plot!$AH$16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{5943AD0A-A428-44CB-B0E6-73524E94DDF1}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{7A9DC55E-4F9C-414B-8DD1-570B3BA6F1BA}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{33DA7ABC-E3A9-45BB-BA80-DD260C5FAAB6}</c15:txfldGUID>
                      <c15:f>plot!$AH$19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{7D810804-900E-4F0E-8718-80E677932581}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{B9C811BB-2CF6-4F6E-83C8-E093230FF115}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{E9A40838-B4C9-468F-AB3A-442C685B974A}</c15:txfldGUID>
                      <c15:f>plot!$AH$22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{05ECF38A-158C-467B-A47E-08D0945E16D8}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{7EE0FAFF-9778-4CD9-BFD2-53C72864D7FA}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{2ADF5BC9-C521-4502-9234-8982864C56BD}</c15:txfldGUID>
                      <c15:f>plot!$AH$25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{505DF086-BADE-4065-8BA3-E66B41B9FD32}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{2B6B74C7-ABA0-4691-9383-A7B68027EB0B}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{2193BA9E-83D7-4E11-82B6-6EC2E5FDB9FC}</c15:txfldGUID>
                      <c15:f>plot!$AH$28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{E99A684C-5839-48AA-BFA8-6F28B902D154}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0.64085638205578854</c:v>
                </c:pt>
                <c:pt idx="1">
                  <c:v>0.73482564413437945</c:v>
                </c:pt>
                <c:pt idx="2">
                  <c:v>0.64085638205578854</c:v>
                </c:pt>
                <c:pt idx="3">
                  <c:v>0.64085638205578854</c:v>
                </c:pt>
                <c:pt idx="4">
                  <c:v>0.73482564413437945</c:v>
                </c:pt>
                <c:pt idx="5">
                  <c:v>0.64085638205578854</c:v>
                </c:pt>
                <c:pt idx="6">
                  <c:v>0.64085638205578854</c:v>
                </c:pt>
                <c:pt idx="7">
                  <c:v>0.73482564413437945</c:v>
                </c:pt>
                <c:pt idx="8">
                  <c:v>0.64085638205578854</c:v>
                </c:pt>
                <c:pt idx="9">
                  <c:v>0.64085638205578854</c:v>
                </c:pt>
                <c:pt idx="10">
                  <c:v>0.73482564413437945</c:v>
                </c:pt>
                <c:pt idx="11">
                  <c:v>0.64085638205578854</c:v>
                </c:pt>
                <c:pt idx="12">
                  <c:v>0.64085638205578854</c:v>
                </c:pt>
                <c:pt idx="13">
                  <c:v>0.73482564413437945</c:v>
                </c:pt>
                <c:pt idx="14">
                  <c:v>0.64085638205578854</c:v>
                </c:pt>
                <c:pt idx="15">
                  <c:v>0.64085638205578854</c:v>
                </c:pt>
                <c:pt idx="16">
                  <c:v>0.73482564413437945</c:v>
                </c:pt>
                <c:pt idx="17">
                  <c:v>0.64085638205578854</c:v>
                </c:pt>
                <c:pt idx="18">
                  <c:v>0.64085638205578854</c:v>
                </c:pt>
                <c:pt idx="19">
                  <c:v>0.73482564413437945</c:v>
                </c:pt>
                <c:pt idx="20">
                  <c:v>0.64085638205578854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-0.16337349137504847</c:v>
                </c:pt>
                <c:pt idx="1">
                  <c:v>-0.18047449854133191</c:v>
                </c:pt>
                <c:pt idx="2">
                  <c:v>-0.16337349137504847</c:v>
                </c:pt>
                <c:pt idx="3">
                  <c:v>2.7213588472970174E-2</c:v>
                </c:pt>
                <c:pt idx="4">
                  <c:v>1.0112581306686741E-2</c:v>
                </c:pt>
                <c:pt idx="5">
                  <c:v>2.7213588472970174E-2</c:v>
                </c:pt>
                <c:pt idx="6">
                  <c:v>0.21780066832098882</c:v>
                </c:pt>
                <c:pt idx="7">
                  <c:v>0.20069966115470539</c:v>
                </c:pt>
                <c:pt idx="8">
                  <c:v>0.21780066832098882</c:v>
                </c:pt>
                <c:pt idx="9">
                  <c:v>0.40838774816900747</c:v>
                </c:pt>
                <c:pt idx="10">
                  <c:v>0.39128674100272404</c:v>
                </c:pt>
                <c:pt idx="11">
                  <c:v>0.40838774816900747</c:v>
                </c:pt>
                <c:pt idx="12">
                  <c:v>0.40838774816900747</c:v>
                </c:pt>
                <c:pt idx="13">
                  <c:v>0.39128674100272404</c:v>
                </c:pt>
                <c:pt idx="14">
                  <c:v>0.40838774816900747</c:v>
                </c:pt>
                <c:pt idx="15">
                  <c:v>0.40838774816900747</c:v>
                </c:pt>
                <c:pt idx="16">
                  <c:v>0.39128674100272404</c:v>
                </c:pt>
                <c:pt idx="17">
                  <c:v>0.40838774816900747</c:v>
                </c:pt>
                <c:pt idx="18">
                  <c:v>0.40838774816900747</c:v>
                </c:pt>
                <c:pt idx="19">
                  <c:v>0.39128674100272404</c:v>
                </c:pt>
                <c:pt idx="20">
                  <c:v>0.40838774816900747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{F123579D-8911-4CAE-9DF0-38A14FEE1489}</c15:txfldGUID>
                      <c15:f>plot!$B$33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{2D143C50-57C7-43FB-901F-4FB62296A13E}</c15:txfldGUID>
                      <c15:f>plot!$B$34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{18E1A1B8-495F-4136-897E-3F5F64D70363}</c15:txfldGUID>
                      <c15:f>plot!$B$35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{823D3730-33BF-4D3A-BB9F-75863BE03622}</c15:txfldGUID>
                      <c15:f>plot!$B$36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{0401492E-9CDB-4D74-8DE0-55A106B56158}</c15:txfldGUID>
                      <c15:f>plot!$B$37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{7CE84773-7E57-4ED7-BAF9-345CBCBE7254}</c15:txfldGUID>
                      <c15:f>plot!$B$38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{1DD76F36-67E9-4943-9B7B-E874C0A34972}</c15:txfldGUID>
                      <c15:f>plot!$B$39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plot!$G$33:$G$280</c:f>
                <c:numCache>
                  <c:formatCode>General</c:formatCode>
                  <c:ptCount val="248"/>
                  <c:pt idx="0">
                    <c:v>0.11644660932926104</c:v>
                  </c:pt>
                  <c:pt idx="1">
                    <c:v>1.7402887435082282E-2</c:v>
                  </c:pt>
                  <c:pt idx="2">
                    <c:v>5.3697909747180139E-4</c:v>
                  </c:pt>
                  <c:pt idx="3">
                    <c:v>5.9905330937828905E-3</c:v>
                  </c:pt>
                  <c:pt idx="4">
                    <c:v>1.9399191802950355E-2</c:v>
                  </c:pt>
                  <c:pt idx="5">
                    <c:v>3.3747158935148736E-2</c:v>
                  </c:pt>
                  <c:pt idx="6">
                    <c:v>5.7007359095200161E-2</c:v>
                  </c:pt>
                  <c:pt idx="7">
                    <c:v>9.1612064596125031E-2</c:v>
                  </c:pt>
                  <c:pt idx="8">
                    <c:v>0.12505256891979838</c:v>
                  </c:pt>
                  <c:pt idx="9">
                    <c:v>0.15190828963472258</c:v>
                  </c:pt>
                  <c:pt idx="10">
                    <c:v>0.18719072279158708</c:v>
                  </c:pt>
                  <c:pt idx="11">
                    <c:v>0.22474304806944134</c:v>
                  </c:pt>
                  <c:pt idx="12">
                    <c:v>0.2577381503875098</c:v>
                  </c:pt>
                  <c:pt idx="13">
                    <c:v>0.28660142010801315</c:v>
                  </c:pt>
                  <c:pt idx="14">
                    <c:v>0.33762224843810723</c:v>
                  </c:pt>
                  <c:pt idx="15">
                    <c:v>0.3609577304946987</c:v>
                  </c:pt>
                  <c:pt idx="16">
                    <c:v>0.36953271968476065</c:v>
                  </c:pt>
                  <c:pt idx="17">
                    <c:v>0.3754756060085816</c:v>
                  </c:pt>
                  <c:pt idx="18">
                    <c:v>0.38039637382317754</c:v>
                  </c:pt>
                  <c:pt idx="19">
                    <c:v>0.38765831332662665</c:v>
                  </c:pt>
                  <c:pt idx="20">
                    <c:v>0.39066053630193254</c:v>
                  </c:pt>
                  <c:pt idx="21">
                    <c:v>0.39930423213427979</c:v>
                  </c:pt>
                  <c:pt idx="22">
                    <c:v>0.40479771412381904</c:v>
                  </c:pt>
                  <c:pt idx="23">
                    <c:v>0.41424216157214755</c:v>
                  </c:pt>
                  <c:pt idx="24">
                    <c:v>0.42257758280284069</c:v>
                  </c:pt>
                  <c:pt idx="25">
                    <c:v>0.42888248928483286</c:v>
                  </c:pt>
                  <c:pt idx="26">
                    <c:v>0.43647099974960157</c:v>
                  </c:pt>
                  <c:pt idx="27">
                    <c:v>0.44611194247725344</c:v>
                  </c:pt>
                  <c:pt idx="28">
                    <c:v>0.45478432166511773</c:v>
                  </c:pt>
                  <c:pt idx="29">
                    <c:v>0.46482959488266734</c:v>
                  </c:pt>
                  <c:pt idx="30">
                    <c:v>0.47163688890713895</c:v>
                  </c:pt>
                  <c:pt idx="31">
                    <c:v>0.47894028110045495</c:v>
                  </c:pt>
                  <c:pt idx="32">
                    <c:v>1.8742524019334017E-2</c:v>
                  </c:pt>
                  <c:pt idx="33">
                    <c:v>5.6321340901286931E-3</c:v>
                  </c:pt>
                  <c:pt idx="34">
                    <c:v>3.576042555312331E-2</c:v>
                  </c:pt>
                  <c:pt idx="35">
                    <c:v>9.0126057134550075E-2</c:v>
                  </c:pt>
                  <c:pt idx="36">
                    <c:v>0.15183577125084041</c:v>
                  </c:pt>
                  <c:pt idx="37">
                    <c:v>0.22451491533486329</c:v>
                  </c:pt>
                  <c:pt idx="38">
                    <c:v>0.28511398324333936</c:v>
                  </c:pt>
                  <c:pt idx="39">
                    <c:v>0.36144630047388904</c:v>
                  </c:pt>
                  <c:pt idx="40">
                    <c:v>0.37551562929534971</c:v>
                  </c:pt>
                  <c:pt idx="41">
                    <c:v>0.38771043889296497</c:v>
                  </c:pt>
                  <c:pt idx="42">
                    <c:v>0.39831346519968969</c:v>
                  </c:pt>
                  <c:pt idx="43">
                    <c:v>0.41325120405047783</c:v>
                  </c:pt>
                  <c:pt idx="44">
                    <c:v>0.42947111748094358</c:v>
                  </c:pt>
                  <c:pt idx="45">
                    <c:v>0.44585283934220021</c:v>
                  </c:pt>
                  <c:pt idx="46">
                    <c:v>0.46517207986515419</c:v>
                  </c:pt>
                  <c:pt idx="47">
                    <c:v>0.47873940231829515</c:v>
                  </c:pt>
                  <c:pt idx="48">
                    <c:v>0.50058230165905682</c:v>
                  </c:pt>
                  <c:pt idx="49">
                    <c:v>0.52092051600441824</c:v>
                  </c:pt>
                  <c:pt idx="50">
                    <c:v>0.54116905912871138</c:v>
                  </c:pt>
                  <c:pt idx="51">
                    <c:v>0.56036251217896582</c:v>
                  </c:pt>
                  <c:pt idx="52">
                    <c:v>0.57693996697122629</c:v>
                  </c:pt>
                  <c:pt idx="53">
                    <c:v>0.60105828545829332</c:v>
                  </c:pt>
                  <c:pt idx="54">
                    <c:v>0.62246969565027921</c:v>
                  </c:pt>
                  <c:pt idx="55">
                    <c:v>0.65003382854099845</c:v>
                  </c:pt>
                  <c:pt idx="56">
                    <c:v>0.67631635861327988</c:v>
                  </c:pt>
                  <c:pt idx="57">
                    <c:v>0.69931488271269993</c:v>
                  </c:pt>
                  <c:pt idx="58">
                    <c:v>0.72690026606282221</c:v>
                  </c:pt>
                  <c:pt idx="59">
                    <c:v>0.75422292512337419</c:v>
                  </c:pt>
                  <c:pt idx="60">
                    <c:v>0.78241570949697214</c:v>
                  </c:pt>
                  <c:pt idx="61">
                    <c:v>0.80971616516272171</c:v>
                  </c:pt>
                  <c:pt idx="62">
                    <c:v>0.83745782991831952</c:v>
                  </c:pt>
                  <c:pt idx="63">
                    <c:v>0.86448669899528574</c:v>
                  </c:pt>
                  <c:pt idx="64">
                    <c:v>0</c:v>
                  </c:pt>
                  <c:pt idx="65">
                    <c:v>3.4947762244651348E-2</c:v>
                  </c:pt>
                  <c:pt idx="66">
                    <c:v>0.12540791853017502</c:v>
                  </c:pt>
                  <c:pt idx="67">
                    <c:v>0.224225699441194</c:v>
                  </c:pt>
                  <c:pt idx="68">
                    <c:v>0.3378481894212671</c:v>
                  </c:pt>
                  <c:pt idx="69">
                    <c:v>0.37475042216975984</c:v>
                  </c:pt>
                  <c:pt idx="70">
                    <c:v>0.39161051760143495</c:v>
                  </c:pt>
                  <c:pt idx="71">
                    <c:v>0.41409102601782816</c:v>
                  </c:pt>
                  <c:pt idx="72">
                    <c:v>0.43651512065858644</c:v>
                  </c:pt>
                  <c:pt idx="73">
                    <c:v>0.46470809561926413</c:v>
                  </c:pt>
                  <c:pt idx="74">
                    <c:v>0.48701783801211351</c:v>
                  </c:pt>
                  <c:pt idx="75">
                    <c:v>0.52122192947119794</c:v>
                  </c:pt>
                  <c:pt idx="76">
                    <c:v>0.54895711426608096</c:v>
                  </c:pt>
                  <c:pt idx="77">
                    <c:v>0.57717772435333681</c:v>
                  </c:pt>
                  <c:pt idx="78">
                    <c:v>0.61299208605005695</c:v>
                  </c:pt>
                  <c:pt idx="79">
                    <c:v>0.64975700080751919</c:v>
                  </c:pt>
                  <c:pt idx="80">
                    <c:v>0.68904119087995264</c:v>
                  </c:pt>
                  <c:pt idx="81">
                    <c:v>0.72700632777275764</c:v>
                  </c:pt>
                  <c:pt idx="82">
                    <c:v>0.77154567069138036</c:v>
                  </c:pt>
                  <c:pt idx="83">
                    <c:v>0.81137741744421699</c:v>
                  </c:pt>
                  <c:pt idx="84">
                    <c:v>0.85277788645128283</c:v>
                  </c:pt>
                  <c:pt idx="85">
                    <c:v>6.3437862462812356E-3</c:v>
                  </c:pt>
                  <c:pt idx="86">
                    <c:v>9.1766154250182197E-2</c:v>
                  </c:pt>
                  <c:pt idx="87">
                    <c:v>0.22362839953295022</c:v>
                  </c:pt>
                  <c:pt idx="88">
                    <c:v>0.36120139607628432</c:v>
                  </c:pt>
                  <c:pt idx="89">
                    <c:v>0.38702022778329548</c:v>
                  </c:pt>
                  <c:pt idx="90">
                    <c:v>0.41356376686142859</c:v>
                  </c:pt>
                  <c:pt idx="91">
                    <c:v>0.44636027744229545</c:v>
                  </c:pt>
                  <c:pt idx="92">
                    <c:v>0.47947697431730707</c:v>
                  </c:pt>
                  <c:pt idx="93">
                    <c:v>0.52111443835816385</c:v>
                  </c:pt>
                  <c:pt idx="94">
                    <c:v>0.55954403596455859</c:v>
                  </c:pt>
                  <c:pt idx="95">
                    <c:v>0.60139019285784878</c:v>
                  </c:pt>
                  <c:pt idx="96">
                    <c:v>0.65107262341971017</c:v>
                  </c:pt>
                  <c:pt idx="97">
                    <c:v>0.69959771393919434</c:v>
                  </c:pt>
                  <c:pt idx="98">
                    <c:v>0.75479487694999814</c:v>
                  </c:pt>
                  <c:pt idx="99">
                    <c:v>0.81006074660308702</c:v>
                  </c:pt>
                  <c:pt idx="100">
                    <c:v>0.86495763966959016</c:v>
                  </c:pt>
                  <c:pt idx="101">
                    <c:v>1.8794840172752347E-2</c:v>
                  </c:pt>
                  <c:pt idx="102">
                    <c:v>0.15146460291283637</c:v>
                  </c:pt>
                  <c:pt idx="103">
                    <c:v>0.3387538592247048</c:v>
                  </c:pt>
                  <c:pt idx="104">
                    <c:v>0.38768880725940236</c:v>
                  </c:pt>
                  <c:pt idx="105">
                    <c:v>0.42207367056372253</c:v>
                  </c:pt>
                  <c:pt idx="106">
                    <c:v>0.4652407865074395</c:v>
                  </c:pt>
                  <c:pt idx="107">
                    <c:v>0.5112072454799641</c:v>
                  </c:pt>
                  <c:pt idx="108">
                    <c:v>0.55891004804344413</c:v>
                  </c:pt>
                  <c:pt idx="109">
                    <c:v>0.61395950606736549</c:v>
                  </c:pt>
                  <c:pt idx="110">
                    <c:v>0.67679196867104041</c:v>
                  </c:pt>
                  <c:pt idx="111">
                    <c:v>0.74080264060233592</c:v>
                  </c:pt>
                  <c:pt idx="112">
                    <c:v>0.80956483902132248</c:v>
                  </c:pt>
                  <c:pt idx="113">
                    <c:v>3.5004557194446007E-2</c:v>
                  </c:pt>
                  <c:pt idx="114">
                    <c:v>0.22361591607922024</c:v>
                  </c:pt>
                  <c:pt idx="115">
                    <c:v>0.37507632607629998</c:v>
                  </c:pt>
                  <c:pt idx="116">
                    <c:v>0.4135987395905808</c:v>
                  </c:pt>
                  <c:pt idx="117">
                    <c:v>0.46436008361146169</c:v>
                  </c:pt>
                  <c:pt idx="118">
                    <c:v>0.52138173673765054</c:v>
                  </c:pt>
                  <c:pt idx="119">
                    <c:v>0.57876903117652767</c:v>
                  </c:pt>
                  <c:pt idx="120">
                    <c:v>0.65079322276065299</c:v>
                  </c:pt>
                  <c:pt idx="121">
                    <c:v>0.72764517566440823</c:v>
                  </c:pt>
                  <c:pt idx="122">
                    <c:v>0.8115676233499054</c:v>
                  </c:pt>
                  <c:pt idx="123">
                    <c:v>5.7778188539645503E-2</c:v>
                  </c:pt>
                  <c:pt idx="124">
                    <c:v>0.28604080821264027</c:v>
                  </c:pt>
                  <c:pt idx="125">
                    <c:v>0.39190668992351885</c:v>
                  </c:pt>
                  <c:pt idx="126">
                    <c:v>0.44601236072803291</c:v>
                  </c:pt>
                  <c:pt idx="127">
                    <c:v>0.51125127109540891</c:v>
                  </c:pt>
                  <c:pt idx="128">
                    <c:v>0.57869946689238327</c:v>
                  </c:pt>
                  <c:pt idx="129">
                    <c:v>0.66234823153121858</c:v>
                  </c:pt>
                  <c:pt idx="130">
                    <c:v>0.75532089729037866</c:v>
                  </c:pt>
                  <c:pt idx="131">
                    <c:v>0.85339367330627169</c:v>
                  </c:pt>
                  <c:pt idx="132">
                    <c:v>9.1260717314425255E-2</c:v>
                  </c:pt>
                  <c:pt idx="133">
                    <c:v>0.36090331788340213</c:v>
                  </c:pt>
                  <c:pt idx="134">
                    <c:v>0.41386108270599159</c:v>
                  </c:pt>
                  <c:pt idx="135">
                    <c:v>0.47924379102511294</c:v>
                  </c:pt>
                  <c:pt idx="136">
                    <c:v>0.55925443889672932</c:v>
                  </c:pt>
                  <c:pt idx="137">
                    <c:v>0.6520689173796157</c:v>
                  </c:pt>
                  <c:pt idx="138">
                    <c:v>0.75553349717794926</c:v>
                  </c:pt>
                  <c:pt idx="139">
                    <c:v>0.86520673698295147</c:v>
                  </c:pt>
                  <c:pt idx="140">
                    <c:v>0.12584150413682926</c:v>
                  </c:pt>
                  <c:pt idx="141">
                    <c:v>0.37582981209647914</c:v>
                  </c:pt>
                  <c:pt idx="142">
                    <c:v>0.43579937088021709</c:v>
                  </c:pt>
                  <c:pt idx="143">
                    <c:v>0.52020228859401108</c:v>
                  </c:pt>
                  <c:pt idx="144">
                    <c:v>0.61322984343216735</c:v>
                  </c:pt>
                  <c:pt idx="145">
                    <c:v>0.7271987254298643</c:v>
                  </c:pt>
                  <c:pt idx="146">
                    <c:v>0.85282991672408137</c:v>
                  </c:pt>
                  <c:pt idx="147">
                    <c:v>0.1518054679051446</c:v>
                  </c:pt>
                  <c:pt idx="148">
                    <c:v>0.38793285401514771</c:v>
                  </c:pt>
                  <c:pt idx="149">
                    <c:v>0.46441811737727534</c:v>
                  </c:pt>
                  <c:pt idx="150">
                    <c:v>0.55966648816336084</c:v>
                  </c:pt>
                  <c:pt idx="151">
                    <c:v>0.67715627587416993</c:v>
                  </c:pt>
                  <c:pt idx="152">
                    <c:v>0.81006979948937996</c:v>
                  </c:pt>
                  <c:pt idx="153">
                    <c:v>0.18697116647560208</c:v>
                  </c:pt>
                  <c:pt idx="154">
                    <c:v>0.39892220033272441</c:v>
                  </c:pt>
                  <c:pt idx="155">
                    <c:v>0.48683373089298032</c:v>
                  </c:pt>
                  <c:pt idx="156">
                    <c:v>0.60290507426202067</c:v>
                  </c:pt>
                  <c:pt idx="157">
                    <c:v>0.74121078283383057</c:v>
                  </c:pt>
                  <c:pt idx="158">
                    <c:v>0.22408018620572998</c:v>
                  </c:pt>
                  <c:pt idx="159">
                    <c:v>0.41372681410823864</c:v>
                  </c:pt>
                  <c:pt idx="160">
                    <c:v>0.52032807606671083</c:v>
                  </c:pt>
                  <c:pt idx="161">
                    <c:v>0.65192635824388923</c:v>
                  </c:pt>
                  <c:pt idx="162">
                    <c:v>0.81016919065152049</c:v>
                  </c:pt>
                  <c:pt idx="163">
                    <c:v>0.25886099416843444</c:v>
                  </c:pt>
                  <c:pt idx="164">
                    <c:v>0.4303614450244535</c:v>
                  </c:pt>
                  <c:pt idx="165">
                    <c:v>0.54824660563240735</c:v>
                  </c:pt>
                  <c:pt idx="166">
                    <c:v>0.70059810552131663</c:v>
                  </c:pt>
                  <c:pt idx="167">
                    <c:v>0.28512084437821383</c:v>
                  </c:pt>
                  <c:pt idx="168">
                    <c:v>0.4463572280490179</c:v>
                  </c:pt>
                  <c:pt idx="169">
                    <c:v>0.57874616072694596</c:v>
                  </c:pt>
                  <c:pt idx="170">
                    <c:v>0.7555895297794244</c:v>
                  </c:pt>
                  <c:pt idx="171">
                    <c:v>0.33771782785865101</c:v>
                  </c:pt>
                  <c:pt idx="172">
                    <c:v>0.46515025764451151</c:v>
                  </c:pt>
                  <c:pt idx="173">
                    <c:v>0.61363998682800036</c:v>
                  </c:pt>
                  <c:pt idx="174">
                    <c:v>0.81050338509603392</c:v>
                  </c:pt>
                  <c:pt idx="175">
                    <c:v>0.36179974421346722</c:v>
                  </c:pt>
                  <c:pt idx="176">
                    <c:v>0.4782540723194621</c:v>
                  </c:pt>
                  <c:pt idx="177">
                    <c:v>0.65194732282267254</c:v>
                  </c:pt>
                  <c:pt idx="178">
                    <c:v>0.86602540378443871</c:v>
                  </c:pt>
                  <c:pt idx="179">
                    <c:v>0.36903195213245998</c:v>
                  </c:pt>
                  <c:pt idx="180">
                    <c:v>0.49916290438188865</c:v>
                  </c:pt>
                  <c:pt idx="181">
                    <c:v>0.68747608978024055</c:v>
                  </c:pt>
                  <c:pt idx="182">
                    <c:v>0.37525500146365748</c:v>
                  </c:pt>
                  <c:pt idx="183">
                    <c:v>0.52103286708798868</c:v>
                  </c:pt>
                  <c:pt idx="184">
                    <c:v>0.72626113229055211</c:v>
                  </c:pt>
                  <c:pt idx="185">
                    <c:v>0.38042696304949319</c:v>
                  </c:pt>
                  <c:pt idx="186">
                    <c:v>0.53940517570471802</c:v>
                  </c:pt>
                  <c:pt idx="187">
                    <c:v>0.7696546656851283</c:v>
                  </c:pt>
                  <c:pt idx="188">
                    <c:v>0.38767737203461139</c:v>
                  </c:pt>
                  <c:pt idx="189">
                    <c:v>0.55942253670115516</c:v>
                  </c:pt>
                  <c:pt idx="190">
                    <c:v>0.81089151568414453</c:v>
                  </c:pt>
                  <c:pt idx="191">
                    <c:v>0.39144089510037017</c:v>
                  </c:pt>
                  <c:pt idx="192">
                    <c:v>0.57787727422991875</c:v>
                  </c:pt>
                  <c:pt idx="193">
                    <c:v>0.85250811043975783</c:v>
                  </c:pt>
                  <c:pt idx="194">
                    <c:v>0.39928069462991855</c:v>
                  </c:pt>
                  <c:pt idx="195">
                    <c:v>0.60077878950569641</c:v>
                  </c:pt>
                  <c:pt idx="196">
                    <c:v>0.40588005815027595</c:v>
                  </c:pt>
                  <c:pt idx="197">
                    <c:v>0.62382172039472095</c:v>
                  </c:pt>
                  <c:pt idx="198">
                    <c:v>0.41251210735482718</c:v>
                  </c:pt>
                  <c:pt idx="199">
                    <c:v>0.65107872220626528</c:v>
                  </c:pt>
                  <c:pt idx="200">
                    <c:v>0.42188003409059693</c:v>
                  </c:pt>
                  <c:pt idx="201">
                    <c:v>0.67721640609786204</c:v>
                  </c:pt>
                  <c:pt idx="202">
                    <c:v>0.42895881941031211</c:v>
                  </c:pt>
                  <c:pt idx="203">
                    <c:v>0.69905168195542988</c:v>
                  </c:pt>
                  <c:pt idx="204">
                    <c:v>0.43630785720925153</c:v>
                  </c:pt>
                  <c:pt idx="205">
                    <c:v>0.72620529027615666</c:v>
                  </c:pt>
                  <c:pt idx="206">
                    <c:v>0.44691040704827673</c:v>
                  </c:pt>
                  <c:pt idx="207">
                    <c:v>0.69221875396871857</c:v>
                  </c:pt>
                  <c:pt idx="208">
                    <c:v>0.45481548265267302</c:v>
                  </c:pt>
                  <c:pt idx="209">
                    <c:v>0.61814927713720436</c:v>
                  </c:pt>
                  <c:pt idx="210">
                    <c:v>0.46480243622378903</c:v>
                  </c:pt>
                  <c:pt idx="211">
                    <c:v>0.81108153100275315</c:v>
                  </c:pt>
                  <c:pt idx="212">
                    <c:v>0.47030373228360201</c:v>
                  </c:pt>
                  <c:pt idx="213">
                    <c:v>0.8380966778099701</c:v>
                  </c:pt>
                  <c:pt idx="214">
                    <c:v>0.47872806238704424</c:v>
                  </c:pt>
                  <c:pt idx="215">
                    <c:v>0.86591333858148789</c:v>
                  </c:pt>
                  <c:pt idx="216">
                    <c:v>0.48701469332529601</c:v>
                  </c:pt>
                  <c:pt idx="217">
                    <c:v>0.49936092435785079</c:v>
                  </c:pt>
                  <c:pt idx="218">
                    <c:v>0.5101757882038267</c:v>
                  </c:pt>
                  <c:pt idx="219">
                    <c:v>0.520553254701551</c:v>
                  </c:pt>
                  <c:pt idx="220">
                    <c:v>0.5304081314263327</c:v>
                  </c:pt>
                  <c:pt idx="221">
                    <c:v>0.53920248634529944</c:v>
                  </c:pt>
                  <c:pt idx="222">
                    <c:v>0.5489484425539477</c:v>
                  </c:pt>
                  <c:pt idx="223">
                    <c:v>0.55904326841225793</c:v>
                  </c:pt>
                  <c:pt idx="224">
                    <c:v>0.56726062094698504</c:v>
                  </c:pt>
                  <c:pt idx="225">
                    <c:v>0.57775520320527618</c:v>
                  </c:pt>
                  <c:pt idx="226">
                    <c:v>0.59047851077531011</c:v>
                  </c:pt>
                  <c:pt idx="227">
                    <c:v>0.60042610811443753</c:v>
                  </c:pt>
                  <c:pt idx="228">
                    <c:v>0.61273069587004558</c:v>
                  </c:pt>
                  <c:pt idx="229">
                    <c:v>0.62357157485242043</c:v>
                  </c:pt>
                  <c:pt idx="230">
                    <c:v>0.63517804213454498</c:v>
                  </c:pt>
                  <c:pt idx="231">
                    <c:v>0.65136250636815896</c:v>
                  </c:pt>
                  <c:pt idx="232">
                    <c:v>0.66153299529716847</c:v>
                  </c:pt>
                  <c:pt idx="233">
                    <c:v>0.67655211483105182</c:v>
                  </c:pt>
                  <c:pt idx="234">
                    <c:v>0.68806271681201292</c:v>
                  </c:pt>
                  <c:pt idx="235">
                    <c:v>0.69907007360863505</c:v>
                  </c:pt>
                  <c:pt idx="236">
                    <c:v>0.71303505600387895</c:v>
                  </c:pt>
                  <c:pt idx="237">
                    <c:v>0.72700928187249536</c:v>
                  </c:pt>
                  <c:pt idx="238">
                    <c:v>0.74038544548454865</c:v>
                  </c:pt>
                  <c:pt idx="239">
                    <c:v>0.75526686585324176</c:v>
                  </c:pt>
                  <c:pt idx="240">
                    <c:v>0.76976339561418161</c:v>
                  </c:pt>
                  <c:pt idx="241">
                    <c:v>0.78198164742261833</c:v>
                  </c:pt>
                  <c:pt idx="242">
                    <c:v>0.80065603656090656</c:v>
                  </c:pt>
                  <c:pt idx="243">
                    <c:v>0.8098022152292732</c:v>
                  </c:pt>
                  <c:pt idx="244">
                    <c:v>0.82370487564940664</c:v>
                  </c:pt>
                  <c:pt idx="245">
                    <c:v>0.83667289702996528</c:v>
                  </c:pt>
                  <c:pt idx="246">
                    <c:v>0.85339929562512706</c:v>
                  </c:pt>
                  <c:pt idx="247">
                    <c:v>0.86422464176049463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-8.6647582423624317E-2</c:v>
                </c:pt>
                <c:pt idx="8">
                  <c:v>-5.6334917236982154E-2</c:v>
                </c:pt>
                <c:pt idx="9">
                  <c:v>-2.6022252050339933E-2</c:v>
                </c:pt>
                <c:pt idx="10">
                  <c:v>4.290413136302261E-3</c:v>
                </c:pt>
                <c:pt idx="11">
                  <c:v>3.4603078322944486E-2</c:v>
                </c:pt>
                <c:pt idx="12">
                  <c:v>6.4915743509586663E-2</c:v>
                </c:pt>
                <c:pt idx="13">
                  <c:v>9.5228408696228908E-2</c:v>
                </c:pt>
                <c:pt idx="14">
                  <c:v>0.12554107388287108</c:v>
                </c:pt>
                <c:pt idx="15">
                  <c:v>0.15585373906951333</c:v>
                </c:pt>
                <c:pt idx="16">
                  <c:v>0.18616640425615549</c:v>
                </c:pt>
                <c:pt idx="17">
                  <c:v>0.21647906944279768</c:v>
                </c:pt>
                <c:pt idx="18">
                  <c:v>0.24679173462943996</c:v>
                </c:pt>
                <c:pt idx="19">
                  <c:v>0.27710439981608215</c:v>
                </c:pt>
                <c:pt idx="20">
                  <c:v>0.30741706500272431</c:v>
                </c:pt>
                <c:pt idx="21">
                  <c:v>0.33772973018936647</c:v>
                </c:pt>
                <c:pt idx="22">
                  <c:v>0.3680423953760088</c:v>
                </c:pt>
                <c:pt idx="23">
                  <c:v>0.39835506056265091</c:v>
                </c:pt>
                <c:pt idx="24">
                  <c:v>0.42866772574929313</c:v>
                </c:pt>
                <c:pt idx="25">
                  <c:v>0.45898039093593535</c:v>
                </c:pt>
                <c:pt idx="26">
                  <c:v>0.48929305612257756</c:v>
                </c:pt>
                <c:pt idx="27">
                  <c:v>0.51960572130921978</c:v>
                </c:pt>
                <c:pt idx="28">
                  <c:v>0.54991838649586189</c:v>
                </c:pt>
                <c:pt idx="29">
                  <c:v>0.58023105168250411</c:v>
                </c:pt>
                <c:pt idx="30">
                  <c:v>0.61054371686914644</c:v>
                </c:pt>
                <c:pt idx="31">
                  <c:v>0.64085638205578854</c:v>
                </c:pt>
                <c:pt idx="32">
                  <c:v>-0.3330382530626867</c:v>
                </c:pt>
                <c:pt idx="33">
                  <c:v>-0.30272558787604448</c:v>
                </c:pt>
                <c:pt idx="34">
                  <c:v>-0.27241292268940226</c:v>
                </c:pt>
                <c:pt idx="35">
                  <c:v>-0.24210025750276001</c:v>
                </c:pt>
                <c:pt idx="36">
                  <c:v>-0.21178759231611782</c:v>
                </c:pt>
                <c:pt idx="37">
                  <c:v>-0.18147492712947566</c:v>
                </c:pt>
                <c:pt idx="38">
                  <c:v>-0.15116226194283344</c:v>
                </c:pt>
                <c:pt idx="39">
                  <c:v>-0.12084959675619115</c:v>
                </c:pt>
                <c:pt idx="40">
                  <c:v>-9.0536931569548992E-2</c:v>
                </c:pt>
                <c:pt idx="41">
                  <c:v>-6.0224266382906767E-2</c:v>
                </c:pt>
                <c:pt idx="42">
                  <c:v>-2.9911601196264574E-2</c:v>
                </c:pt>
                <c:pt idx="43">
                  <c:v>4.0106399037764524E-4</c:v>
                </c:pt>
                <c:pt idx="44">
                  <c:v>3.0713729177019825E-2</c:v>
                </c:pt>
                <c:pt idx="45">
                  <c:v>6.1026394363662056E-2</c:v>
                </c:pt>
                <c:pt idx="46">
                  <c:v>9.1339059550304219E-2</c:v>
                </c:pt>
                <c:pt idx="47">
                  <c:v>0.12165172473694646</c:v>
                </c:pt>
                <c:pt idx="48">
                  <c:v>0.15196438992358863</c:v>
                </c:pt>
                <c:pt idx="49">
                  <c:v>0.18227705511023082</c:v>
                </c:pt>
                <c:pt idx="50">
                  <c:v>0.21258972029687312</c:v>
                </c:pt>
                <c:pt idx="51">
                  <c:v>0.24290238548351531</c:v>
                </c:pt>
                <c:pt idx="52">
                  <c:v>0.27321505067015744</c:v>
                </c:pt>
                <c:pt idx="53">
                  <c:v>0.30352771585679961</c:v>
                </c:pt>
                <c:pt idx="54">
                  <c:v>0.33384038104344194</c:v>
                </c:pt>
                <c:pt idx="55">
                  <c:v>0.3641530462300841</c:v>
                </c:pt>
                <c:pt idx="56">
                  <c:v>0.39446571141672632</c:v>
                </c:pt>
                <c:pt idx="57">
                  <c:v>0.42477837660336853</c:v>
                </c:pt>
                <c:pt idx="58">
                  <c:v>0.45509104179001075</c:v>
                </c:pt>
                <c:pt idx="59">
                  <c:v>0.48540370697665297</c:v>
                </c:pt>
                <c:pt idx="60">
                  <c:v>0.51571637216329502</c:v>
                </c:pt>
                <c:pt idx="61">
                  <c:v>0.54602903734993724</c:v>
                </c:pt>
                <c:pt idx="62">
                  <c:v>0.57634170253657968</c:v>
                </c:pt>
                <c:pt idx="63">
                  <c:v>0.60665436772322179</c:v>
                </c:pt>
                <c:pt idx="64">
                  <c:v>-0.36724026739525356</c:v>
                </c:pt>
                <c:pt idx="65">
                  <c:v>-0.3369276022086114</c:v>
                </c:pt>
                <c:pt idx="66">
                  <c:v>-0.30661493702196918</c:v>
                </c:pt>
                <c:pt idx="67">
                  <c:v>-0.27630227183532691</c:v>
                </c:pt>
                <c:pt idx="68">
                  <c:v>-0.24598960664868469</c:v>
                </c:pt>
                <c:pt idx="69">
                  <c:v>-0.21567694146204253</c:v>
                </c:pt>
                <c:pt idx="70">
                  <c:v>-0.18536427627540031</c:v>
                </c:pt>
                <c:pt idx="71">
                  <c:v>-0.15505161108875803</c:v>
                </c:pt>
                <c:pt idx="72">
                  <c:v>-0.12473894590211589</c:v>
                </c:pt>
                <c:pt idx="73">
                  <c:v>-9.4426280715473668E-2</c:v>
                </c:pt>
                <c:pt idx="74">
                  <c:v>-6.4113615528831464E-2</c:v>
                </c:pt>
                <c:pt idx="75">
                  <c:v>-3.3800950342189245E-2</c:v>
                </c:pt>
                <c:pt idx="76">
                  <c:v>-3.4882851555470664E-3</c:v>
                </c:pt>
                <c:pt idx="77">
                  <c:v>2.682438003109517E-2</c:v>
                </c:pt>
                <c:pt idx="78">
                  <c:v>5.7137045217737346E-2</c:v>
                </c:pt>
                <c:pt idx="79">
                  <c:v>8.7449710404379571E-2</c:v>
                </c:pt>
                <c:pt idx="80">
                  <c:v>0.11776237559102178</c:v>
                </c:pt>
                <c:pt idx="81">
                  <c:v>0.14807504077766392</c:v>
                </c:pt>
                <c:pt idx="82">
                  <c:v>0.17838770596430625</c:v>
                </c:pt>
                <c:pt idx="83">
                  <c:v>0.20870037115094842</c:v>
                </c:pt>
                <c:pt idx="84">
                  <c:v>0.23901303633759058</c:v>
                </c:pt>
                <c:pt idx="85">
                  <c:v>-0.40144228172782043</c:v>
                </c:pt>
                <c:pt idx="86">
                  <c:v>-0.37112961654117826</c:v>
                </c:pt>
                <c:pt idx="87">
                  <c:v>-0.34081695135453605</c:v>
                </c:pt>
                <c:pt idx="88">
                  <c:v>-0.31050428616789372</c:v>
                </c:pt>
                <c:pt idx="89">
                  <c:v>-0.28019162098125155</c:v>
                </c:pt>
                <c:pt idx="90">
                  <c:v>-0.24987895579460939</c:v>
                </c:pt>
                <c:pt idx="91">
                  <c:v>-0.21956629060796717</c:v>
                </c:pt>
                <c:pt idx="92">
                  <c:v>-0.1892536254213249</c:v>
                </c:pt>
                <c:pt idx="93">
                  <c:v>-0.15894096023468274</c:v>
                </c:pt>
                <c:pt idx="94">
                  <c:v>-0.12862829504804049</c:v>
                </c:pt>
                <c:pt idx="95">
                  <c:v>-9.8315629861398315E-2</c:v>
                </c:pt>
                <c:pt idx="96">
                  <c:v>-6.8002964674756097E-2</c:v>
                </c:pt>
                <c:pt idx="97">
                  <c:v>-3.7690299488113914E-2</c:v>
                </c:pt>
                <c:pt idx="98">
                  <c:v>-7.3776343014716715E-3</c:v>
                </c:pt>
                <c:pt idx="99">
                  <c:v>2.2935030885170505E-2</c:v>
                </c:pt>
                <c:pt idx="100">
                  <c:v>5.3247696071812747E-2</c:v>
                </c:pt>
                <c:pt idx="101">
                  <c:v>-0.43564429606038735</c:v>
                </c:pt>
                <c:pt idx="102">
                  <c:v>-0.40533163087374519</c:v>
                </c:pt>
                <c:pt idx="103">
                  <c:v>-0.37501896568710291</c:v>
                </c:pt>
                <c:pt idx="104">
                  <c:v>-0.34470630050046064</c:v>
                </c:pt>
                <c:pt idx="105">
                  <c:v>-0.31439363531381848</c:v>
                </c:pt>
                <c:pt idx="106">
                  <c:v>-0.28408097012717631</c:v>
                </c:pt>
                <c:pt idx="107">
                  <c:v>-0.2537683049405341</c:v>
                </c:pt>
                <c:pt idx="108">
                  <c:v>-0.22345563975389179</c:v>
                </c:pt>
                <c:pt idx="109">
                  <c:v>-0.19314297456724963</c:v>
                </c:pt>
                <c:pt idx="110">
                  <c:v>-0.16283030938060741</c:v>
                </c:pt>
                <c:pt idx="111">
                  <c:v>-0.1325176441939652</c:v>
                </c:pt>
                <c:pt idx="112">
                  <c:v>-0.10220497900732298</c:v>
                </c:pt>
                <c:pt idx="113">
                  <c:v>-0.46984631039295421</c:v>
                </c:pt>
                <c:pt idx="114">
                  <c:v>-0.43953364520631205</c:v>
                </c:pt>
                <c:pt idx="115">
                  <c:v>-0.40922098001966978</c:v>
                </c:pt>
                <c:pt idx="116">
                  <c:v>-0.3789083148330275</c:v>
                </c:pt>
                <c:pt idx="117">
                  <c:v>-0.34859564964638534</c:v>
                </c:pt>
                <c:pt idx="118">
                  <c:v>-0.31828298445974318</c:v>
                </c:pt>
                <c:pt idx="119">
                  <c:v>-0.28797031927310096</c:v>
                </c:pt>
                <c:pt idx="120">
                  <c:v>-0.25765765408645863</c:v>
                </c:pt>
                <c:pt idx="121">
                  <c:v>-0.22734498889981647</c:v>
                </c:pt>
                <c:pt idx="122">
                  <c:v>-0.19703232371317425</c:v>
                </c:pt>
                <c:pt idx="123">
                  <c:v>-0.50404832472552108</c:v>
                </c:pt>
                <c:pt idx="124">
                  <c:v>-0.47373565953887886</c:v>
                </c:pt>
                <c:pt idx="125">
                  <c:v>-0.44342299435223664</c:v>
                </c:pt>
                <c:pt idx="126">
                  <c:v>-0.41311032916559437</c:v>
                </c:pt>
                <c:pt idx="127">
                  <c:v>-0.38279766397895221</c:v>
                </c:pt>
                <c:pt idx="128">
                  <c:v>-0.35248499879231004</c:v>
                </c:pt>
                <c:pt idx="129">
                  <c:v>-0.32217233360566777</c:v>
                </c:pt>
                <c:pt idx="130">
                  <c:v>-0.2918596684190255</c:v>
                </c:pt>
                <c:pt idx="131">
                  <c:v>-0.26154700323238333</c:v>
                </c:pt>
                <c:pt idx="132">
                  <c:v>-0.53825033905808795</c:v>
                </c:pt>
                <c:pt idx="133">
                  <c:v>-0.50793767387144573</c:v>
                </c:pt>
                <c:pt idx="134">
                  <c:v>-0.47762500868480351</c:v>
                </c:pt>
                <c:pt idx="135">
                  <c:v>-0.44731234349816124</c:v>
                </c:pt>
                <c:pt idx="136">
                  <c:v>-0.41699967831151907</c:v>
                </c:pt>
                <c:pt idx="137">
                  <c:v>-0.38668701312487685</c:v>
                </c:pt>
                <c:pt idx="138">
                  <c:v>-0.35637434793823464</c:v>
                </c:pt>
                <c:pt idx="139">
                  <c:v>-0.32606168275159236</c:v>
                </c:pt>
                <c:pt idx="140">
                  <c:v>-0.57245235339065481</c:v>
                </c:pt>
                <c:pt idx="141">
                  <c:v>-0.5421396882040127</c:v>
                </c:pt>
                <c:pt idx="142">
                  <c:v>-0.51182702301737049</c:v>
                </c:pt>
                <c:pt idx="143">
                  <c:v>-0.48151435783072816</c:v>
                </c:pt>
                <c:pt idx="144">
                  <c:v>-0.45120169264408599</c:v>
                </c:pt>
                <c:pt idx="145">
                  <c:v>-0.42088902745744378</c:v>
                </c:pt>
                <c:pt idx="146">
                  <c:v>-0.39057636227080156</c:v>
                </c:pt>
                <c:pt idx="147">
                  <c:v>-0.60665436772322168</c:v>
                </c:pt>
                <c:pt idx="148">
                  <c:v>-0.57634170253657957</c:v>
                </c:pt>
                <c:pt idx="149">
                  <c:v>-0.54602903734993735</c:v>
                </c:pt>
                <c:pt idx="150">
                  <c:v>-0.51571637216329502</c:v>
                </c:pt>
                <c:pt idx="151">
                  <c:v>-0.48540370697665286</c:v>
                </c:pt>
                <c:pt idx="152">
                  <c:v>-0.45509104179001064</c:v>
                </c:pt>
                <c:pt idx="153">
                  <c:v>-0.64085638205578854</c:v>
                </c:pt>
                <c:pt idx="154">
                  <c:v>-0.61054371686914644</c:v>
                </c:pt>
                <c:pt idx="155">
                  <c:v>-0.58023105168250422</c:v>
                </c:pt>
                <c:pt idx="156">
                  <c:v>-0.54991838649586189</c:v>
                </c:pt>
                <c:pt idx="157">
                  <c:v>-0.23187448962254592</c:v>
                </c:pt>
                <c:pt idx="158">
                  <c:v>-0.35855404153301434</c:v>
                </c:pt>
                <c:pt idx="159">
                  <c:v>-0.32824137634637213</c:v>
                </c:pt>
                <c:pt idx="160">
                  <c:v>-0.29792871115972991</c:v>
                </c:pt>
                <c:pt idx="161">
                  <c:v>-0.26761604597308758</c:v>
                </c:pt>
                <c:pt idx="162">
                  <c:v>-0.23730338078644542</c:v>
                </c:pt>
                <c:pt idx="163">
                  <c:v>-0.36398293269691379</c:v>
                </c:pt>
                <c:pt idx="164">
                  <c:v>-0.33367026751027162</c:v>
                </c:pt>
                <c:pt idx="165">
                  <c:v>-0.30335760232362941</c:v>
                </c:pt>
                <c:pt idx="166">
                  <c:v>-0.27304493713698708</c:v>
                </c:pt>
                <c:pt idx="167">
                  <c:v>-0.36941182386081328</c:v>
                </c:pt>
                <c:pt idx="168">
                  <c:v>-0.33909915867417117</c:v>
                </c:pt>
                <c:pt idx="169">
                  <c:v>-0.30878649348752896</c:v>
                </c:pt>
                <c:pt idx="170">
                  <c:v>-0.27847382830088657</c:v>
                </c:pt>
                <c:pt idx="171">
                  <c:v>-0.37484071502471283</c:v>
                </c:pt>
                <c:pt idx="172">
                  <c:v>-0.34452804983807067</c:v>
                </c:pt>
                <c:pt idx="173">
                  <c:v>-0.31421538465142845</c:v>
                </c:pt>
                <c:pt idx="174">
                  <c:v>-0.28390271946478612</c:v>
                </c:pt>
                <c:pt idx="175">
                  <c:v>-0.38026960618861233</c:v>
                </c:pt>
                <c:pt idx="176">
                  <c:v>-0.34995694100197017</c:v>
                </c:pt>
                <c:pt idx="177">
                  <c:v>-0.31964427581532789</c:v>
                </c:pt>
                <c:pt idx="178">
                  <c:v>-0.28933161062868562</c:v>
                </c:pt>
                <c:pt idx="179">
                  <c:v>-0.38569849735251183</c:v>
                </c:pt>
                <c:pt idx="180">
                  <c:v>-0.35538583216586966</c:v>
                </c:pt>
                <c:pt idx="181">
                  <c:v>-0.32507316697922739</c:v>
                </c:pt>
                <c:pt idx="182">
                  <c:v>-0.39112738851641132</c:v>
                </c:pt>
                <c:pt idx="183">
                  <c:v>-0.36081472332976916</c:v>
                </c:pt>
                <c:pt idx="184">
                  <c:v>-0.33050205814312689</c:v>
                </c:pt>
                <c:pt idx="185">
                  <c:v>-0.39655627968031082</c:v>
                </c:pt>
                <c:pt idx="186">
                  <c:v>-0.36624361449366866</c:v>
                </c:pt>
                <c:pt idx="187">
                  <c:v>-0.33593094930702638</c:v>
                </c:pt>
                <c:pt idx="188">
                  <c:v>-0.40198517084421037</c:v>
                </c:pt>
                <c:pt idx="189">
                  <c:v>-0.37167250565756815</c:v>
                </c:pt>
                <c:pt idx="190">
                  <c:v>-0.34135984047092588</c:v>
                </c:pt>
                <c:pt idx="191">
                  <c:v>-0.40741406200810987</c:v>
                </c:pt>
                <c:pt idx="192">
                  <c:v>-0.3771013968214677</c:v>
                </c:pt>
                <c:pt idx="193">
                  <c:v>-0.34678873163482543</c:v>
                </c:pt>
                <c:pt idx="194">
                  <c:v>-0.41284295317200936</c:v>
                </c:pt>
                <c:pt idx="195">
                  <c:v>-0.3825302879853672</c:v>
                </c:pt>
                <c:pt idx="196">
                  <c:v>-0.41827184433590886</c:v>
                </c:pt>
                <c:pt idx="197">
                  <c:v>-0.3879591791492667</c:v>
                </c:pt>
                <c:pt idx="198">
                  <c:v>-0.42370073549980836</c:v>
                </c:pt>
                <c:pt idx="199">
                  <c:v>-0.39338807031316614</c:v>
                </c:pt>
                <c:pt idx="200">
                  <c:v>-0.42912962666370785</c:v>
                </c:pt>
                <c:pt idx="201">
                  <c:v>-0.39881696147706563</c:v>
                </c:pt>
                <c:pt idx="202">
                  <c:v>-0.43455851782760735</c:v>
                </c:pt>
                <c:pt idx="203">
                  <c:v>-0.40424585264096513</c:v>
                </c:pt>
                <c:pt idx="204">
                  <c:v>-0.4399874089915069</c:v>
                </c:pt>
                <c:pt idx="205">
                  <c:v>-0.40967474380486463</c:v>
                </c:pt>
                <c:pt idx="206">
                  <c:v>-0.4454163001554064</c:v>
                </c:pt>
                <c:pt idx="207">
                  <c:v>-0.41510363496876418</c:v>
                </c:pt>
                <c:pt idx="208">
                  <c:v>-0.45084519131930589</c:v>
                </c:pt>
                <c:pt idx="209">
                  <c:v>-0.42053252613266373</c:v>
                </c:pt>
                <c:pt idx="210">
                  <c:v>-0.45627408248320539</c:v>
                </c:pt>
                <c:pt idx="211">
                  <c:v>-0.42596141729656317</c:v>
                </c:pt>
                <c:pt idx="212">
                  <c:v>-0.46170297364710489</c:v>
                </c:pt>
                <c:pt idx="213">
                  <c:v>-0.43139030846046267</c:v>
                </c:pt>
                <c:pt idx="214">
                  <c:v>-0.46713186481100438</c:v>
                </c:pt>
                <c:pt idx="215">
                  <c:v>-0.43681919962436216</c:v>
                </c:pt>
                <c:pt idx="216">
                  <c:v>-0.47256075597490388</c:v>
                </c:pt>
                <c:pt idx="217">
                  <c:v>-0.47798964713880343</c:v>
                </c:pt>
                <c:pt idx="218">
                  <c:v>-0.48341853830270293</c:v>
                </c:pt>
                <c:pt idx="219">
                  <c:v>-0.48884742946660242</c:v>
                </c:pt>
                <c:pt idx="220">
                  <c:v>-0.49427632063050192</c:v>
                </c:pt>
                <c:pt idx="221">
                  <c:v>-0.49970521179440142</c:v>
                </c:pt>
                <c:pt idx="222">
                  <c:v>-0.50513410295830097</c:v>
                </c:pt>
                <c:pt idx="223">
                  <c:v>-0.51056299412220041</c:v>
                </c:pt>
                <c:pt idx="224">
                  <c:v>-0.51599188528609996</c:v>
                </c:pt>
                <c:pt idx="225">
                  <c:v>-0.52142077644999951</c:v>
                </c:pt>
                <c:pt idx="226">
                  <c:v>-0.52684966761389895</c:v>
                </c:pt>
                <c:pt idx="227">
                  <c:v>-0.53227855877779851</c:v>
                </c:pt>
                <c:pt idx="228">
                  <c:v>-0.53770744994169795</c:v>
                </c:pt>
                <c:pt idx="229">
                  <c:v>-0.5431363411055975</c:v>
                </c:pt>
                <c:pt idx="230">
                  <c:v>-0.54856523226949694</c:v>
                </c:pt>
                <c:pt idx="231">
                  <c:v>-0.55399412343339649</c:v>
                </c:pt>
                <c:pt idx="232">
                  <c:v>-0.55942301459729593</c:v>
                </c:pt>
                <c:pt idx="233">
                  <c:v>-0.56485190576119548</c:v>
                </c:pt>
                <c:pt idx="234">
                  <c:v>-0.57028079692509503</c:v>
                </c:pt>
                <c:pt idx="235">
                  <c:v>-0.57570968808899448</c:v>
                </c:pt>
                <c:pt idx="236">
                  <c:v>-0.58113857925289403</c:v>
                </c:pt>
                <c:pt idx="237">
                  <c:v>-0.58656747041679358</c:v>
                </c:pt>
                <c:pt idx="238">
                  <c:v>-0.59199636158069302</c:v>
                </c:pt>
                <c:pt idx="239">
                  <c:v>-0.59742525274459257</c:v>
                </c:pt>
                <c:pt idx="240">
                  <c:v>-0.60285414390849201</c:v>
                </c:pt>
                <c:pt idx="241">
                  <c:v>-0.60828303507239156</c:v>
                </c:pt>
                <c:pt idx="242">
                  <c:v>-0.61371192623629101</c:v>
                </c:pt>
                <c:pt idx="243">
                  <c:v>-0.61914081740019056</c:v>
                </c:pt>
                <c:pt idx="244">
                  <c:v>-0.62456970856409</c:v>
                </c:pt>
                <c:pt idx="245">
                  <c:v>-0.62999859972798944</c:v>
                </c:pt>
                <c:pt idx="246">
                  <c:v>-0.63542749089188899</c:v>
                </c:pt>
                <c:pt idx="247">
                  <c:v>-0.64085638205578843</c:v>
                </c:pt>
              </c:numCache>
            </c:numRef>
          </c:xVal>
          <c:yVal>
            <c:numRef>
              <c:f>plot!$L$33:$L$280</c:f>
              <c:numCache>
                <c:formatCode>General</c:formatCode>
                <c:ptCount val="248"/>
                <c:pt idx="0">
                  <c:v>3.8620984649358481E-3</c:v>
                </c:pt>
                <c:pt idx="1">
                  <c:v>-0.1006980773538505</c:v>
                </c:pt>
                <c:pt idx="2">
                  <c:v>-0.12308043961606852</c:v>
                </c:pt>
                <c:pt idx="3">
                  <c:v>-0.12314333954436502</c:v>
                </c:pt>
                <c:pt idx="4">
                  <c:v>-0.11525113475980509</c:v>
                </c:pt>
                <c:pt idx="5">
                  <c:v>-0.10641962155221429</c:v>
                </c:pt>
                <c:pt idx="6">
                  <c:v>-8.8675875316770403E-2</c:v>
                </c:pt>
                <c:pt idx="7">
                  <c:v>-5.9587623740453122E-2</c:v>
                </c:pt>
                <c:pt idx="8">
                  <c:v>-3.1663573341387308E-2</c:v>
                </c:pt>
                <c:pt idx="9">
                  <c:v>-1.0324306551070694E-2</c:v>
                </c:pt>
                <c:pt idx="10">
                  <c:v>1.9441672681186267E-2</c:v>
                </c:pt>
                <c:pt idx="11">
                  <c:v>5.1477544034432943E-2</c:v>
                </c:pt>
                <c:pt idx="12">
                  <c:v>7.8956192427893868E-2</c:v>
                </c:pt>
                <c:pt idx="13">
                  <c:v>0.10230300822378965</c:v>
                </c:pt>
                <c:pt idx="14">
                  <c:v>0.14780738262927617</c:v>
                </c:pt>
                <c:pt idx="15">
                  <c:v>0.16562641076126006</c:v>
                </c:pt>
                <c:pt idx="16">
                  <c:v>0.16868494602671444</c:v>
                </c:pt>
                <c:pt idx="17">
                  <c:v>0.16911137842592786</c:v>
                </c:pt>
                <c:pt idx="18">
                  <c:v>0.1685156923159162</c:v>
                </c:pt>
                <c:pt idx="19">
                  <c:v>0.17026117789475775</c:v>
                </c:pt>
                <c:pt idx="20">
                  <c:v>0.16774694694545608</c:v>
                </c:pt>
                <c:pt idx="21">
                  <c:v>0.17087418885319577</c:v>
                </c:pt>
                <c:pt idx="22">
                  <c:v>0.17085121691812749</c:v>
                </c:pt>
                <c:pt idx="23">
                  <c:v>0.17477921044184844</c:v>
                </c:pt>
                <c:pt idx="24">
                  <c:v>0.17759817774793399</c:v>
                </c:pt>
                <c:pt idx="25">
                  <c:v>0.17838663030531859</c:v>
                </c:pt>
                <c:pt idx="26">
                  <c:v>0.18045868684547975</c:v>
                </c:pt>
                <c:pt idx="27">
                  <c:v>0.18458317564852406</c:v>
                </c:pt>
                <c:pt idx="28">
                  <c:v>0.18773910091178081</c:v>
                </c:pt>
                <c:pt idx="29">
                  <c:v>0.19226792020472283</c:v>
                </c:pt>
                <c:pt idx="30">
                  <c:v>0.19355876030458685</c:v>
                </c:pt>
                <c:pt idx="31">
                  <c:v>0.19534569857329531</c:v>
                </c:pt>
                <c:pt idx="32">
                  <c:v>-0.14082661788428652</c:v>
                </c:pt>
                <c:pt idx="33">
                  <c:v>-0.15945346173809943</c:v>
                </c:pt>
                <c:pt idx="34">
                  <c:v>-0.13484162419971241</c:v>
                </c:pt>
                <c:pt idx="35">
                  <c:v>-8.5992446542893175E-2</c:v>
                </c:pt>
                <c:pt idx="36">
                  <c:v>-2.9799186351210372E-2</c:v>
                </c:pt>
                <c:pt idx="37">
                  <c:v>3.7363503808204912E-2</c:v>
                </c:pt>
                <c:pt idx="38">
                  <c:v>9.2446117792073429E-2</c:v>
                </c:pt>
                <c:pt idx="39">
                  <c:v>0.16326198109801557</c:v>
                </c:pt>
                <c:pt idx="40">
                  <c:v>0.17181485599486865</c:v>
                </c:pt>
                <c:pt idx="41">
                  <c:v>0.17849321166787638</c:v>
                </c:pt>
                <c:pt idx="42">
                  <c:v>0.18357978404999353</c:v>
                </c:pt>
                <c:pt idx="43">
                  <c:v>0.19300106897617408</c:v>
                </c:pt>
                <c:pt idx="44">
                  <c:v>0.20370452848203224</c:v>
                </c:pt>
                <c:pt idx="45">
                  <c:v>0.21456979641868132</c:v>
                </c:pt>
                <c:pt idx="46">
                  <c:v>0.22837258301702776</c:v>
                </c:pt>
                <c:pt idx="47">
                  <c:v>0.23642345154556116</c:v>
                </c:pt>
                <c:pt idx="48">
                  <c:v>0.25274989696171524</c:v>
                </c:pt>
                <c:pt idx="49">
                  <c:v>0.26757165738246913</c:v>
                </c:pt>
                <c:pt idx="50">
                  <c:v>0.28230374658215468</c:v>
                </c:pt>
                <c:pt idx="51">
                  <c:v>0.29598074570780153</c:v>
                </c:pt>
                <c:pt idx="52">
                  <c:v>0.30704174657545447</c:v>
                </c:pt>
                <c:pt idx="53">
                  <c:v>0.32564361113791396</c:v>
                </c:pt>
                <c:pt idx="54">
                  <c:v>0.34153856740529226</c:v>
                </c:pt>
                <c:pt idx="55">
                  <c:v>0.36358624637140391</c:v>
                </c:pt>
                <c:pt idx="56">
                  <c:v>0.3843523225190778</c:v>
                </c:pt>
                <c:pt idx="57">
                  <c:v>0.40183439269389032</c:v>
                </c:pt>
                <c:pt idx="58">
                  <c:v>0.42390332211940501</c:v>
                </c:pt>
                <c:pt idx="59">
                  <c:v>0.4457095272553494</c:v>
                </c:pt>
                <c:pt idx="60">
                  <c:v>0.46838585770433983</c:v>
                </c:pt>
                <c:pt idx="61">
                  <c:v>0.49016985944548186</c:v>
                </c:pt>
                <c:pt idx="62">
                  <c:v>0.51239507027647213</c:v>
                </c:pt>
                <c:pt idx="63">
                  <c:v>0.53390748542883071</c:v>
                </c:pt>
                <c:pt idx="64">
                  <c:v>-0.20655377294291596</c:v>
                </c:pt>
                <c:pt idx="65">
                  <c:v>-0.17712246462287218</c:v>
                </c:pt>
                <c:pt idx="66">
                  <c:v>-9.2178762261956065E-2</c:v>
                </c:pt>
                <c:pt idx="67">
                  <c:v>1.1225647244553494E-3</c:v>
                </c:pt>
                <c:pt idx="68">
                  <c:v>0.10922860077992087</c:v>
                </c:pt>
                <c:pt idx="69">
                  <c:v>0.14061437960380604</c:v>
                </c:pt>
                <c:pt idx="70">
                  <c:v>0.15195802111087359</c:v>
                </c:pt>
                <c:pt idx="71">
                  <c:v>0.16892207560265926</c:v>
                </c:pt>
                <c:pt idx="72">
                  <c:v>0.18582971631880996</c:v>
                </c:pt>
                <c:pt idx="73">
                  <c:v>0.20850623735488011</c:v>
                </c:pt>
                <c:pt idx="74">
                  <c:v>0.22529952582312193</c:v>
                </c:pt>
                <c:pt idx="75">
                  <c:v>0.25398716335759886</c:v>
                </c:pt>
                <c:pt idx="76">
                  <c:v>0.27620589422787423</c:v>
                </c:pt>
                <c:pt idx="77">
                  <c:v>0.29891005039052254</c:v>
                </c:pt>
                <c:pt idx="78">
                  <c:v>0.32920795816263515</c:v>
                </c:pt>
                <c:pt idx="79">
                  <c:v>0.36045641899548975</c:v>
                </c:pt>
                <c:pt idx="80">
                  <c:v>0.39422415514331566</c:v>
                </c:pt>
                <c:pt idx="81">
                  <c:v>0.42667283811151313</c:v>
                </c:pt>
                <c:pt idx="82">
                  <c:v>0.46569572710552831</c:v>
                </c:pt>
                <c:pt idx="83">
                  <c:v>0.50001101993375741</c:v>
                </c:pt>
                <c:pt idx="84">
                  <c:v>0.5358950350162156</c:v>
                </c:pt>
                <c:pt idx="85">
                  <c:v>-0.2471946177359301</c:v>
                </c:pt>
                <c:pt idx="86">
                  <c:v>-0.16728870365663673</c:v>
                </c:pt>
                <c:pt idx="87">
                  <c:v>-4.0942912298476242E-2</c:v>
                </c:pt>
                <c:pt idx="88">
                  <c:v>9.1113630320250272E-2</c:v>
                </c:pt>
                <c:pt idx="89">
                  <c:v>0.11141600810265392</c:v>
                </c:pt>
                <c:pt idx="90">
                  <c:v>0.13244309325617945</c:v>
                </c:pt>
                <c:pt idx="91">
                  <c:v>0.15972314991243872</c:v>
                </c:pt>
                <c:pt idx="92">
                  <c:v>0.18732339286284275</c:v>
                </c:pt>
                <c:pt idx="93">
                  <c:v>0.22344440297909196</c:v>
                </c:pt>
                <c:pt idx="94">
                  <c:v>0.25635754666087918</c:v>
                </c:pt>
                <c:pt idx="95">
                  <c:v>0.29268724962956183</c:v>
                </c:pt>
                <c:pt idx="96">
                  <c:v>0.33685322626681558</c:v>
                </c:pt>
                <c:pt idx="97">
                  <c:v>0.37986186286169221</c:v>
                </c:pt>
                <c:pt idx="98">
                  <c:v>0.42954257194788842</c:v>
                </c:pt>
                <c:pt idx="99">
                  <c:v>0.47929198767636982</c:v>
                </c:pt>
                <c:pt idx="100">
                  <c:v>0.52867242681826543</c:v>
                </c:pt>
                <c:pt idx="101">
                  <c:v>-0.28172819484875444</c:v>
                </c:pt>
                <c:pt idx="102">
                  <c:v>-0.15457488603327796</c:v>
                </c:pt>
                <c:pt idx="103">
                  <c:v>2.719791635398297E-2</c:v>
                </c:pt>
                <c:pt idx="104">
                  <c:v>7.061641046407291E-2</c:v>
                </c:pt>
                <c:pt idx="105">
                  <c:v>9.9484819843785502E-2</c:v>
                </c:pt>
                <c:pt idx="106">
                  <c:v>0.1371354818628949</c:v>
                </c:pt>
                <c:pt idx="107">
                  <c:v>0.177585486910812</c:v>
                </c:pt>
                <c:pt idx="108">
                  <c:v>0.21977183554968441</c:v>
                </c:pt>
                <c:pt idx="109">
                  <c:v>0.26930483964899821</c:v>
                </c:pt>
                <c:pt idx="110">
                  <c:v>0.32662084832806559</c:v>
                </c:pt>
                <c:pt idx="111">
                  <c:v>0.38511506633475356</c:v>
                </c:pt>
                <c:pt idx="112">
                  <c:v>0.44836081082913254</c:v>
                </c:pt>
                <c:pt idx="113">
                  <c:v>-0.31250310886635613</c:v>
                </c:pt>
                <c:pt idx="114">
                  <c:v>-0.12940820390618948</c:v>
                </c:pt>
                <c:pt idx="115">
                  <c:v>1.6535752166282704E-2</c:v>
                </c:pt>
                <c:pt idx="116">
                  <c:v>4.9541711755955953E-2</c:v>
                </c:pt>
                <c:pt idx="117">
                  <c:v>9.4786601852229327E-2</c:v>
                </c:pt>
                <c:pt idx="118">
                  <c:v>0.14629180105381054</c:v>
                </c:pt>
                <c:pt idx="119">
                  <c:v>0.19816264156808022</c:v>
                </c:pt>
                <c:pt idx="120">
                  <c:v>0.2646703792275979</c:v>
                </c:pt>
                <c:pt idx="121">
                  <c:v>0.33600587820674566</c:v>
                </c:pt>
                <c:pt idx="122">
                  <c:v>0.41441187196763518</c:v>
                </c:pt>
                <c:pt idx="123">
                  <c:v>-0.33671410856045203</c:v>
                </c:pt>
                <c:pt idx="124">
                  <c:v>-0.11396794281206479</c:v>
                </c:pt>
                <c:pt idx="125">
                  <c:v>-1.3618515025793795E-2</c:v>
                </c:pt>
                <c:pt idx="126">
                  <c:v>3.4970701854112704E-2</c:v>
                </c:pt>
                <c:pt idx="127">
                  <c:v>9.469315829688113E-2</c:v>
                </c:pt>
                <c:pt idx="128">
                  <c:v>0.15662490016924799</c:v>
                </c:pt>
                <c:pt idx="129">
                  <c:v>0.23475721088347573</c:v>
                </c:pt>
                <c:pt idx="130">
                  <c:v>0.32221342271802822</c:v>
                </c:pt>
                <c:pt idx="131">
                  <c:v>0.41476974480931367</c:v>
                </c:pt>
                <c:pt idx="132">
                  <c:v>-0.35021621082496762</c:v>
                </c:pt>
                <c:pt idx="133">
                  <c:v>-8.609006418059835E-2</c:v>
                </c:pt>
                <c:pt idx="134">
                  <c:v>-3.8648753282616424E-2</c:v>
                </c:pt>
                <c:pt idx="135">
                  <c:v>2.1217501111897338E-2</c:v>
                </c:pt>
                <c:pt idx="136">
                  <c:v>9.5711695058906213E-2</c:v>
                </c:pt>
                <c:pt idx="137">
                  <c:v>0.18300971961718493</c:v>
                </c:pt>
                <c:pt idx="138">
                  <c:v>0.28095784549091096</c:v>
                </c:pt>
                <c:pt idx="139">
                  <c:v>0.38511463137130558</c:v>
                </c:pt>
                <c:pt idx="140">
                  <c:v>-0.36262005504185907</c:v>
                </c:pt>
                <c:pt idx="141">
                  <c:v>-0.11814820100681675</c:v>
                </c:pt>
                <c:pt idx="142">
                  <c:v>-6.3695096147686384E-2</c:v>
                </c:pt>
                <c:pt idx="143">
                  <c:v>1.5191367641500114E-2</c:v>
                </c:pt>
                <c:pt idx="144">
                  <c:v>0.10270246855504869</c:v>
                </c:pt>
                <c:pt idx="145">
                  <c:v>0.21115489662813816</c:v>
                </c:pt>
                <c:pt idx="146">
                  <c:v>0.33126963399774761</c:v>
                </c:pt>
                <c:pt idx="147">
                  <c:v>-0.38364072231283908</c:v>
                </c:pt>
                <c:pt idx="148">
                  <c:v>-0.1530297901274435</c:v>
                </c:pt>
                <c:pt idx="149">
                  <c:v>-8.2060980689923499E-2</c:v>
                </c:pt>
                <c:pt idx="150">
                  <c:v>7.6709361715544128E-3</c:v>
                </c:pt>
                <c:pt idx="151">
                  <c:v>0.11964426995775604</c:v>
                </c:pt>
                <c:pt idx="152">
                  <c:v>0.24704133964835834</c:v>
                </c:pt>
                <c:pt idx="153">
                  <c:v>-0.39545965478167699</c:v>
                </c:pt>
                <c:pt idx="154">
                  <c:v>-0.1890250748491622</c:v>
                </c:pt>
                <c:pt idx="155">
                  <c:v>-0.10662999821351385</c:v>
                </c:pt>
                <c:pt idx="156">
                  <c:v>3.9248912309188533E-3</c:v>
                </c:pt>
                <c:pt idx="157">
                  <c:v>0.53198167684362208</c:v>
                </c:pt>
                <c:pt idx="158">
                  <c:v>2.945901797120648E-2</c:v>
                </c:pt>
                <c:pt idx="159">
                  <c:v>0.21358919194910755</c:v>
                </c:pt>
                <c:pt idx="160">
                  <c:v>0.31467399998297219</c:v>
                </c:pt>
                <c:pt idx="161">
                  <c:v>0.44075582823554305</c:v>
                </c:pt>
                <c:pt idx="162">
                  <c:v>0.59348220671856677</c:v>
                </c:pt>
                <c:pt idx="163">
                  <c:v>5.6781947991165621E-2</c:v>
                </c:pt>
                <c:pt idx="164">
                  <c:v>0.22276594492257717</c:v>
                </c:pt>
                <c:pt idx="165">
                  <c:v>0.33513465160592348</c:v>
                </c:pt>
                <c:pt idx="166">
                  <c:v>0.48196969757022512</c:v>
                </c:pt>
                <c:pt idx="167">
                  <c:v>7.558392025819971E-2</c:v>
                </c:pt>
                <c:pt idx="168">
                  <c:v>0.23130385000439627</c:v>
                </c:pt>
                <c:pt idx="169">
                  <c:v>0.35817632875771677</c:v>
                </c:pt>
                <c:pt idx="170">
                  <c:v>0.52950324388558756</c:v>
                </c:pt>
                <c:pt idx="171">
                  <c:v>0.12072302579589161</c:v>
                </c:pt>
                <c:pt idx="172">
                  <c:v>0.24263900165714455</c:v>
                </c:pt>
                <c:pt idx="173">
                  <c:v>0.38561227691602584</c:v>
                </c:pt>
                <c:pt idx="174">
                  <c:v>0.57695922125945187</c:v>
                </c:pt>
                <c:pt idx="175">
                  <c:v>0.13734706420796255</c:v>
                </c:pt>
                <c:pt idx="176">
                  <c:v>0.24828493838934984</c:v>
                </c:pt>
                <c:pt idx="177">
                  <c:v>0.41646173496795275</c:v>
                </c:pt>
                <c:pt idx="178">
                  <c:v>0.62502336200511133</c:v>
                </c:pt>
                <c:pt idx="179">
                  <c:v>0.13712139418420996</c:v>
                </c:pt>
                <c:pt idx="180">
                  <c:v>0.26173589250903112</c:v>
                </c:pt>
                <c:pt idx="181">
                  <c:v>0.44453262398277549</c:v>
                </c:pt>
                <c:pt idx="182">
                  <c:v>0.13588656557266221</c:v>
                </c:pt>
                <c:pt idx="183">
                  <c:v>0.27614797727238583</c:v>
                </c:pt>
                <c:pt idx="184">
                  <c:v>0.47585978855034167</c:v>
                </c:pt>
                <c:pt idx="185">
                  <c:v>0.1336006492157526</c:v>
                </c:pt>
                <c:pt idx="186">
                  <c:v>0.28706240794636989</c:v>
                </c:pt>
                <c:pt idx="187">
                  <c:v>0.51179544400217258</c:v>
                </c:pt>
                <c:pt idx="188">
                  <c:v>0.13339318025812552</c:v>
                </c:pt>
                <c:pt idx="189">
                  <c:v>0.29962189100006176</c:v>
                </c:pt>
                <c:pt idx="190">
                  <c:v>0.54557441605844359</c:v>
                </c:pt>
                <c:pt idx="191">
                  <c:v>0.129698825381139</c:v>
                </c:pt>
                <c:pt idx="192">
                  <c:v>0.31061875058608002</c:v>
                </c:pt>
                <c:pt idx="193">
                  <c:v>0.57973313287131156</c:v>
                </c:pt>
                <c:pt idx="194">
                  <c:v>0.13008074696794206</c:v>
                </c:pt>
                <c:pt idx="195">
                  <c:v>0.32606238791911235</c:v>
                </c:pt>
                <c:pt idx="196">
                  <c:v>0.12922223254555412</c:v>
                </c:pt>
                <c:pt idx="197">
                  <c:v>0.34164744086539167</c:v>
                </c:pt>
                <c:pt idx="198">
                  <c:v>0.12839640380736012</c:v>
                </c:pt>
                <c:pt idx="199">
                  <c:v>0.36144656473419057</c:v>
                </c:pt>
                <c:pt idx="200">
                  <c:v>0.13030645260038456</c:v>
                </c:pt>
                <c:pt idx="201">
                  <c:v>0.38012637068304211</c:v>
                </c:pt>
                <c:pt idx="202">
                  <c:v>0.12992735997735441</c:v>
                </c:pt>
                <c:pt idx="203">
                  <c:v>0.39450376859786462</c:v>
                </c:pt>
                <c:pt idx="204">
                  <c:v>0.12981851983354858</c:v>
                </c:pt>
                <c:pt idx="205">
                  <c:v>0.41419949897584607</c:v>
                </c:pt>
                <c:pt idx="206">
                  <c:v>0.13296319172982846</c:v>
                </c:pt>
                <c:pt idx="207">
                  <c:v>0.37275508472566277</c:v>
                </c:pt>
                <c:pt idx="208">
                  <c:v>0.13341038939147939</c:v>
                </c:pt>
                <c:pt idx="209">
                  <c:v>0.29122772995140328</c:v>
                </c:pt>
                <c:pt idx="210">
                  <c:v>0.13593946501985019</c:v>
                </c:pt>
                <c:pt idx="211">
                  <c:v>0.47670210587420669</c:v>
                </c:pt>
                <c:pt idx="212">
                  <c:v>0.13398288313691784</c:v>
                </c:pt>
                <c:pt idx="213">
                  <c:v>0.49625937473867832</c:v>
                </c:pt>
                <c:pt idx="214">
                  <c:v>0.1349493352976148</c:v>
                </c:pt>
                <c:pt idx="215">
                  <c:v>0.51661815756745089</c:v>
                </c:pt>
                <c:pt idx="216">
                  <c:v>0.13577808829312124</c:v>
                </c:pt>
                <c:pt idx="217">
                  <c:v>0.14066644138293066</c:v>
                </c:pt>
                <c:pt idx="218">
                  <c:v>0.14402342728616133</c:v>
                </c:pt>
                <c:pt idx="219">
                  <c:v>0.14694301584114039</c:v>
                </c:pt>
                <c:pt idx="220">
                  <c:v>0.14934001462317664</c:v>
                </c:pt>
                <c:pt idx="221">
                  <c:v>0.15067649159939819</c:v>
                </c:pt>
                <c:pt idx="222">
                  <c:v>0.15296456986530119</c:v>
                </c:pt>
                <c:pt idx="223">
                  <c:v>0.15560151778086601</c:v>
                </c:pt>
                <c:pt idx="224">
                  <c:v>0.15636099237284781</c:v>
                </c:pt>
                <c:pt idx="225">
                  <c:v>0.15939769668839376</c:v>
                </c:pt>
                <c:pt idx="226">
                  <c:v>0.16466312631568231</c:v>
                </c:pt>
                <c:pt idx="227">
                  <c:v>0.1671528457120644</c:v>
                </c:pt>
                <c:pt idx="228">
                  <c:v>0.17199955552492718</c:v>
                </c:pt>
                <c:pt idx="229">
                  <c:v>0.17538255656455681</c:v>
                </c:pt>
                <c:pt idx="230">
                  <c:v>0.1795311459039361</c:v>
                </c:pt>
                <c:pt idx="231">
                  <c:v>0.18825773219480474</c:v>
                </c:pt>
                <c:pt idx="232">
                  <c:v>0.19097034318106898</c:v>
                </c:pt>
                <c:pt idx="233">
                  <c:v>0.19853158477220695</c:v>
                </c:pt>
                <c:pt idx="234">
                  <c:v>0.20258430881042278</c:v>
                </c:pt>
                <c:pt idx="235">
                  <c:v>0.20613378766429963</c:v>
                </c:pt>
                <c:pt idx="236">
                  <c:v>0.2126408921167981</c:v>
                </c:pt>
                <c:pt idx="237">
                  <c:v>0.21915724004266929</c:v>
                </c:pt>
                <c:pt idx="238">
                  <c:v>0.22507552571197736</c:v>
                </c:pt>
                <c:pt idx="239">
                  <c:v>0.23249906813792509</c:v>
                </c:pt>
                <c:pt idx="240">
                  <c:v>0.23953771995611967</c:v>
                </c:pt>
                <c:pt idx="241">
                  <c:v>0.244298093821811</c:v>
                </c:pt>
                <c:pt idx="242">
                  <c:v>0.25551460501735401</c:v>
                </c:pt>
                <c:pt idx="243">
                  <c:v>0.25720290574297533</c:v>
                </c:pt>
                <c:pt idx="244">
                  <c:v>0.26364768822036344</c:v>
                </c:pt>
                <c:pt idx="245">
                  <c:v>0.26915783165817692</c:v>
                </c:pt>
                <c:pt idx="246">
                  <c:v>0.27842635231059337</c:v>
                </c:pt>
                <c:pt idx="247">
                  <c:v>0.28179382050321555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75728"/>
        <c:axId val="262876288"/>
      </c:scatterChart>
      <c:valAx>
        <c:axId val="262875728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262876288"/>
        <c:crosses val="autoZero"/>
        <c:crossBetween val="midCat"/>
      </c:valAx>
      <c:valAx>
        <c:axId val="262876288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2628757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7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checked="Checked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9525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9525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180975</xdr:rowOff>
        </xdr:from>
        <xdr:to>
          <xdr:col>3</xdr:col>
          <xdr:colOff>257175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190500</xdr:rowOff>
        </xdr:from>
        <xdr:to>
          <xdr:col>3</xdr:col>
          <xdr:colOff>2117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280" totalsRowShown="0">
  <tableColumns count="17">
    <tableColumn id="1" name="labels" dataDxfId="16"/>
    <tableColumn id="2" name="gridSize" dataDxfId="15"/>
    <tableColumn id="3" name="blockSize" dataDxfId="14"/>
    <tableColumn id="4" name="tim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J2023"/>
  <sheetViews>
    <sheetView tabSelected="1" topLeftCell="A22" zoomScale="85" zoomScaleNormal="85" workbookViewId="0">
      <selection activeCell="F15" sqref="F15"/>
    </sheetView>
  </sheetViews>
  <sheetFormatPr baseColWidth="10" defaultRowHeight="12.75"/>
  <cols>
    <col min="1" max="1" width="147.25" style="80" customWidth="1"/>
    <col min="6" max="6" width="13.25" style="5" customWidth="1"/>
    <col min="7" max="7" width="20.75" style="5" customWidth="1"/>
    <col min="9" max="9" width="12.75" customWidth="1"/>
    <col min="10" max="10" width="12" customWidth="1"/>
    <col min="18" max="18" width="9.625" customWidth="1"/>
    <col min="19" max="21" width="10.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79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1+MAX(IF(H33:H65776&lt;&gt;0,ROW(H33:H65776),0))-ROW(H33)</f>
        <v>248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-0.4</v>
      </c>
      <c r="X9" s="40"/>
      <c r="Y9" s="40">
        <f t="shared" ref="Y9:Y29" si="2">(W9*$H$13+T9*$I$13+U9*$J$13+$D$27)*$C$27</f>
        <v>0.60665436772322157</v>
      </c>
      <c r="Z9" s="41">
        <f t="shared" ref="Z9:Z29" si="3">(W9*$H$14+T9*$I$14+U9*$J$14+$E$27)*$C$27</f>
        <v>-0.33057921356645503</v>
      </c>
      <c r="AA9" s="39">
        <f t="shared" ref="AA9:AA29" si="4">IF($S9&gt;I$23,I$23,$S9)</f>
        <v>0</v>
      </c>
      <c r="AB9" s="39">
        <f t="shared" ref="AB9:AB29" si="5">I$24+AA9*I$25</f>
        <v>-0.33064516129032262</v>
      </c>
      <c r="AC9" s="40"/>
      <c r="AD9" s="40">
        <f t="shared" ref="AD9:AD29" si="6">(T9*$H$13+AB9*$I$13+U9*$J$13+$D$27)*$C$27</f>
        <v>-0.48171488982591709</v>
      </c>
      <c r="AE9" s="41">
        <f t="shared" ref="AE9:AE29" si="7">(T9*$H$14+AB9*$I$14+U9*$J$14+$E$27)*$C$27</f>
        <v>-0.61139220436146879</v>
      </c>
      <c r="AF9" s="39">
        <f t="shared" ref="AF9:AF29" si="8">IF($S9&gt;J$23,J$23,$S9)</f>
        <v>0</v>
      </c>
      <c r="AG9" s="39">
        <f t="shared" ref="AG9:AG29" si="9">J$24+AF9*J$25</f>
        <v>-0.36118064132211619</v>
      </c>
      <c r="AH9" s="39"/>
      <c r="AI9" s="40">
        <f t="shared" ref="AI9:AI29" si="10">(U9*$H$13+T9*$I$13+AG9*$J$13+$D$27)*$C$27</f>
        <v>0.64085638205578854</v>
      </c>
      <c r="AJ9" s="41">
        <f t="shared" ref="AJ9:AJ29" si="11">(U9*$H$14+T9*$I$14+AG9*$J$14+$E$27)*$C$27</f>
        <v>-0.16337349137504847</v>
      </c>
    </row>
    <row r="10" spans="2:36" ht="15.95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-0.64085638205578865</v>
      </c>
      <c r="O10" s="51">
        <f t="shared" ref="O10:O20" si="13">(K10*$H$14+L10*$I$14+M10*$J$14+$E$27)*$C$27</f>
        <v>-0.58243082125727907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-0.4</v>
      </c>
      <c r="X10" s="40">
        <f>H$22+V10*H$21</f>
        <v>4</v>
      </c>
      <c r="Y10" s="40">
        <f t="shared" si="2"/>
        <v>0.70062362980181248</v>
      </c>
      <c r="Z10" s="41">
        <f t="shared" si="3"/>
        <v>-0.34768022073273847</v>
      </c>
      <c r="AA10" s="39">
        <f t="shared" si="4"/>
        <v>0</v>
      </c>
      <c r="AB10" s="39">
        <f t="shared" si="5"/>
        <v>-0.33064516129032262</v>
      </c>
      <c r="AC10" s="40">
        <f>I$22+AA10*I$21</f>
        <v>200</v>
      </c>
      <c r="AD10" s="40">
        <f t="shared" si="6"/>
        <v>-0.51591690415848401</v>
      </c>
      <c r="AE10" s="41">
        <f t="shared" si="7"/>
        <v>-0.65837683540076419</v>
      </c>
      <c r="AF10" s="39">
        <f t="shared" si="8"/>
        <v>0</v>
      </c>
      <c r="AG10" s="39">
        <f t="shared" si="9"/>
        <v>-0.36118064132211619</v>
      </c>
      <c r="AH10" s="39">
        <f>J$22+AF10*J$21</f>
        <v>1</v>
      </c>
      <c r="AI10" s="40">
        <f t="shared" si="10"/>
        <v>0.73482564413437945</v>
      </c>
      <c r="AJ10" s="41">
        <f t="shared" si="11"/>
        <v>-0.18047449854133191</v>
      </c>
    </row>
    <row r="11" spans="2:36" ht="15.95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0.93969262078590832</v>
      </c>
      <c r="K11" s="57">
        <v>-0.5</v>
      </c>
      <c r="L11" s="63">
        <v>-0.5</v>
      </c>
      <c r="M11" s="63">
        <v>-0.5</v>
      </c>
      <c r="N11" s="50">
        <f t="shared" si="12"/>
        <v>-0.29883623873011983</v>
      </c>
      <c r="O11" s="51">
        <f t="shared" si="13"/>
        <v>-0.11258451086432519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-0.4</v>
      </c>
      <c r="X11" s="40"/>
      <c r="Y11" s="40">
        <f t="shared" si="2"/>
        <v>0.60665436772322157</v>
      </c>
      <c r="Z11" s="41">
        <f t="shared" si="3"/>
        <v>-0.33057921356645503</v>
      </c>
      <c r="AA11" s="39">
        <f t="shared" si="4"/>
        <v>0</v>
      </c>
      <c r="AB11" s="39">
        <f t="shared" si="5"/>
        <v>-0.33064516129032262</v>
      </c>
      <c r="AC11" s="40"/>
      <c r="AD11" s="40">
        <f t="shared" si="6"/>
        <v>-0.48171488982591709</v>
      </c>
      <c r="AE11" s="41">
        <f t="shared" si="7"/>
        <v>-0.61139220436146879</v>
      </c>
      <c r="AF11" s="39">
        <f t="shared" si="8"/>
        <v>0</v>
      </c>
      <c r="AG11" s="39">
        <f t="shared" si="9"/>
        <v>-0.36118064132211619</v>
      </c>
      <c r="AH11" s="39"/>
      <c r="AI11" s="40">
        <f t="shared" si="10"/>
        <v>0.64085638205578854</v>
      </c>
      <c r="AJ11" s="41">
        <f t="shared" si="11"/>
        <v>-0.16337349137504847</v>
      </c>
    </row>
    <row r="12" spans="2:36" ht="15.95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0.34202014332566882</v>
      </c>
      <c r="K12" s="57">
        <v>-0.5</v>
      </c>
      <c r="L12" s="63">
        <v>-0.5</v>
      </c>
      <c r="M12" s="63">
        <v>0.5</v>
      </c>
      <c r="N12" s="50">
        <f t="shared" si="12"/>
        <v>-0.29883623873011972</v>
      </c>
      <c r="O12" s="51">
        <f t="shared" si="13"/>
        <v>0.75344089292011351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-0.2</v>
      </c>
      <c r="X12" s="40"/>
      <c r="Y12" s="40">
        <f t="shared" si="2"/>
        <v>0.53825033905808783</v>
      </c>
      <c r="Z12" s="41">
        <f t="shared" si="3"/>
        <v>-0.42454847564504578</v>
      </c>
      <c r="AA12" s="39">
        <f t="shared" si="4"/>
        <v>1</v>
      </c>
      <c r="AB12" s="39">
        <f t="shared" si="5"/>
        <v>-0.12903225806451618</v>
      </c>
      <c r="AC12" s="40"/>
      <c r="AD12" s="40">
        <f t="shared" si="6"/>
        <v>-0.29226073240940331</v>
      </c>
      <c r="AE12" s="41">
        <f t="shared" si="7"/>
        <v>-0.64587004139026605</v>
      </c>
      <c r="AF12" s="39">
        <f t="shared" si="8"/>
        <v>1</v>
      </c>
      <c r="AG12" s="39">
        <f t="shared" si="9"/>
        <v>-0.14110963761347967</v>
      </c>
      <c r="AH12" s="39"/>
      <c r="AI12" s="40">
        <f t="shared" si="10"/>
        <v>0.64085638205578854</v>
      </c>
      <c r="AJ12" s="41">
        <f t="shared" si="11"/>
        <v>2.7213588472970174E-2</v>
      </c>
    </row>
    <row r="13" spans="2:36" ht="15.95" customHeight="1">
      <c r="B13" t="s">
        <v>50</v>
      </c>
      <c r="C13" s="27">
        <v>120</v>
      </c>
      <c r="D13" s="28">
        <v>180</v>
      </c>
      <c r="E13" s="21">
        <v>70</v>
      </c>
      <c r="F13"/>
      <c r="G13" s="1" t="s">
        <v>42</v>
      </c>
      <c r="H13" s="39">
        <f>I12*J12*H18</f>
        <v>-0.34202014332566882</v>
      </c>
      <c r="I13" s="39">
        <f>-J11*I12*I18</f>
        <v>0.93969262078590832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-0.64085638205578843</v>
      </c>
      <c r="O13" s="51">
        <f t="shared" si="13"/>
        <v>0.28359458252715963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-0.2</v>
      </c>
      <c r="X13" s="40">
        <f>H$22+V13*H$21</f>
        <v>8</v>
      </c>
      <c r="Y13" s="40">
        <f t="shared" si="2"/>
        <v>0.63221960113667863</v>
      </c>
      <c r="Z13" s="41">
        <f t="shared" si="3"/>
        <v>-0.44164948281132921</v>
      </c>
      <c r="AA13" s="39">
        <f t="shared" si="4"/>
        <v>1</v>
      </c>
      <c r="AB13" s="39">
        <f t="shared" si="5"/>
        <v>-0.12903225806451618</v>
      </c>
      <c r="AC13" s="40">
        <f>I$22+AA13*I$21</f>
        <v>400</v>
      </c>
      <c r="AD13" s="40">
        <f t="shared" si="6"/>
        <v>-0.32646274674197018</v>
      </c>
      <c r="AE13" s="41">
        <f t="shared" si="7"/>
        <v>-0.69285467242956145</v>
      </c>
      <c r="AF13" s="39">
        <f t="shared" si="8"/>
        <v>1</v>
      </c>
      <c r="AG13" s="39">
        <f t="shared" si="9"/>
        <v>-0.14110963761347967</v>
      </c>
      <c r="AH13" s="39">
        <f>J$22+AF13*J$21</f>
        <v>1.5</v>
      </c>
      <c r="AI13" s="40">
        <f t="shared" si="10"/>
        <v>0.73482564413437945</v>
      </c>
      <c r="AJ13" s="41">
        <f t="shared" si="11"/>
        <v>1.0112581306686741E-2</v>
      </c>
    </row>
    <row r="14" spans="2:36" ht="15.95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-0.46984631039295388</v>
      </c>
      <c r="I14" s="39">
        <f>(-J11*I11*H11+J12*H12)*I18</f>
        <v>-0.17101007166283444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-0.64085638205578865</v>
      </c>
      <c r="O14" s="51">
        <f t="shared" si="13"/>
        <v>-0.58243082125727907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-0.2</v>
      </c>
      <c r="X14" s="40"/>
      <c r="Y14" s="40">
        <f t="shared" si="2"/>
        <v>0.53825033905808783</v>
      </c>
      <c r="Z14" s="41">
        <f t="shared" si="3"/>
        <v>-0.42454847564504578</v>
      </c>
      <c r="AA14" s="39">
        <f t="shared" si="4"/>
        <v>1</v>
      </c>
      <c r="AB14" s="39">
        <f t="shared" si="5"/>
        <v>-0.12903225806451618</v>
      </c>
      <c r="AC14" s="40"/>
      <c r="AD14" s="40">
        <f t="shared" si="6"/>
        <v>-0.29226073240940331</v>
      </c>
      <c r="AE14" s="41">
        <f t="shared" si="7"/>
        <v>-0.64587004139026605</v>
      </c>
      <c r="AF14" s="39">
        <f t="shared" si="8"/>
        <v>1</v>
      </c>
      <c r="AG14" s="39">
        <f t="shared" si="9"/>
        <v>-0.14110963761347967</v>
      </c>
      <c r="AH14" s="39"/>
      <c r="AI14" s="40">
        <f t="shared" si="10"/>
        <v>0.64085638205578854</v>
      </c>
      <c r="AJ14" s="41">
        <f t="shared" si="11"/>
        <v>2.7213588472970174E-2</v>
      </c>
    </row>
    <row r="15" spans="2:36" ht="15.95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0.29883623873011972</v>
      </c>
      <c r="O15" s="51">
        <f t="shared" si="13"/>
        <v>-0.75344089292011351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0</v>
      </c>
      <c r="X15" s="40"/>
      <c r="Y15" s="40">
        <f t="shared" si="2"/>
        <v>0.4698463103929541</v>
      </c>
      <c r="Z15" s="41">
        <f t="shared" si="3"/>
        <v>-0.51851773772363652</v>
      </c>
      <c r="AA15" s="39">
        <f t="shared" si="4"/>
        <v>2</v>
      </c>
      <c r="AB15" s="39">
        <f t="shared" si="5"/>
        <v>7.2580645161290258E-2</v>
      </c>
      <c r="AC15" s="40"/>
      <c r="AD15" s="40">
        <f t="shared" si="6"/>
        <v>-0.10280657499288957</v>
      </c>
      <c r="AE15" s="41">
        <f t="shared" si="7"/>
        <v>-0.6803478784190633</v>
      </c>
      <c r="AF15" s="39">
        <f t="shared" si="8"/>
        <v>2</v>
      </c>
      <c r="AG15" s="39">
        <f t="shared" si="9"/>
        <v>7.896136609515686E-2</v>
      </c>
      <c r="AH15" s="39"/>
      <c r="AI15" s="40">
        <f t="shared" si="10"/>
        <v>0.64085638205578854</v>
      </c>
      <c r="AJ15" s="41">
        <f t="shared" si="11"/>
        <v>0.21780066832098882</v>
      </c>
    </row>
    <row r="16" spans="2:36" ht="15.95" customHeight="1">
      <c r="B16" t="s">
        <v>47</v>
      </c>
      <c r="F16"/>
      <c r="G16" s="1" t="s">
        <v>38</v>
      </c>
      <c r="H16" s="82">
        <f>MIN(C33:C280)</f>
        <v>2</v>
      </c>
      <c r="I16" s="82">
        <f>MIN(D33:D280)</f>
        <v>32</v>
      </c>
      <c r="J16" s="82">
        <f>MIN(E33:E280)</f>
        <v>0.68460325</v>
      </c>
      <c r="K16" s="57">
        <v>-0.5</v>
      </c>
      <c r="L16" s="63">
        <v>0.5</v>
      </c>
      <c r="M16" s="63">
        <v>-0.5</v>
      </c>
      <c r="N16" s="50">
        <f t="shared" si="12"/>
        <v>0.64085638205578843</v>
      </c>
      <c r="O16" s="51">
        <f t="shared" si="13"/>
        <v>-0.28359458252715963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0</v>
      </c>
      <c r="X16" s="40">
        <f>H$22+V16*H$21</f>
        <v>12</v>
      </c>
      <c r="Y16" s="40">
        <f t="shared" si="2"/>
        <v>0.5638155724715449</v>
      </c>
      <c r="Z16" s="41">
        <f t="shared" si="3"/>
        <v>-0.53561874488992001</v>
      </c>
      <c r="AA16" s="39">
        <f t="shared" si="4"/>
        <v>2</v>
      </c>
      <c r="AB16" s="39">
        <f t="shared" si="5"/>
        <v>7.2580645161290258E-2</v>
      </c>
      <c r="AC16" s="40">
        <f>I$22+AA16*I$21</f>
        <v>600</v>
      </c>
      <c r="AD16" s="40">
        <f t="shared" si="6"/>
        <v>-0.13700858932545645</v>
      </c>
      <c r="AE16" s="41">
        <f t="shared" si="7"/>
        <v>-0.7273325094583587</v>
      </c>
      <c r="AF16" s="39">
        <f t="shared" si="8"/>
        <v>2</v>
      </c>
      <c r="AG16" s="39">
        <f t="shared" si="9"/>
        <v>7.896136609515686E-2</v>
      </c>
      <c r="AH16" s="39">
        <f>J$22+AF16*J$21</f>
        <v>2</v>
      </c>
      <c r="AI16" s="40">
        <f t="shared" si="10"/>
        <v>0.73482564413437945</v>
      </c>
      <c r="AJ16" s="41">
        <f t="shared" si="11"/>
        <v>0.20069966115470539</v>
      </c>
    </row>
    <row r="17" spans="2:36" ht="15.95" customHeight="1">
      <c r="B17" t="s">
        <v>48</v>
      </c>
      <c r="F17"/>
      <c r="G17" s="1" t="s">
        <v>39</v>
      </c>
      <c r="H17" s="82">
        <f>MAX(C33:C280)-H16</f>
        <v>126</v>
      </c>
      <c r="I17" s="82">
        <f>MAX(D33:D280)-I16</f>
        <v>992</v>
      </c>
      <c r="J17" s="82">
        <f>MAX(E33:E280)-J16</f>
        <v>2.2719940000000003</v>
      </c>
      <c r="K17" s="57">
        <v>-0.5</v>
      </c>
      <c r="L17" s="63">
        <v>0.5</v>
      </c>
      <c r="M17" s="63">
        <v>0.5</v>
      </c>
      <c r="N17" s="50">
        <f t="shared" si="12"/>
        <v>0.64085638205578865</v>
      </c>
      <c r="O17" s="51">
        <f t="shared" si="13"/>
        <v>0.58243082125727907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0</v>
      </c>
      <c r="X17" s="40"/>
      <c r="Y17" s="40">
        <f t="shared" si="2"/>
        <v>0.4698463103929541</v>
      </c>
      <c r="Z17" s="41">
        <f t="shared" si="3"/>
        <v>-0.51851773772363652</v>
      </c>
      <c r="AA17" s="39">
        <f t="shared" si="4"/>
        <v>2</v>
      </c>
      <c r="AB17" s="39">
        <f t="shared" si="5"/>
        <v>7.2580645161290258E-2</v>
      </c>
      <c r="AC17" s="40"/>
      <c r="AD17" s="40">
        <f t="shared" si="6"/>
        <v>-0.10280657499288957</v>
      </c>
      <c r="AE17" s="41">
        <f t="shared" si="7"/>
        <v>-0.6803478784190633</v>
      </c>
      <c r="AF17" s="39">
        <f t="shared" si="8"/>
        <v>2</v>
      </c>
      <c r="AG17" s="39">
        <f t="shared" si="9"/>
        <v>7.896136609515686E-2</v>
      </c>
      <c r="AH17" s="39"/>
      <c r="AI17" s="40">
        <f t="shared" si="10"/>
        <v>0.64085638205578854</v>
      </c>
      <c r="AJ17" s="41">
        <f t="shared" si="11"/>
        <v>0.21780066832098882</v>
      </c>
    </row>
    <row r="18" spans="2:36" ht="15.95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-0.29883623873011972</v>
      </c>
      <c r="O18" s="51">
        <f t="shared" si="13"/>
        <v>0.75344089292011351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0.20000000000000007</v>
      </c>
      <c r="X18" s="40"/>
      <c r="Y18" s="40">
        <f t="shared" si="2"/>
        <v>0.40144228172782032</v>
      </c>
      <c r="Z18" s="41">
        <f t="shared" si="3"/>
        <v>-0.61248699980222732</v>
      </c>
      <c r="AA18" s="39">
        <f t="shared" si="4"/>
        <v>3</v>
      </c>
      <c r="AB18" s="39">
        <f t="shared" si="5"/>
        <v>0.27419354838709664</v>
      </c>
      <c r="AC18" s="40"/>
      <c r="AD18" s="40">
        <f t="shared" si="6"/>
        <v>8.6647582423624164E-2</v>
      </c>
      <c r="AE18" s="41">
        <f t="shared" si="7"/>
        <v>-0.71482571544786055</v>
      </c>
      <c r="AF18" s="39">
        <f t="shared" si="8"/>
        <v>3</v>
      </c>
      <c r="AG18" s="39">
        <f t="shared" si="9"/>
        <v>0.29903236980379339</v>
      </c>
      <c r="AH18" s="39"/>
      <c r="AI18" s="40">
        <f t="shared" si="10"/>
        <v>0.64085638205578854</v>
      </c>
      <c r="AJ18" s="41">
        <f t="shared" si="11"/>
        <v>0.40838774816900747</v>
      </c>
    </row>
    <row r="19" spans="2:36" ht="15.95" customHeight="1">
      <c r="B19" s="32"/>
      <c r="D19" t="b">
        <v>1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-0.29883623873011983</v>
      </c>
      <c r="O19" s="51">
        <f t="shared" si="13"/>
        <v>-0.11258451086432519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0.20000000000000007</v>
      </c>
      <c r="X19" s="40">
        <f>H$22+V19*H$21</f>
        <v>16</v>
      </c>
      <c r="Y19" s="40">
        <f t="shared" si="2"/>
        <v>0.49541154380641117</v>
      </c>
      <c r="Z19" s="41">
        <f t="shared" si="3"/>
        <v>-0.6295880069685108</v>
      </c>
      <c r="AA19" s="39">
        <f t="shared" si="4"/>
        <v>3</v>
      </c>
      <c r="AB19" s="39">
        <f t="shared" si="5"/>
        <v>0.27419354838709664</v>
      </c>
      <c r="AC19" s="40">
        <f>I$22+AA19*I$21</f>
        <v>800</v>
      </c>
      <c r="AD19" s="40">
        <f t="shared" si="6"/>
        <v>5.2445568091057292E-2</v>
      </c>
      <c r="AE19" s="41">
        <f t="shared" si="7"/>
        <v>-0.76181034648715595</v>
      </c>
      <c r="AF19" s="39">
        <f t="shared" si="8"/>
        <v>3</v>
      </c>
      <c r="AG19" s="39">
        <f t="shared" si="9"/>
        <v>0.29903236980379339</v>
      </c>
      <c r="AH19" s="39">
        <f>J$22+AF19*J$21</f>
        <v>2.5</v>
      </c>
      <c r="AI19" s="40">
        <f t="shared" si="10"/>
        <v>0.73482564413437945</v>
      </c>
      <c r="AJ19" s="41">
        <f t="shared" si="11"/>
        <v>0.39128674100272404</v>
      </c>
    </row>
    <row r="20" spans="2:36" ht="15.95" customHeight="1">
      <c r="B20" t="s">
        <v>22</v>
      </c>
      <c r="F20"/>
      <c r="G20" s="1" t="s">
        <v>56</v>
      </c>
      <c r="H20" s="39">
        <f>H17/5</f>
        <v>4</v>
      </c>
      <c r="I20" s="39">
        <f>I17/5</f>
        <v>198.4</v>
      </c>
      <c r="J20" s="39">
        <f>J17/5</f>
        <v>0.45439880000000005</v>
      </c>
      <c r="K20" s="59">
        <v>-0.5</v>
      </c>
      <c r="L20" s="64">
        <v>0.5</v>
      </c>
      <c r="M20" s="64">
        <v>-0.5</v>
      </c>
      <c r="N20" s="52">
        <f t="shared" si="12"/>
        <v>0.64085638205578843</v>
      </c>
      <c r="O20" s="53">
        <f t="shared" si="13"/>
        <v>-0.28359458252715963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0.20000000000000007</v>
      </c>
      <c r="X20" s="40"/>
      <c r="Y20" s="40">
        <f t="shared" si="2"/>
        <v>0.40144228172782032</v>
      </c>
      <c r="Z20" s="41">
        <f t="shared" si="3"/>
        <v>-0.61248699980222732</v>
      </c>
      <c r="AA20" s="39">
        <f t="shared" si="4"/>
        <v>3</v>
      </c>
      <c r="AB20" s="39">
        <f t="shared" si="5"/>
        <v>0.27419354838709664</v>
      </c>
      <c r="AC20" s="40"/>
      <c r="AD20" s="40">
        <f t="shared" si="6"/>
        <v>8.6647582423624164E-2</v>
      </c>
      <c r="AE20" s="41">
        <f t="shared" si="7"/>
        <v>-0.71482571544786055</v>
      </c>
      <c r="AF20" s="39">
        <f t="shared" si="8"/>
        <v>3</v>
      </c>
      <c r="AG20" s="39">
        <f t="shared" si="9"/>
        <v>0.29903236980379339</v>
      </c>
      <c r="AH20" s="39"/>
      <c r="AI20" s="40">
        <f t="shared" si="10"/>
        <v>0.64085638205578854</v>
      </c>
      <c r="AJ20" s="41">
        <f t="shared" si="11"/>
        <v>0.40838774816900747</v>
      </c>
    </row>
    <row r="21" spans="2:36" ht="15.95" customHeight="1">
      <c r="B21" t="s">
        <v>20</v>
      </c>
      <c r="F21"/>
      <c r="G21" s="1" t="s">
        <v>57</v>
      </c>
      <c r="H21" s="39">
        <f>ROUND(H20,1-INT(LOG(ABS(H20))+1))</f>
        <v>4</v>
      </c>
      <c r="I21" s="39">
        <f>ROUND(I20,1-INT(LOG(ABS(I20))+1))</f>
        <v>200</v>
      </c>
      <c r="J21" s="39">
        <f>ROUND(J20,1-INT(LOG(ABS(J20))+1))</f>
        <v>0.5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0.4</v>
      </c>
      <c r="X21" s="40"/>
      <c r="Y21" s="40">
        <f t="shared" si="2"/>
        <v>0.33303825306268658</v>
      </c>
      <c r="Z21" s="41">
        <f t="shared" si="3"/>
        <v>-0.70645626188081811</v>
      </c>
      <c r="AA21" s="39">
        <f t="shared" si="4"/>
        <v>4</v>
      </c>
      <c r="AB21" s="39">
        <f t="shared" si="5"/>
        <v>0.47580645161290314</v>
      </c>
      <c r="AC21" s="40"/>
      <c r="AD21" s="40">
        <f t="shared" si="6"/>
        <v>0.27610173984013792</v>
      </c>
      <c r="AE21" s="41">
        <f t="shared" si="7"/>
        <v>-0.74930355247665781</v>
      </c>
      <c r="AF21" s="39">
        <f t="shared" si="8"/>
        <v>3</v>
      </c>
      <c r="AG21" s="39">
        <f t="shared" si="9"/>
        <v>0.29903236980379339</v>
      </c>
      <c r="AH21" s="39"/>
      <c r="AI21" s="40">
        <f t="shared" si="10"/>
        <v>0.64085638205578854</v>
      </c>
      <c r="AJ21" s="41">
        <f t="shared" si="11"/>
        <v>0.40838774816900747</v>
      </c>
    </row>
    <row r="22" spans="2:36" ht="15.95" customHeight="1">
      <c r="B22" t="s">
        <v>21</v>
      </c>
      <c r="F22"/>
      <c r="G22" s="1" t="s">
        <v>58</v>
      </c>
      <c r="H22" s="39">
        <f>H21*(INT(H16/H21)+1)</f>
        <v>4</v>
      </c>
      <c r="I22" s="39">
        <f>I21*(INT(I16/I21)+1)</f>
        <v>200</v>
      </c>
      <c r="J22" s="39">
        <f>J21*(INT(J16/J21)+1)</f>
        <v>1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0.4</v>
      </c>
      <c r="X22" s="40">
        <f>H$22+V22*H$21</f>
        <v>20</v>
      </c>
      <c r="Y22" s="40">
        <f t="shared" si="2"/>
        <v>0.42700751514127738</v>
      </c>
      <c r="Z22" s="41">
        <f t="shared" si="3"/>
        <v>-0.7235572690471016</v>
      </c>
      <c r="AA22" s="39">
        <f t="shared" si="4"/>
        <v>4</v>
      </c>
      <c r="AB22" s="39">
        <f t="shared" si="5"/>
        <v>0.47580645161290314</v>
      </c>
      <c r="AC22" s="40">
        <f>I$22+AA22*I$21</f>
        <v>1000</v>
      </c>
      <c r="AD22" s="40">
        <f t="shared" si="6"/>
        <v>0.24189972550757108</v>
      </c>
      <c r="AE22" s="41">
        <f t="shared" si="7"/>
        <v>-0.79628818351595321</v>
      </c>
      <c r="AF22" s="39">
        <f t="shared" si="8"/>
        <v>3</v>
      </c>
      <c r="AG22" s="39">
        <f t="shared" si="9"/>
        <v>0.29903236980379339</v>
      </c>
      <c r="AH22" s="39">
        <f>J$22+AF22*J$21</f>
        <v>2.5</v>
      </c>
      <c r="AI22" s="40">
        <f t="shared" si="10"/>
        <v>0.73482564413437945</v>
      </c>
      <c r="AJ22" s="41">
        <f t="shared" si="11"/>
        <v>0.39128674100272404</v>
      </c>
    </row>
    <row r="23" spans="2:36" ht="15.95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4</v>
      </c>
      <c r="J23" s="39">
        <f>INT((J17+J16-J22)/J21)</f>
        <v>3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0.4</v>
      </c>
      <c r="X23" s="40"/>
      <c r="Y23" s="40">
        <f t="shared" si="2"/>
        <v>0.33303825306268658</v>
      </c>
      <c r="Z23" s="41">
        <f t="shared" si="3"/>
        <v>-0.70645626188081811</v>
      </c>
      <c r="AA23" s="39">
        <f t="shared" si="4"/>
        <v>4</v>
      </c>
      <c r="AB23" s="39">
        <f t="shared" si="5"/>
        <v>0.47580645161290314</v>
      </c>
      <c r="AC23" s="40"/>
      <c r="AD23" s="40">
        <f t="shared" si="6"/>
        <v>0.27610173984013792</v>
      </c>
      <c r="AE23" s="41">
        <f t="shared" si="7"/>
        <v>-0.74930355247665781</v>
      </c>
      <c r="AF23" s="39">
        <f t="shared" si="8"/>
        <v>3</v>
      </c>
      <c r="AG23" s="39">
        <f t="shared" si="9"/>
        <v>0.29903236980379339</v>
      </c>
      <c r="AH23" s="39"/>
      <c r="AI23" s="40">
        <f t="shared" si="10"/>
        <v>0.64085638205578854</v>
      </c>
      <c r="AJ23" s="41">
        <f t="shared" si="11"/>
        <v>0.40838774816900747</v>
      </c>
    </row>
    <row r="24" spans="2:36" ht="15.95" customHeight="1">
      <c r="F24"/>
      <c r="G24" s="1" t="s">
        <v>60</v>
      </c>
      <c r="H24" s="39">
        <f>(H22-H16)/H17-0.5</f>
        <v>-0.4</v>
      </c>
      <c r="I24" s="39">
        <f>(I22-I16)/I17-0.5</f>
        <v>-0.33064516129032262</v>
      </c>
      <c r="J24" s="39">
        <f>(J22-J16)/J17-0.5</f>
        <v>-0.36118064132211619</v>
      </c>
      <c r="K24" s="57">
        <v>-0.5</v>
      </c>
      <c r="L24" s="58">
        <v>-0.5</v>
      </c>
      <c r="M24" s="54">
        <f>(H$27*$H$13+K24*$I$13+L24*$J$13+$D$27)*$C$27</f>
        <v>-0.29883623873011983</v>
      </c>
      <c r="N24" s="51">
        <f>(H$27*$H$14+K24*$I$14+L24*$J$14+$E$27)*$C$27</f>
        <v>-0.11258451086432519</v>
      </c>
      <c r="O24" s="54">
        <f>(K24*$H$13+I$27*$I$13+L24*$J$13+$D$27)*$C$27</f>
        <v>-0.29883623873011983</v>
      </c>
      <c r="P24" s="51">
        <f>(K24*$H$14+I$27*$I$14+L24*$J$14+$E$27)*$C$27</f>
        <v>-0.11258451086432519</v>
      </c>
      <c r="Q24" s="54">
        <f>(K24*$H$13+L24*$I$13+J$27*$J$13+$D$27)*$C$27</f>
        <v>-0.29883623873011983</v>
      </c>
      <c r="R24" s="51">
        <f>(K24*$H$14+L24*$I$14+J$27*$J$14+$E$27)*$C$27</f>
        <v>-0.11258451086432519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0.4</v>
      </c>
      <c r="X24" s="40"/>
      <c r="Y24" s="40">
        <f t="shared" si="2"/>
        <v>0.33303825306268658</v>
      </c>
      <c r="Z24" s="41">
        <f t="shared" si="3"/>
        <v>-0.70645626188081811</v>
      </c>
      <c r="AA24" s="39">
        <f t="shared" si="4"/>
        <v>4</v>
      </c>
      <c r="AB24" s="39">
        <f t="shared" si="5"/>
        <v>0.47580645161290314</v>
      </c>
      <c r="AC24" s="40"/>
      <c r="AD24" s="40">
        <f t="shared" si="6"/>
        <v>0.27610173984013792</v>
      </c>
      <c r="AE24" s="41">
        <f t="shared" si="7"/>
        <v>-0.74930355247665781</v>
      </c>
      <c r="AF24" s="39">
        <f t="shared" si="8"/>
        <v>3</v>
      </c>
      <c r="AG24" s="39">
        <f t="shared" si="9"/>
        <v>0.29903236980379339</v>
      </c>
      <c r="AH24" s="39"/>
      <c r="AI24" s="40">
        <f t="shared" si="10"/>
        <v>0.64085638205578854</v>
      </c>
      <c r="AJ24" s="41">
        <f t="shared" si="11"/>
        <v>0.40838774816900747</v>
      </c>
    </row>
    <row r="25" spans="2:36" ht="15.95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0.2</v>
      </c>
      <c r="I25" s="39">
        <f>I21/I17</f>
        <v>0.20161290322580644</v>
      </c>
      <c r="J25" s="39">
        <f>J21/J17</f>
        <v>0.22007100370863653</v>
      </c>
      <c r="K25" s="57">
        <v>0.5</v>
      </c>
      <c r="L25" s="58">
        <v>-0.5</v>
      </c>
      <c r="M25" s="54">
        <f>(H$27*$H$13+K25*$I$13+L25*$J$13+$D$27)*$C$27</f>
        <v>0.64085638205578843</v>
      </c>
      <c r="N25" s="51">
        <f>(H$27*$H$14+K25*$I$14+L25*$J$14+$E$27)*$C$27</f>
        <v>-0.28359458252715963</v>
      </c>
      <c r="O25" s="54">
        <f>(K25*$H$13+I$27*$I$13+L25*$J$13+$D$27)*$C$27</f>
        <v>-0.64085638205578865</v>
      </c>
      <c r="P25" s="51">
        <f>(K25*$H$14+I$27*$I$14+L25*$J$14+$E$27)*$C$27</f>
        <v>-0.58243082125727907</v>
      </c>
      <c r="Q25" s="54">
        <f>(K25*$H$13+L25*$I$13+J$27*$J$13+$D$27)*$C$27</f>
        <v>-0.64085638205578865</v>
      </c>
      <c r="R25" s="51">
        <f>(K25*$H$14+L25*$I$14+J$27*$J$14+$E$27)*$C$27</f>
        <v>-0.58243082125727907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0.4</v>
      </c>
      <c r="X25" s="40">
        <f>H$22+V25*H$21</f>
        <v>20</v>
      </c>
      <c r="Y25" s="40">
        <f t="shared" si="2"/>
        <v>0.42700751514127738</v>
      </c>
      <c r="Z25" s="41">
        <f t="shared" si="3"/>
        <v>-0.7235572690471016</v>
      </c>
      <c r="AA25" s="39">
        <f t="shared" si="4"/>
        <v>4</v>
      </c>
      <c r="AB25" s="39">
        <f t="shared" si="5"/>
        <v>0.47580645161290314</v>
      </c>
      <c r="AC25" s="40">
        <f>I$22+AA25*I$21</f>
        <v>1000</v>
      </c>
      <c r="AD25" s="40">
        <f t="shared" si="6"/>
        <v>0.24189972550757108</v>
      </c>
      <c r="AE25" s="41">
        <f t="shared" si="7"/>
        <v>-0.79628818351595321</v>
      </c>
      <c r="AF25" s="39">
        <f t="shared" si="8"/>
        <v>3</v>
      </c>
      <c r="AG25" s="39">
        <f t="shared" si="9"/>
        <v>0.29903236980379339</v>
      </c>
      <c r="AH25" s="39">
        <f>J$22+AF25*J$21</f>
        <v>2.5</v>
      </c>
      <c r="AI25" s="40">
        <f t="shared" si="10"/>
        <v>0.73482564413437945</v>
      </c>
      <c r="AJ25" s="41">
        <f t="shared" si="11"/>
        <v>0.39128674100272404</v>
      </c>
    </row>
    <row r="26" spans="2:36" ht="15.95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0.64085638205578865</v>
      </c>
      <c r="N26" s="51">
        <f>(H$27*$H$14+K26*$I$14+L26*$J$14+$E$27)*$C$27</f>
        <v>0.58243082125727907</v>
      </c>
      <c r="O26" s="54">
        <f>(K26*$H$13+I$27*$I$13+L26*$J$13+$D$27)*$C$27</f>
        <v>-0.64085638205578843</v>
      </c>
      <c r="P26" s="51">
        <f>(K26*$H$14+I$27*$I$14+L26*$J$14+$E$27)*$C$27</f>
        <v>0.28359458252715963</v>
      </c>
      <c r="Q26" s="54">
        <f>(K26*$H$13+L26*$I$13+J$27*$J$13+$D$27)*$C$27</f>
        <v>0.29883623873011972</v>
      </c>
      <c r="R26" s="51">
        <f>(K26*$H$14+L26*$I$14+J$27*$J$14+$E$27)*$C$27</f>
        <v>-0.75344089292011351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0.4</v>
      </c>
      <c r="X26" s="40"/>
      <c r="Y26" s="40">
        <f t="shared" si="2"/>
        <v>0.33303825306268658</v>
      </c>
      <c r="Z26" s="41">
        <f t="shared" si="3"/>
        <v>-0.70645626188081811</v>
      </c>
      <c r="AA26" s="39">
        <f t="shared" si="4"/>
        <v>4</v>
      </c>
      <c r="AB26" s="39">
        <f t="shared" si="5"/>
        <v>0.47580645161290314</v>
      </c>
      <c r="AC26" s="40"/>
      <c r="AD26" s="40">
        <f t="shared" si="6"/>
        <v>0.27610173984013792</v>
      </c>
      <c r="AE26" s="41">
        <f t="shared" si="7"/>
        <v>-0.74930355247665781</v>
      </c>
      <c r="AF26" s="39">
        <f t="shared" si="8"/>
        <v>3</v>
      </c>
      <c r="AG26" s="39">
        <f t="shared" si="9"/>
        <v>0.29903236980379339</v>
      </c>
      <c r="AH26" s="39"/>
      <c r="AI26" s="40">
        <f t="shared" si="10"/>
        <v>0.64085638205578854</v>
      </c>
      <c r="AJ26" s="41">
        <f t="shared" si="11"/>
        <v>0.40838774816900747</v>
      </c>
    </row>
    <row r="27" spans="2:36" ht="15.95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-0.29883623873011972</v>
      </c>
      <c r="N27" s="51">
        <f>(H$27*$H$14+K27*$I$14+L27*$J$14+$E$27)*$C$27</f>
        <v>0.75344089292011351</v>
      </c>
      <c r="O27" s="54">
        <f>(K27*$H$13+I$27*$I$13+L27*$J$13+$D$27)*$C$27</f>
        <v>-0.29883623873011972</v>
      </c>
      <c r="P27" s="51">
        <f>(K27*$H$14+I$27*$I$14+L27*$J$14+$E$27)*$C$27</f>
        <v>0.75344089292011351</v>
      </c>
      <c r="Q27" s="54">
        <f>(K27*$H$13+L27*$I$13+J$27*$J$13+$D$27)*$C$27</f>
        <v>0.64085638205578843</v>
      </c>
      <c r="R27" s="51">
        <f>(K27*$H$14+L27*$I$14+J$27*$J$14+$E$27)*$C$27</f>
        <v>-0.28359458252715963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0.4</v>
      </c>
      <c r="X27" s="40"/>
      <c r="Y27" s="40">
        <f t="shared" si="2"/>
        <v>0.33303825306268658</v>
      </c>
      <c r="Z27" s="41">
        <f t="shared" si="3"/>
        <v>-0.70645626188081811</v>
      </c>
      <c r="AA27" s="39">
        <f t="shared" si="4"/>
        <v>4</v>
      </c>
      <c r="AB27" s="39">
        <f t="shared" si="5"/>
        <v>0.47580645161290314</v>
      </c>
      <c r="AC27" s="40"/>
      <c r="AD27" s="40">
        <f t="shared" si="6"/>
        <v>0.27610173984013792</v>
      </c>
      <c r="AE27" s="41">
        <f t="shared" si="7"/>
        <v>-0.74930355247665781</v>
      </c>
      <c r="AF27" s="39">
        <f t="shared" si="8"/>
        <v>3</v>
      </c>
      <c r="AG27" s="39">
        <f t="shared" si="9"/>
        <v>0.29903236980379339</v>
      </c>
      <c r="AH27" s="39"/>
      <c r="AI27" s="40">
        <f t="shared" si="10"/>
        <v>0.64085638205578854</v>
      </c>
      <c r="AJ27" s="41">
        <f t="shared" si="11"/>
        <v>0.40838774816900747</v>
      </c>
    </row>
    <row r="28" spans="2:36" ht="15.95" customHeight="1">
      <c r="K28" s="59">
        <v>-0.5</v>
      </c>
      <c r="L28" s="60">
        <v>-0.5</v>
      </c>
      <c r="M28" s="54">
        <f>(H$27*$H$13+K28*$I$13+L28*$J$13+$D$27)*$C$27</f>
        <v>-0.29883623873011983</v>
      </c>
      <c r="N28" s="51">
        <f>(H$27*$H$14+K28*$I$14+L28*$J$14+$E$27)*$C$27</f>
        <v>-0.11258451086432519</v>
      </c>
      <c r="O28" s="54">
        <f>(K28*$H$13+I$27*$I$13+L28*$J$13+$D$27)*$C$27</f>
        <v>-0.29883623873011983</v>
      </c>
      <c r="P28" s="51">
        <f>(K28*$H$14+I$27*$I$14+L28*$J$14+$E$27)*$C$27</f>
        <v>-0.11258451086432519</v>
      </c>
      <c r="Q28" s="54">
        <f>(K28*$H$13+L28*$I$13+J$27*$J$13+$D$27)*$C$27</f>
        <v>-0.29883623873011983</v>
      </c>
      <c r="R28" s="51">
        <f>(K28*$H$14+L28*$I$14+J$27*$J$14+$E$27)*$C$27</f>
        <v>-0.11258451086432519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0.4</v>
      </c>
      <c r="X28" s="40">
        <f>H$22+V28*H$21</f>
        <v>20</v>
      </c>
      <c r="Y28" s="40">
        <f t="shared" si="2"/>
        <v>0.42700751514127738</v>
      </c>
      <c r="Z28" s="41">
        <f t="shared" si="3"/>
        <v>-0.7235572690471016</v>
      </c>
      <c r="AA28" s="39">
        <f t="shared" si="4"/>
        <v>4</v>
      </c>
      <c r="AB28" s="39">
        <f t="shared" si="5"/>
        <v>0.47580645161290314</v>
      </c>
      <c r="AC28" s="40">
        <f>I$22+AA28*I$21</f>
        <v>1000</v>
      </c>
      <c r="AD28" s="40">
        <f t="shared" si="6"/>
        <v>0.24189972550757108</v>
      </c>
      <c r="AE28" s="41">
        <f t="shared" si="7"/>
        <v>-0.79628818351595321</v>
      </c>
      <c r="AF28" s="39">
        <f t="shared" si="8"/>
        <v>3</v>
      </c>
      <c r="AG28" s="39">
        <f t="shared" si="9"/>
        <v>0.29903236980379339</v>
      </c>
      <c r="AH28" s="39">
        <f>J$22+AF28*J$21</f>
        <v>2.5</v>
      </c>
      <c r="AI28" s="40">
        <f t="shared" si="10"/>
        <v>0.73482564413437945</v>
      </c>
      <c r="AJ28" s="41">
        <f t="shared" si="11"/>
        <v>0.39128674100272404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0.4</v>
      </c>
      <c r="X29" s="42"/>
      <c r="Y29" s="42">
        <f t="shared" si="2"/>
        <v>0.33303825306268658</v>
      </c>
      <c r="Z29" s="43">
        <f t="shared" si="3"/>
        <v>-0.70645626188081811</v>
      </c>
      <c r="AA29" s="42">
        <f t="shared" si="4"/>
        <v>4</v>
      </c>
      <c r="AB29" s="42">
        <f t="shared" si="5"/>
        <v>0.47580645161290314</v>
      </c>
      <c r="AC29" s="42"/>
      <c r="AD29" s="42">
        <f t="shared" si="6"/>
        <v>0.27610173984013792</v>
      </c>
      <c r="AE29" s="43">
        <f t="shared" si="7"/>
        <v>-0.74930355247665781</v>
      </c>
      <c r="AF29" s="42">
        <f t="shared" si="8"/>
        <v>3</v>
      </c>
      <c r="AG29" s="42">
        <f t="shared" si="9"/>
        <v>0.29903236980379339</v>
      </c>
      <c r="AH29" s="42"/>
      <c r="AI29" s="42">
        <f t="shared" si="10"/>
        <v>0.64085638205578854</v>
      </c>
      <c r="AJ29" s="43">
        <f t="shared" si="11"/>
        <v>0.40838774816900747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86</v>
      </c>
      <c r="D32" s="56" t="s">
        <v>87</v>
      </c>
      <c r="E32" s="56" t="s">
        <v>85</v>
      </c>
      <c r="F32" s="55" t="s">
        <v>23</v>
      </c>
      <c r="G32" s="10" t="s">
        <v>0</v>
      </c>
      <c r="H32" s="33" t="s">
        <v>82</v>
      </c>
      <c r="I32" s="33" t="s">
        <v>83</v>
      </c>
      <c r="J32" s="33" t="s">
        <v>84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79"/>
      <c r="C33">
        <v>2</v>
      </c>
      <c r="D33">
        <v>32</v>
      </c>
      <c r="E33">
        <v>0.99009775</v>
      </c>
      <c r="F33" s="78"/>
      <c r="G33" s="76">
        <f t="shared" ref="G33:G39" si="14">D$19*(L33-R33)</f>
        <v>0.11644660932926104</v>
      </c>
      <c r="H33" s="76">
        <f t="shared" ref="H33:J39" si="15">(C33-H$16)/H$17-0.5</f>
        <v>-0.5</v>
      </c>
      <c r="I33" s="75">
        <f t="shared" si="15"/>
        <v>-0.5</v>
      </c>
      <c r="J33" s="75">
        <f t="shared" si="15"/>
        <v>-0.36553903751506389</v>
      </c>
      <c r="K33" s="76">
        <f t="shared" ref="K33:K39" si="16">(H33*$H$13+I33*$I$13+J33*$J$13+$D$27)*$C$27</f>
        <v>-0.29883623873011983</v>
      </c>
      <c r="L33" s="77">
        <f t="shared" ref="L33:L39" si="17">(H33*$H$14+I33*$I$14+J33*$J$14+$E$27)*$C$27</f>
        <v>3.8620984649358481E-3</v>
      </c>
      <c r="M33" s="76">
        <f t="shared" ref="M33:M39" si="18">(H$27*$H$13+I33*$I$13+J33*$J$13+$D$27)*$C$27</f>
        <v>-0.29883623873011983</v>
      </c>
      <c r="N33" s="77">
        <f t="shared" ref="N33:N39" si="19">(H$27*$H$14+I33*$I$14+J33*$J$14+$E$27)*$C$27</f>
        <v>3.8620984649358481E-3</v>
      </c>
      <c r="O33" s="76">
        <f t="shared" ref="O33:O39" si="20">(H33*$H$13+I$27*$I$13+J33*$J$13+$D$27)*$C$27</f>
        <v>-0.29883623873011983</v>
      </c>
      <c r="P33" s="77">
        <f t="shared" ref="P33:P39" si="21">(H33*$H$14+I$27*$I$14+J33*$J$14+$E$27)*$C$27</f>
        <v>3.8620984649358481E-3</v>
      </c>
      <c r="Q33" s="76">
        <f t="shared" ref="Q33:Q39" si="22">(H33*$H$13+I33*$I$13+J$27*$J$13+$D$27)*$C$27</f>
        <v>-0.29883623873011983</v>
      </c>
      <c r="R33" s="77">
        <f t="shared" ref="R33:R39" si="23">(H33*$H$14+I33*$I$14+J$27*$J$14+$E$27)*$C$27</f>
        <v>-0.11258451086432519</v>
      </c>
      <c r="AI33" s="5"/>
    </row>
    <row r="34" spans="2:35">
      <c r="B34" s="79"/>
      <c r="C34">
        <v>2</v>
      </c>
      <c r="D34">
        <v>64</v>
      </c>
      <c r="E34">
        <v>0.73025925000000003</v>
      </c>
      <c r="F34" s="78"/>
      <c r="G34" s="76">
        <f t="shared" si="14"/>
        <v>1.7402887435082282E-2</v>
      </c>
      <c r="H34" s="76">
        <f t="shared" si="15"/>
        <v>-0.5</v>
      </c>
      <c r="I34" s="75">
        <f t="shared" si="15"/>
        <v>-0.467741935483871</v>
      </c>
      <c r="J34" s="75">
        <f t="shared" si="15"/>
        <v>-0.47990487650935698</v>
      </c>
      <c r="K34" s="76">
        <f t="shared" si="16"/>
        <v>-0.26852357354347761</v>
      </c>
      <c r="L34" s="77">
        <f t="shared" si="17"/>
        <v>-0.1006980773538505</v>
      </c>
      <c r="M34" s="76">
        <f t="shared" si="18"/>
        <v>-0.26852357354347761</v>
      </c>
      <c r="N34" s="77">
        <f t="shared" si="19"/>
        <v>-0.1006980773538505</v>
      </c>
      <c r="O34" s="76">
        <f t="shared" si="20"/>
        <v>-0.29883623873011983</v>
      </c>
      <c r="P34" s="77">
        <f t="shared" si="21"/>
        <v>-9.5181623429242912E-2</v>
      </c>
      <c r="Q34" s="76">
        <f t="shared" si="22"/>
        <v>-0.26852357354347761</v>
      </c>
      <c r="R34" s="77">
        <f t="shared" si="23"/>
        <v>-0.11810096478893278</v>
      </c>
    </row>
    <row r="35" spans="2:35">
      <c r="B35" s="79"/>
      <c r="C35">
        <v>2</v>
      </c>
      <c r="D35">
        <v>96</v>
      </c>
      <c r="E35">
        <v>0.68601199999999996</v>
      </c>
      <c r="F35" s="78"/>
      <c r="G35" s="75">
        <f t="shared" si="14"/>
        <v>5.3697909747180139E-4</v>
      </c>
      <c r="H35" s="76">
        <f t="shared" si="15"/>
        <v>-0.5</v>
      </c>
      <c r="I35" s="75">
        <f t="shared" si="15"/>
        <v>-0.43548387096774194</v>
      </c>
      <c r="J35" s="75">
        <f t="shared" si="15"/>
        <v>-0.49937994994705093</v>
      </c>
      <c r="K35" s="76">
        <f t="shared" si="16"/>
        <v>-0.23821090835683542</v>
      </c>
      <c r="L35" s="77">
        <f t="shared" si="17"/>
        <v>-0.12308043961606852</v>
      </c>
      <c r="M35" s="76">
        <f t="shared" si="18"/>
        <v>-0.23821090835683542</v>
      </c>
      <c r="N35" s="77">
        <f t="shared" si="19"/>
        <v>-0.12308043961606852</v>
      </c>
      <c r="O35" s="76">
        <f t="shared" si="20"/>
        <v>-0.29883623873011983</v>
      </c>
      <c r="P35" s="77">
        <f t="shared" si="21"/>
        <v>-0.11204753176685339</v>
      </c>
      <c r="Q35" s="76">
        <f t="shared" si="22"/>
        <v>-0.23821090835683542</v>
      </c>
      <c r="R35" s="77">
        <f t="shared" si="23"/>
        <v>-0.12361741871354032</v>
      </c>
    </row>
    <row r="36" spans="2:35">
      <c r="B36" s="79"/>
      <c r="C36">
        <v>2</v>
      </c>
      <c r="D36">
        <v>128</v>
      </c>
      <c r="E36">
        <v>0.70031924999999995</v>
      </c>
      <c r="F36" s="78"/>
      <c r="G36" s="75">
        <f t="shared" si="14"/>
        <v>5.9905330937828905E-3</v>
      </c>
      <c r="H36" s="76">
        <f t="shared" si="15"/>
        <v>-0.5</v>
      </c>
      <c r="I36" s="75">
        <f t="shared" si="15"/>
        <v>-0.40322580645161288</v>
      </c>
      <c r="J36" s="75">
        <f t="shared" si="15"/>
        <v>-0.49308272821143018</v>
      </c>
      <c r="K36" s="76">
        <f t="shared" si="16"/>
        <v>-0.20789824317019315</v>
      </c>
      <c r="L36" s="77">
        <f t="shared" si="17"/>
        <v>-0.12314333954436502</v>
      </c>
      <c r="M36" s="76">
        <f t="shared" si="18"/>
        <v>-0.20789824317019315</v>
      </c>
      <c r="N36" s="77">
        <f t="shared" si="19"/>
        <v>-0.12314333954436502</v>
      </c>
      <c r="O36" s="76">
        <f t="shared" si="20"/>
        <v>-0.29883623873011983</v>
      </c>
      <c r="P36" s="77">
        <f t="shared" si="21"/>
        <v>-0.1065939777705423</v>
      </c>
      <c r="Q36" s="76">
        <f t="shared" si="22"/>
        <v>-0.20789824317019315</v>
      </c>
      <c r="R36" s="77">
        <f t="shared" si="23"/>
        <v>-0.12913387263814791</v>
      </c>
    </row>
    <row r="37" spans="2:35">
      <c r="B37" s="79"/>
      <c r="C37">
        <v>2</v>
      </c>
      <c r="D37">
        <v>160</v>
      </c>
      <c r="E37">
        <v>0.7354965</v>
      </c>
      <c r="F37" s="78"/>
      <c r="G37" s="75">
        <f t="shared" si="14"/>
        <v>1.9399191802950355E-2</v>
      </c>
      <c r="H37" s="76">
        <f t="shared" si="15"/>
        <v>-0.5</v>
      </c>
      <c r="I37" s="75">
        <f t="shared" si="15"/>
        <v>-0.37096774193548387</v>
      </c>
      <c r="J37" s="75">
        <f t="shared" si="15"/>
        <v>-0.47759974278101086</v>
      </c>
      <c r="K37" s="76">
        <f t="shared" si="16"/>
        <v>-0.17758557798355099</v>
      </c>
      <c r="L37" s="77">
        <f t="shared" si="17"/>
        <v>-0.11525113475980509</v>
      </c>
      <c r="M37" s="76">
        <f t="shared" si="18"/>
        <v>-0.17758557798355099</v>
      </c>
      <c r="N37" s="77">
        <f t="shared" si="19"/>
        <v>-0.11525113475980509</v>
      </c>
      <c r="O37" s="76">
        <f t="shared" si="20"/>
        <v>-0.29883623873011983</v>
      </c>
      <c r="P37" s="77">
        <f t="shared" si="21"/>
        <v>-9.3185319061374838E-2</v>
      </c>
      <c r="Q37" s="76">
        <f t="shared" si="22"/>
        <v>-0.17758557798355099</v>
      </c>
      <c r="R37" s="77">
        <f t="shared" si="23"/>
        <v>-0.13465032656275544</v>
      </c>
    </row>
    <row r="38" spans="2:35">
      <c r="B38" s="79"/>
      <c r="C38">
        <v>2</v>
      </c>
      <c r="D38">
        <v>192</v>
      </c>
      <c r="E38">
        <v>0.77313799999999999</v>
      </c>
      <c r="F38" s="78"/>
      <c r="G38" s="75">
        <f t="shared" si="14"/>
        <v>3.3747158935148736E-2</v>
      </c>
      <c r="H38" s="76">
        <f t="shared" si="15"/>
        <v>-0.5</v>
      </c>
      <c r="I38" s="75">
        <f t="shared" si="15"/>
        <v>-0.33870967741935487</v>
      </c>
      <c r="J38" s="75">
        <f t="shared" si="15"/>
        <v>-0.4610321374088136</v>
      </c>
      <c r="K38" s="76">
        <f t="shared" si="16"/>
        <v>-0.14727291279690882</v>
      </c>
      <c r="L38" s="77">
        <f t="shared" si="17"/>
        <v>-0.10641962155221429</v>
      </c>
      <c r="M38" s="76">
        <f t="shared" si="18"/>
        <v>-0.14727291279690882</v>
      </c>
      <c r="N38" s="77">
        <f t="shared" si="19"/>
        <v>-0.10641962155221429</v>
      </c>
      <c r="O38" s="76">
        <f t="shared" si="20"/>
        <v>-0.29883623873011983</v>
      </c>
      <c r="P38" s="77">
        <f t="shared" si="21"/>
        <v>-7.8837351929176458E-2</v>
      </c>
      <c r="Q38" s="76">
        <f t="shared" si="22"/>
        <v>-0.14727291279690882</v>
      </c>
      <c r="R38" s="77">
        <f t="shared" si="23"/>
        <v>-0.14016678048736303</v>
      </c>
    </row>
    <row r="39" spans="2:35">
      <c r="B39" s="79"/>
      <c r="C39">
        <v>2</v>
      </c>
      <c r="D39">
        <v>224</v>
      </c>
      <c r="E39">
        <v>0.83416049999999997</v>
      </c>
      <c r="F39" s="78"/>
      <c r="G39" s="75">
        <f t="shared" si="14"/>
        <v>5.7007359095200161E-2</v>
      </c>
      <c r="H39" s="75">
        <f t="shared" si="15"/>
        <v>-0.5</v>
      </c>
      <c r="I39" s="75">
        <f t="shared" si="15"/>
        <v>-0.30645161290322581</v>
      </c>
      <c r="J39" s="75">
        <f t="shared" si="15"/>
        <v>-0.43417357176119303</v>
      </c>
      <c r="K39" s="75">
        <f t="shared" si="16"/>
        <v>-0.1169602476102666</v>
      </c>
      <c r="L39" s="75">
        <f t="shared" si="17"/>
        <v>-8.8675875316770403E-2</v>
      </c>
      <c r="M39" s="75">
        <f t="shared" si="18"/>
        <v>-0.1169602476102666</v>
      </c>
      <c r="N39" s="75">
        <f t="shared" si="19"/>
        <v>-8.8675875316770403E-2</v>
      </c>
      <c r="O39" s="75">
        <f t="shared" si="20"/>
        <v>-0.29883623873011983</v>
      </c>
      <c r="P39" s="75">
        <f t="shared" si="21"/>
        <v>-5.5577151769125033E-2</v>
      </c>
      <c r="Q39" s="75">
        <f t="shared" si="22"/>
        <v>-0.1169602476102666</v>
      </c>
      <c r="R39" s="75">
        <f t="shared" si="23"/>
        <v>-0.14568323441197056</v>
      </c>
    </row>
    <row r="40" spans="2:35">
      <c r="B40" s="81"/>
      <c r="C40">
        <v>2</v>
      </c>
      <c r="D40">
        <v>256</v>
      </c>
      <c r="E40">
        <v>0.92494500000000002</v>
      </c>
      <c r="F40" s="78"/>
      <c r="G40" s="75">
        <f t="shared" ref="G40:G71" si="24">D$19*(L40-R40)</f>
        <v>9.1612064596125031E-2</v>
      </c>
      <c r="H40" s="76">
        <f t="shared" ref="H40:H71" si="25">(C40-H$16)/H$17-0.5</f>
        <v>-0.5</v>
      </c>
      <c r="I40" s="75">
        <f t="shared" ref="I40:I71" si="26">(D40-I$16)/I$17-0.5</f>
        <v>-0.27419354838709675</v>
      </c>
      <c r="J40" s="75">
        <f t="shared" ref="J40:J71" si="27">(E40-J$16)/J$17-0.5</f>
        <v>-0.39421549968881964</v>
      </c>
      <c r="K40" s="76">
        <f t="shared" ref="K40:K71" si="28">(H40*$H$13+I40*$I$13+J40*$J$13+$D$27)*$C$27</f>
        <v>-8.6647582423624317E-2</v>
      </c>
      <c r="L40" s="77">
        <f t="shared" ref="L40:L71" si="29">(H40*$H$14+I40*$I$14+J40*$J$14+$E$27)*$C$27</f>
        <v>-5.9587623740453122E-2</v>
      </c>
      <c r="M40" s="76">
        <f t="shared" ref="M40:M71" si="30">(H$27*$H$13+I40*$I$13+J40*$J$13+$D$27)*$C$27</f>
        <v>-8.6647582423624317E-2</v>
      </c>
      <c r="N40" s="77">
        <f t="shared" ref="N40:N71" si="31">(H$27*$H$14+I40*$I$14+J40*$J$14+$E$27)*$C$27</f>
        <v>-5.9587623740453122E-2</v>
      </c>
      <c r="O40" s="76">
        <f t="shared" ref="O40:O71" si="32">(H40*$H$13+I$27*$I$13+J40*$J$13+$D$27)*$C$27</f>
        <v>-0.29883623873011983</v>
      </c>
      <c r="P40" s="77">
        <f t="shared" ref="P40:P71" si="33">(H40*$H$14+I$27*$I$14+J40*$J$14+$E$27)*$C$27</f>
        <v>-2.0972446268200162E-2</v>
      </c>
      <c r="Q40" s="76">
        <f t="shared" ref="Q40:Q71" si="34">(H40*$H$13+I40*$I$13+J$27*$J$13+$D$27)*$C$27</f>
        <v>-8.6647582423624331E-2</v>
      </c>
      <c r="R40" s="75">
        <f t="shared" ref="R40:R71" si="35">(H40*$H$14+I40*$I$14+J$27*$J$14+$E$27)*$C$27</f>
        <v>-0.15119968833657815</v>
      </c>
    </row>
    <row r="41" spans="2:35">
      <c r="B41" s="81"/>
      <c r="C41">
        <v>2</v>
      </c>
      <c r="D41">
        <v>288</v>
      </c>
      <c r="E41">
        <v>1.01267525</v>
      </c>
      <c r="F41" s="78"/>
      <c r="G41" s="75">
        <f t="shared" si="24"/>
        <v>0.12505256891979838</v>
      </c>
      <c r="H41" s="76">
        <f t="shared" si="25"/>
        <v>-0.5</v>
      </c>
      <c r="I41" s="75">
        <f t="shared" si="26"/>
        <v>-0.24193548387096775</v>
      </c>
      <c r="J41" s="75">
        <f t="shared" si="27"/>
        <v>-0.35560173134260037</v>
      </c>
      <c r="K41" s="76">
        <f t="shared" si="28"/>
        <v>-5.6334917236982154E-2</v>
      </c>
      <c r="L41" s="77">
        <f t="shared" si="29"/>
        <v>-3.1663573341387308E-2</v>
      </c>
      <c r="M41" s="76">
        <f t="shared" si="30"/>
        <v>-5.6334917236982154E-2</v>
      </c>
      <c r="N41" s="77">
        <f t="shared" si="31"/>
        <v>-3.1663573341387308E-2</v>
      </c>
      <c r="O41" s="76">
        <f t="shared" si="32"/>
        <v>-0.29883623873011983</v>
      </c>
      <c r="P41" s="77">
        <f t="shared" si="33"/>
        <v>1.2468058055473186E-2</v>
      </c>
      <c r="Q41" s="76">
        <f t="shared" si="34"/>
        <v>-5.6334917236982175E-2</v>
      </c>
      <c r="R41" s="75">
        <f t="shared" si="35"/>
        <v>-0.15671614226118569</v>
      </c>
    </row>
    <row r="42" spans="2:35">
      <c r="B42" s="81"/>
      <c r="C42">
        <v>2</v>
      </c>
      <c r="D42">
        <v>320</v>
      </c>
      <c r="E42">
        <v>1.0831305</v>
      </c>
      <c r="F42" s="78"/>
      <c r="G42" s="75">
        <f t="shared" si="24"/>
        <v>0.15190828963472258</v>
      </c>
      <c r="H42" s="76">
        <f t="shared" si="25"/>
        <v>-0.5</v>
      </c>
      <c r="I42" s="75">
        <f t="shared" si="26"/>
        <v>-0.20967741935483869</v>
      </c>
      <c r="J42" s="75">
        <f t="shared" si="27"/>
        <v>-0.32459141617451459</v>
      </c>
      <c r="K42" s="76">
        <f t="shared" si="28"/>
        <v>-2.6022252050339933E-2</v>
      </c>
      <c r="L42" s="77">
        <f t="shared" si="29"/>
        <v>-1.0324306551070694E-2</v>
      </c>
      <c r="M42" s="76">
        <f t="shared" si="30"/>
        <v>-2.6022252050339933E-2</v>
      </c>
      <c r="N42" s="77">
        <f t="shared" si="31"/>
        <v>-1.0324306551070694E-2</v>
      </c>
      <c r="O42" s="76">
        <f t="shared" si="32"/>
        <v>-0.29883623873011983</v>
      </c>
      <c r="P42" s="77">
        <f t="shared" si="33"/>
        <v>3.9323778770397388E-2</v>
      </c>
      <c r="Q42" s="76">
        <f t="shared" si="34"/>
        <v>-2.6022252050339957E-2</v>
      </c>
      <c r="R42" s="75">
        <f t="shared" si="35"/>
        <v>-0.16223259618579328</v>
      </c>
    </row>
    <row r="43" spans="2:35">
      <c r="B43" s="81"/>
      <c r="C43">
        <v>2</v>
      </c>
      <c r="D43">
        <v>352</v>
      </c>
      <c r="E43">
        <v>1.1756930000000001</v>
      </c>
      <c r="F43" s="78"/>
      <c r="G43" s="75">
        <f t="shared" si="24"/>
        <v>0.18719072279158708</v>
      </c>
      <c r="H43" s="76">
        <f t="shared" si="25"/>
        <v>-0.5</v>
      </c>
      <c r="I43" s="75">
        <f t="shared" si="26"/>
        <v>-0.17741935483870969</v>
      </c>
      <c r="J43" s="75">
        <f t="shared" si="27"/>
        <v>-0.28385077161295319</v>
      </c>
      <c r="K43" s="76">
        <f t="shared" si="28"/>
        <v>4.290413136302261E-3</v>
      </c>
      <c r="L43" s="77">
        <f t="shared" si="29"/>
        <v>1.9441672681186267E-2</v>
      </c>
      <c r="M43" s="76">
        <f t="shared" si="30"/>
        <v>4.290413136302261E-3</v>
      </c>
      <c r="N43" s="77">
        <f t="shared" si="31"/>
        <v>1.9441672681186267E-2</v>
      </c>
      <c r="O43" s="76">
        <f t="shared" si="32"/>
        <v>-0.29883623873011983</v>
      </c>
      <c r="P43" s="77">
        <f t="shared" si="33"/>
        <v>7.4606211927261884E-2</v>
      </c>
      <c r="Q43" s="76">
        <f t="shared" si="34"/>
        <v>4.2904131363022341E-3</v>
      </c>
      <c r="R43" s="75">
        <f t="shared" si="35"/>
        <v>-0.16774905011040081</v>
      </c>
    </row>
    <row r="44" spans="2:35">
      <c r="B44" s="81"/>
      <c r="C44">
        <v>2</v>
      </c>
      <c r="D44">
        <v>384</v>
      </c>
      <c r="E44">
        <v>1.2742104999999999</v>
      </c>
      <c r="F44" s="78"/>
      <c r="G44" s="75">
        <f t="shared" si="24"/>
        <v>0.22474304806944134</v>
      </c>
      <c r="H44" s="76">
        <f t="shared" si="25"/>
        <v>-0.5</v>
      </c>
      <c r="I44" s="75">
        <f t="shared" si="26"/>
        <v>-0.14516129032258063</v>
      </c>
      <c r="J44" s="75">
        <f t="shared" si="27"/>
        <v>-0.24048908139722208</v>
      </c>
      <c r="K44" s="76">
        <f t="shared" si="28"/>
        <v>3.4603078322944486E-2</v>
      </c>
      <c r="L44" s="77">
        <f t="shared" si="29"/>
        <v>5.1477544034432943E-2</v>
      </c>
      <c r="M44" s="76">
        <f t="shared" si="30"/>
        <v>3.4603078322944486E-2</v>
      </c>
      <c r="N44" s="77">
        <f t="shared" si="31"/>
        <v>5.1477544034432943E-2</v>
      </c>
      <c r="O44" s="76">
        <f t="shared" si="32"/>
        <v>-0.29883623873011983</v>
      </c>
      <c r="P44" s="77">
        <f t="shared" si="33"/>
        <v>0.11215853720511615</v>
      </c>
      <c r="Q44" s="76">
        <f t="shared" si="34"/>
        <v>3.4603078322944451E-2</v>
      </c>
      <c r="R44" s="75">
        <f t="shared" si="35"/>
        <v>-0.1732655040350084</v>
      </c>
    </row>
    <row r="45" spans="2:35">
      <c r="B45" s="81"/>
      <c r="C45">
        <v>2</v>
      </c>
      <c r="D45">
        <v>416</v>
      </c>
      <c r="E45">
        <v>1.3607722499999999</v>
      </c>
      <c r="F45" s="78"/>
      <c r="G45" s="75">
        <f t="shared" si="24"/>
        <v>0.2577381503875098</v>
      </c>
      <c r="H45" s="76">
        <f t="shared" si="25"/>
        <v>-0.5</v>
      </c>
      <c r="I45" s="75">
        <f t="shared" si="26"/>
        <v>-0.11290322580645162</v>
      </c>
      <c r="J45" s="75">
        <f t="shared" si="27"/>
        <v>-0.20238961898666996</v>
      </c>
      <c r="K45" s="76">
        <f t="shared" si="28"/>
        <v>6.4915743509586663E-2</v>
      </c>
      <c r="L45" s="77">
        <f t="shared" si="29"/>
        <v>7.8956192427893868E-2</v>
      </c>
      <c r="M45" s="76">
        <f t="shared" si="30"/>
        <v>6.4915743509586663E-2</v>
      </c>
      <c r="N45" s="77">
        <f t="shared" si="31"/>
        <v>7.8956192427893868E-2</v>
      </c>
      <c r="O45" s="76">
        <f t="shared" si="32"/>
        <v>-0.29883623873011977</v>
      </c>
      <c r="P45" s="77">
        <f t="shared" si="33"/>
        <v>0.14515363952318461</v>
      </c>
      <c r="Q45" s="76">
        <f t="shared" si="34"/>
        <v>6.4915743509586635E-2</v>
      </c>
      <c r="R45" s="75">
        <f t="shared" si="35"/>
        <v>-0.17878195795961593</v>
      </c>
    </row>
    <row r="46" spans="2:35">
      <c r="B46" s="81"/>
      <c r="C46">
        <v>2</v>
      </c>
      <c r="D46">
        <v>448</v>
      </c>
      <c r="E46">
        <v>1.43649425</v>
      </c>
      <c r="F46" s="78"/>
      <c r="G46" s="75">
        <f t="shared" si="24"/>
        <v>0.28660142010801315</v>
      </c>
      <c r="H46" s="76">
        <f t="shared" si="25"/>
        <v>-0.5</v>
      </c>
      <c r="I46" s="75">
        <f t="shared" si="26"/>
        <v>-8.0645161290322565E-2</v>
      </c>
      <c r="J46" s="75">
        <f t="shared" si="27"/>
        <v>-0.16906118590101915</v>
      </c>
      <c r="K46" s="76">
        <f t="shared" si="28"/>
        <v>9.5228408696228908E-2</v>
      </c>
      <c r="L46" s="77">
        <f t="shared" si="29"/>
        <v>0.10230300822378965</v>
      </c>
      <c r="M46" s="76">
        <f t="shared" si="30"/>
        <v>9.5228408696228908E-2</v>
      </c>
      <c r="N46" s="77">
        <f t="shared" si="31"/>
        <v>0.10230300822378965</v>
      </c>
      <c r="O46" s="76">
        <f t="shared" si="32"/>
        <v>-0.29883623873011977</v>
      </c>
      <c r="P46" s="77">
        <f t="shared" si="33"/>
        <v>0.17401690924368798</v>
      </c>
      <c r="Q46" s="76">
        <f t="shared" si="34"/>
        <v>9.5228408696228867E-2</v>
      </c>
      <c r="R46" s="75">
        <f t="shared" si="35"/>
        <v>-0.18429841188422352</v>
      </c>
    </row>
    <row r="47" spans="2:35">
      <c r="B47" s="81"/>
      <c r="C47">
        <v>2</v>
      </c>
      <c r="D47">
        <v>480</v>
      </c>
      <c r="E47">
        <v>1.570346</v>
      </c>
      <c r="F47" s="78"/>
      <c r="G47" s="75">
        <f t="shared" si="24"/>
        <v>0.33762224843810723</v>
      </c>
      <c r="H47" s="76">
        <f t="shared" si="25"/>
        <v>-0.5</v>
      </c>
      <c r="I47" s="75">
        <f t="shared" si="26"/>
        <v>-4.8387096774193561E-2</v>
      </c>
      <c r="J47" s="75">
        <f t="shared" si="27"/>
        <v>-0.11014740795970418</v>
      </c>
      <c r="K47" s="76">
        <f t="shared" si="28"/>
        <v>0.12554107388287108</v>
      </c>
      <c r="L47" s="77">
        <f t="shared" si="29"/>
        <v>0.14780738262927617</v>
      </c>
      <c r="M47" s="76">
        <f t="shared" si="30"/>
        <v>0.12554107388287108</v>
      </c>
      <c r="N47" s="77">
        <f t="shared" si="31"/>
        <v>0.14780738262927617</v>
      </c>
      <c r="O47" s="76">
        <f t="shared" si="32"/>
        <v>-0.29883623873011977</v>
      </c>
      <c r="P47" s="77">
        <f t="shared" si="33"/>
        <v>0.22503773757378204</v>
      </c>
      <c r="Q47" s="76">
        <f t="shared" si="34"/>
        <v>0.12554107388287103</v>
      </c>
      <c r="R47" s="75">
        <f t="shared" si="35"/>
        <v>-0.18981486580883106</v>
      </c>
    </row>
    <row r="48" spans="2:35">
      <c r="B48" s="81"/>
      <c r="C48">
        <v>2</v>
      </c>
      <c r="D48">
        <v>512</v>
      </c>
      <c r="E48">
        <v>1.6315660000000001</v>
      </c>
      <c r="F48" s="78"/>
      <c r="G48" s="75">
        <f t="shared" si="24"/>
        <v>0.3609577304946987</v>
      </c>
      <c r="H48" s="76">
        <f t="shared" si="25"/>
        <v>-0.5</v>
      </c>
      <c r="I48" s="75">
        <f t="shared" si="26"/>
        <v>-1.6129032258064502E-2</v>
      </c>
      <c r="J48" s="75">
        <f t="shared" si="27"/>
        <v>-8.3201914265618682E-2</v>
      </c>
      <c r="K48" s="76">
        <f t="shared" si="28"/>
        <v>0.15585373906951333</v>
      </c>
      <c r="L48" s="77">
        <f t="shared" si="29"/>
        <v>0.16562641076126006</v>
      </c>
      <c r="M48" s="76">
        <f t="shared" si="30"/>
        <v>0.15585373906951333</v>
      </c>
      <c r="N48" s="77">
        <f t="shared" si="31"/>
        <v>0.16562641076126006</v>
      </c>
      <c r="O48" s="76">
        <f t="shared" si="32"/>
        <v>-0.29883623873011977</v>
      </c>
      <c r="P48" s="77">
        <f t="shared" si="33"/>
        <v>0.24837321963037351</v>
      </c>
      <c r="Q48" s="76">
        <f t="shared" si="34"/>
        <v>0.15585373906951328</v>
      </c>
      <c r="R48" s="75">
        <f t="shared" si="35"/>
        <v>-0.19533131973343865</v>
      </c>
    </row>
    <row r="49" spans="2:18">
      <c r="B49" s="81"/>
      <c r="C49">
        <v>2</v>
      </c>
      <c r="D49">
        <v>544</v>
      </c>
      <c r="E49">
        <v>1.65406225</v>
      </c>
      <c r="F49" s="78"/>
      <c r="G49" s="75">
        <f t="shared" si="24"/>
        <v>0.36953271968476065</v>
      </c>
      <c r="H49" s="76">
        <f t="shared" si="25"/>
        <v>-0.5</v>
      </c>
      <c r="I49" s="75">
        <f t="shared" si="26"/>
        <v>1.6129032258064502E-2</v>
      </c>
      <c r="J49" s="75">
        <f t="shared" si="27"/>
        <v>-7.3300369631257911E-2</v>
      </c>
      <c r="K49" s="76">
        <f t="shared" si="28"/>
        <v>0.18616640425615549</v>
      </c>
      <c r="L49" s="77">
        <f t="shared" si="29"/>
        <v>0.16868494602671444</v>
      </c>
      <c r="M49" s="76">
        <f t="shared" si="30"/>
        <v>0.18616640425615549</v>
      </c>
      <c r="N49" s="77">
        <f t="shared" si="31"/>
        <v>0.16868494602671444</v>
      </c>
      <c r="O49" s="76">
        <f t="shared" si="32"/>
        <v>-0.29883623873011977</v>
      </c>
      <c r="P49" s="77">
        <f t="shared" si="33"/>
        <v>0.25694820882043545</v>
      </c>
      <c r="Q49" s="76">
        <f t="shared" si="34"/>
        <v>0.18616640425615544</v>
      </c>
      <c r="R49" s="75">
        <f t="shared" si="35"/>
        <v>-0.20084777365804618</v>
      </c>
    </row>
    <row r="50" spans="2:18">
      <c r="B50" s="81"/>
      <c r="C50">
        <v>2</v>
      </c>
      <c r="D50">
        <v>576</v>
      </c>
      <c r="E50">
        <v>1.6696532500000001</v>
      </c>
      <c r="F50" s="78"/>
      <c r="G50" s="75">
        <f t="shared" si="24"/>
        <v>0.3754756060085816</v>
      </c>
      <c r="H50" s="76">
        <f t="shared" si="25"/>
        <v>-0.5</v>
      </c>
      <c r="I50" s="75">
        <f t="shared" si="26"/>
        <v>4.8387096774193505E-2</v>
      </c>
      <c r="J50" s="75">
        <f t="shared" si="27"/>
        <v>-6.6438115593615121E-2</v>
      </c>
      <c r="K50" s="76">
        <f t="shared" si="28"/>
        <v>0.21647906944279768</v>
      </c>
      <c r="L50" s="77">
        <f t="shared" si="29"/>
        <v>0.16911137842592786</v>
      </c>
      <c r="M50" s="76">
        <f t="shared" si="30"/>
        <v>0.21647906944279768</v>
      </c>
      <c r="N50" s="77">
        <f t="shared" si="31"/>
        <v>0.16911137842592786</v>
      </c>
      <c r="O50" s="76">
        <f t="shared" si="32"/>
        <v>-0.29883623873011977</v>
      </c>
      <c r="P50" s="77">
        <f t="shared" si="33"/>
        <v>0.2628910951442564</v>
      </c>
      <c r="Q50" s="76">
        <f t="shared" si="34"/>
        <v>0.21647906944279763</v>
      </c>
      <c r="R50" s="75">
        <f t="shared" si="35"/>
        <v>-0.20636422758265374</v>
      </c>
    </row>
    <row r="51" spans="2:18">
      <c r="B51" s="81"/>
      <c r="C51">
        <v>2</v>
      </c>
      <c r="D51">
        <v>608</v>
      </c>
      <c r="E51">
        <v>1.68256275</v>
      </c>
      <c r="F51" s="78"/>
      <c r="G51" s="75">
        <f t="shared" si="24"/>
        <v>0.38039637382317754</v>
      </c>
      <c r="H51" s="76">
        <f t="shared" si="25"/>
        <v>-0.5</v>
      </c>
      <c r="I51" s="75">
        <f t="shared" si="26"/>
        <v>8.064516129032262E-2</v>
      </c>
      <c r="J51" s="75">
        <f t="shared" si="27"/>
        <v>-6.0756102348861918E-2</v>
      </c>
      <c r="K51" s="76">
        <f t="shared" si="28"/>
        <v>0.24679173462943996</v>
      </c>
      <c r="L51" s="77">
        <f t="shared" si="29"/>
        <v>0.1685156923159162</v>
      </c>
      <c r="M51" s="76">
        <f t="shared" si="30"/>
        <v>0.24679173462943996</v>
      </c>
      <c r="N51" s="77">
        <f t="shared" si="31"/>
        <v>0.1685156923159162</v>
      </c>
      <c r="O51" s="76">
        <f t="shared" si="32"/>
        <v>-0.29883623873011977</v>
      </c>
      <c r="P51" s="77">
        <f t="shared" si="33"/>
        <v>0.26781186295885234</v>
      </c>
      <c r="Q51" s="76">
        <f t="shared" si="34"/>
        <v>0.2467917346294399</v>
      </c>
      <c r="R51" s="75">
        <f t="shared" si="35"/>
        <v>-0.21188068150726133</v>
      </c>
    </row>
    <row r="52" spans="2:18">
      <c r="B52" s="81"/>
      <c r="C52">
        <v>2</v>
      </c>
      <c r="D52">
        <v>640</v>
      </c>
      <c r="E52">
        <v>1.70161425</v>
      </c>
      <c r="F52" s="78"/>
      <c r="G52" s="75">
        <f t="shared" si="24"/>
        <v>0.38765831332662665</v>
      </c>
      <c r="H52" s="76">
        <f t="shared" si="25"/>
        <v>-0.5</v>
      </c>
      <c r="I52" s="75">
        <f t="shared" si="26"/>
        <v>0.11290322580645162</v>
      </c>
      <c r="J52" s="75">
        <f t="shared" si="27"/>
        <v>-5.2370736894551684E-2</v>
      </c>
      <c r="K52" s="76">
        <f t="shared" si="28"/>
        <v>0.27710439981608215</v>
      </c>
      <c r="L52" s="77">
        <f t="shared" si="29"/>
        <v>0.17026117789475775</v>
      </c>
      <c r="M52" s="76">
        <f t="shared" si="30"/>
        <v>0.27710439981608215</v>
      </c>
      <c r="N52" s="77">
        <f t="shared" si="31"/>
        <v>0.17026117789475775</v>
      </c>
      <c r="O52" s="76">
        <f t="shared" si="32"/>
        <v>-0.29883623873011977</v>
      </c>
      <c r="P52" s="77">
        <f t="shared" si="33"/>
        <v>0.27507380246230145</v>
      </c>
      <c r="Q52" s="76">
        <f t="shared" si="34"/>
        <v>0.27710439981608209</v>
      </c>
      <c r="R52" s="75">
        <f t="shared" si="35"/>
        <v>-0.21739713543186889</v>
      </c>
    </row>
    <row r="53" spans="2:18">
      <c r="B53" s="81"/>
      <c r="C53">
        <v>2</v>
      </c>
      <c r="D53">
        <v>672</v>
      </c>
      <c r="E53">
        <v>1.7094905</v>
      </c>
      <c r="F53" s="78"/>
      <c r="G53" s="75">
        <f t="shared" si="24"/>
        <v>0.39066053630193254</v>
      </c>
      <c r="H53" s="76">
        <f t="shared" si="25"/>
        <v>-0.5</v>
      </c>
      <c r="I53" s="75">
        <f t="shared" si="26"/>
        <v>0.14516129032258063</v>
      </c>
      <c r="J53" s="75">
        <f t="shared" si="27"/>
        <v>-4.8904068408631429E-2</v>
      </c>
      <c r="K53" s="76">
        <f t="shared" si="28"/>
        <v>0.30741706500272431</v>
      </c>
      <c r="L53" s="77">
        <f t="shared" si="29"/>
        <v>0.16774694694545608</v>
      </c>
      <c r="M53" s="76">
        <f t="shared" si="30"/>
        <v>0.30741706500272431</v>
      </c>
      <c r="N53" s="77">
        <f t="shared" si="31"/>
        <v>0.16774694694545608</v>
      </c>
      <c r="O53" s="76">
        <f t="shared" si="32"/>
        <v>-0.29883623873011977</v>
      </c>
      <c r="P53" s="77">
        <f t="shared" si="33"/>
        <v>0.27807602543760734</v>
      </c>
      <c r="Q53" s="76">
        <f t="shared" si="34"/>
        <v>0.30741706500272425</v>
      </c>
      <c r="R53" s="75">
        <f t="shared" si="35"/>
        <v>-0.22291358935647643</v>
      </c>
    </row>
    <row r="54" spans="2:18">
      <c r="B54" s="81"/>
      <c r="C54">
        <v>2</v>
      </c>
      <c r="D54">
        <v>704</v>
      </c>
      <c r="E54">
        <v>1.732167</v>
      </c>
      <c r="F54" s="78"/>
      <c r="G54" s="75">
        <f t="shared" si="24"/>
        <v>0.39930423213427979</v>
      </c>
      <c r="H54" s="76">
        <f t="shared" si="25"/>
        <v>-0.5</v>
      </c>
      <c r="I54" s="75">
        <f t="shared" si="26"/>
        <v>0.17741935483870963</v>
      </c>
      <c r="J54" s="75">
        <f t="shared" si="27"/>
        <v>-3.8923188177433565E-2</v>
      </c>
      <c r="K54" s="76">
        <f t="shared" si="28"/>
        <v>0.33772973018936647</v>
      </c>
      <c r="L54" s="77">
        <f t="shared" si="29"/>
        <v>0.17087418885319577</v>
      </c>
      <c r="M54" s="76">
        <f t="shared" si="30"/>
        <v>0.33772973018936647</v>
      </c>
      <c r="N54" s="77">
        <f t="shared" si="31"/>
        <v>0.17087418885319577</v>
      </c>
      <c r="O54" s="76">
        <f t="shared" si="32"/>
        <v>-0.29883623873011977</v>
      </c>
      <c r="P54" s="77">
        <f t="shared" si="33"/>
        <v>0.2867197212699546</v>
      </c>
      <c r="Q54" s="76">
        <f t="shared" si="34"/>
        <v>0.33772973018936642</v>
      </c>
      <c r="R54" s="75">
        <f t="shared" si="35"/>
        <v>-0.22843004328108399</v>
      </c>
    </row>
    <row r="55" spans="2:18">
      <c r="B55" s="81"/>
      <c r="C55">
        <v>2</v>
      </c>
      <c r="D55">
        <v>736</v>
      </c>
      <c r="E55">
        <v>1.7465790000000001</v>
      </c>
      <c r="F55" s="78"/>
      <c r="G55" s="75">
        <f t="shared" si="24"/>
        <v>0.40479771412381904</v>
      </c>
      <c r="H55" s="76">
        <f t="shared" si="25"/>
        <v>-0.5</v>
      </c>
      <c r="I55" s="75">
        <f t="shared" si="26"/>
        <v>0.20967741935483875</v>
      </c>
      <c r="J55" s="75">
        <f t="shared" si="27"/>
        <v>-3.2579861566535806E-2</v>
      </c>
      <c r="K55" s="76">
        <f t="shared" si="28"/>
        <v>0.3680423953760088</v>
      </c>
      <c r="L55" s="77">
        <f t="shared" si="29"/>
        <v>0.17085121691812749</v>
      </c>
      <c r="M55" s="76">
        <f t="shared" si="30"/>
        <v>0.3680423953760088</v>
      </c>
      <c r="N55" s="77">
        <f t="shared" si="31"/>
        <v>0.17085121691812749</v>
      </c>
      <c r="O55" s="76">
        <f t="shared" si="32"/>
        <v>-0.29883623873011977</v>
      </c>
      <c r="P55" s="77">
        <f t="shared" si="33"/>
        <v>0.29221320325949385</v>
      </c>
      <c r="Q55" s="76">
        <f t="shared" si="34"/>
        <v>0.36804239537600875</v>
      </c>
      <c r="R55" s="75">
        <f t="shared" si="35"/>
        <v>-0.23394649720569158</v>
      </c>
    </row>
    <row r="56" spans="2:18">
      <c r="B56" s="81"/>
      <c r="C56">
        <v>2</v>
      </c>
      <c r="D56">
        <v>768</v>
      </c>
      <c r="E56">
        <v>1.77135625</v>
      </c>
      <c r="F56" s="78"/>
      <c r="G56" s="75">
        <f t="shared" si="24"/>
        <v>0.41424216157214755</v>
      </c>
      <c r="H56" s="76">
        <f t="shared" si="25"/>
        <v>-0.5</v>
      </c>
      <c r="I56" s="75">
        <f t="shared" si="26"/>
        <v>0.24193548387096775</v>
      </c>
      <c r="J56" s="75">
        <f t="shared" si="27"/>
        <v>-2.167435301325632E-2</v>
      </c>
      <c r="K56" s="76">
        <f t="shared" si="28"/>
        <v>0.39835506056265091</v>
      </c>
      <c r="L56" s="77">
        <f t="shared" si="29"/>
        <v>0.17477921044184844</v>
      </c>
      <c r="M56" s="76">
        <f t="shared" si="30"/>
        <v>0.39835506056265091</v>
      </c>
      <c r="N56" s="77">
        <f t="shared" si="31"/>
        <v>0.17477921044184844</v>
      </c>
      <c r="O56" s="76">
        <f t="shared" si="32"/>
        <v>-0.29883623873011977</v>
      </c>
      <c r="P56" s="77">
        <f t="shared" si="33"/>
        <v>0.30165765070782241</v>
      </c>
      <c r="Q56" s="76">
        <f t="shared" si="34"/>
        <v>0.39835506056265085</v>
      </c>
      <c r="R56" s="75">
        <f t="shared" si="35"/>
        <v>-0.23946295113029914</v>
      </c>
    </row>
    <row r="57" spans="2:18">
      <c r="B57" s="81"/>
      <c r="C57">
        <v>2</v>
      </c>
      <c r="D57">
        <v>800</v>
      </c>
      <c r="E57">
        <v>1.7932239999999999</v>
      </c>
      <c r="F57" s="78"/>
      <c r="G57" s="75">
        <f t="shared" si="24"/>
        <v>0.42257758280284069</v>
      </c>
      <c r="H57" s="76">
        <f t="shared" si="25"/>
        <v>-0.5</v>
      </c>
      <c r="I57" s="75">
        <f t="shared" si="26"/>
        <v>0.27419354838709675</v>
      </c>
      <c r="J57" s="75">
        <f t="shared" si="27"/>
        <v>-1.2049437630557158E-2</v>
      </c>
      <c r="K57" s="76">
        <f t="shared" si="28"/>
        <v>0.42866772574929313</v>
      </c>
      <c r="L57" s="77">
        <f t="shared" si="29"/>
        <v>0.17759817774793399</v>
      </c>
      <c r="M57" s="76">
        <f t="shared" si="30"/>
        <v>0.42866772574929313</v>
      </c>
      <c r="N57" s="77">
        <f t="shared" si="31"/>
        <v>0.17759817774793399</v>
      </c>
      <c r="O57" s="76">
        <f t="shared" si="32"/>
        <v>-0.29883623873011977</v>
      </c>
      <c r="P57" s="77">
        <f t="shared" si="33"/>
        <v>0.3099930719385155</v>
      </c>
      <c r="Q57" s="76">
        <f t="shared" si="34"/>
        <v>0.42866772574929307</v>
      </c>
      <c r="R57" s="75">
        <f t="shared" si="35"/>
        <v>-0.2449794050549067</v>
      </c>
    </row>
    <row r="58" spans="2:18">
      <c r="B58" s="81"/>
      <c r="C58">
        <v>2</v>
      </c>
      <c r="D58">
        <v>832</v>
      </c>
      <c r="E58">
        <v>1.80976475</v>
      </c>
      <c r="F58" s="78"/>
      <c r="G58" s="75">
        <f t="shared" si="24"/>
        <v>0.42888248928483286</v>
      </c>
      <c r="H58" s="76">
        <f t="shared" si="25"/>
        <v>-0.5</v>
      </c>
      <c r="I58" s="75">
        <f t="shared" si="26"/>
        <v>0.30645161290322576</v>
      </c>
      <c r="J58" s="75">
        <f t="shared" si="27"/>
        <v>-4.7691587213699593E-3</v>
      </c>
      <c r="K58" s="76">
        <f t="shared" si="28"/>
        <v>0.45898039093593535</v>
      </c>
      <c r="L58" s="77">
        <f t="shared" si="29"/>
        <v>0.17838663030531859</v>
      </c>
      <c r="M58" s="76">
        <f t="shared" si="30"/>
        <v>0.45898039093593535</v>
      </c>
      <c r="N58" s="77">
        <f t="shared" si="31"/>
        <v>0.17838663030531859</v>
      </c>
      <c r="O58" s="76">
        <f t="shared" si="32"/>
        <v>-0.29883623873011977</v>
      </c>
      <c r="P58" s="77">
        <f t="shared" si="33"/>
        <v>0.31629797842050766</v>
      </c>
      <c r="Q58" s="76">
        <f t="shared" si="34"/>
        <v>0.45898039093593529</v>
      </c>
      <c r="R58" s="75">
        <f t="shared" si="35"/>
        <v>-0.25049585897951426</v>
      </c>
    </row>
    <row r="59" spans="2:18">
      <c r="B59" s="81"/>
      <c r="C59">
        <v>2</v>
      </c>
      <c r="D59">
        <v>864</v>
      </c>
      <c r="E59">
        <v>1.8296730000000001</v>
      </c>
      <c r="F59" s="78"/>
      <c r="G59" s="75">
        <f t="shared" si="24"/>
        <v>0.43647099974960157</v>
      </c>
      <c r="H59" s="76">
        <f t="shared" si="25"/>
        <v>-0.5</v>
      </c>
      <c r="I59" s="75">
        <f t="shared" si="26"/>
        <v>0.33870967741935487</v>
      </c>
      <c r="J59" s="75">
        <f t="shared" si="27"/>
        <v>3.9932983977950531E-3</v>
      </c>
      <c r="K59" s="76">
        <f t="shared" si="28"/>
        <v>0.48929305612257756</v>
      </c>
      <c r="L59" s="77">
        <f t="shared" si="29"/>
        <v>0.18045868684547975</v>
      </c>
      <c r="M59" s="76">
        <f t="shared" si="30"/>
        <v>0.48929305612257756</v>
      </c>
      <c r="N59" s="77">
        <f t="shared" si="31"/>
        <v>0.18045868684547975</v>
      </c>
      <c r="O59" s="76">
        <f t="shared" si="32"/>
        <v>-0.29883623873011977</v>
      </c>
      <c r="P59" s="77">
        <f t="shared" si="33"/>
        <v>0.32388648888527638</v>
      </c>
      <c r="Q59" s="76">
        <f t="shared" si="34"/>
        <v>0.48929305612257751</v>
      </c>
      <c r="R59" s="75">
        <f t="shared" si="35"/>
        <v>-0.25601231290412185</v>
      </c>
    </row>
    <row r="60" spans="2:18">
      <c r="B60" s="81"/>
      <c r="C60">
        <v>2</v>
      </c>
      <c r="D60">
        <v>896</v>
      </c>
      <c r="E60">
        <v>1.8549657500000001</v>
      </c>
      <c r="F60" s="78"/>
      <c r="G60" s="75">
        <f t="shared" si="24"/>
        <v>0.44611194247725344</v>
      </c>
      <c r="H60" s="76">
        <f t="shared" si="25"/>
        <v>-0.5</v>
      </c>
      <c r="I60" s="75">
        <f t="shared" si="26"/>
        <v>0.37096774193548387</v>
      </c>
      <c r="J60" s="75">
        <f t="shared" si="27"/>
        <v>1.5125700155898203E-2</v>
      </c>
      <c r="K60" s="76">
        <f t="shared" si="28"/>
        <v>0.51960572130921978</v>
      </c>
      <c r="L60" s="77">
        <f t="shared" si="29"/>
        <v>0.18458317564852406</v>
      </c>
      <c r="M60" s="76">
        <f t="shared" si="30"/>
        <v>0.51960572130921978</v>
      </c>
      <c r="N60" s="77">
        <f t="shared" si="31"/>
        <v>0.18458317564852406</v>
      </c>
      <c r="O60" s="76">
        <f t="shared" si="32"/>
        <v>-0.29883623873011977</v>
      </c>
      <c r="P60" s="77">
        <f t="shared" si="33"/>
        <v>0.33352743161292825</v>
      </c>
      <c r="Q60" s="76">
        <f t="shared" si="34"/>
        <v>0.51960572130921967</v>
      </c>
      <c r="R60" s="75">
        <f t="shared" si="35"/>
        <v>-0.26152876682872939</v>
      </c>
    </row>
    <row r="61" spans="2:18">
      <c r="B61" s="81"/>
      <c r="C61">
        <v>2</v>
      </c>
      <c r="D61">
        <v>928</v>
      </c>
      <c r="E61">
        <v>1.8777174999999999</v>
      </c>
      <c r="F61" s="78"/>
      <c r="G61" s="75">
        <f t="shared" si="24"/>
        <v>0.45478432166511773</v>
      </c>
      <c r="H61" s="76">
        <f t="shared" si="25"/>
        <v>-0.5</v>
      </c>
      <c r="I61" s="75">
        <f t="shared" si="26"/>
        <v>0.40322580645161288</v>
      </c>
      <c r="J61" s="75">
        <f t="shared" si="27"/>
        <v>2.5139701073154108E-2</v>
      </c>
      <c r="K61" s="76">
        <f t="shared" si="28"/>
        <v>0.54991838649586189</v>
      </c>
      <c r="L61" s="77">
        <f t="shared" si="29"/>
        <v>0.18773910091178081</v>
      </c>
      <c r="M61" s="76">
        <f t="shared" si="30"/>
        <v>0.54991838649586189</v>
      </c>
      <c r="N61" s="77">
        <f t="shared" si="31"/>
        <v>0.18773910091178081</v>
      </c>
      <c r="O61" s="76">
        <f t="shared" si="32"/>
        <v>-0.29883623873011977</v>
      </c>
      <c r="P61" s="77">
        <f t="shared" si="33"/>
        <v>0.34219981080079254</v>
      </c>
      <c r="Q61" s="76">
        <f t="shared" si="34"/>
        <v>0.54991838649586178</v>
      </c>
      <c r="R61" s="75">
        <f t="shared" si="35"/>
        <v>-0.26704522075333692</v>
      </c>
    </row>
    <row r="62" spans="2:18">
      <c r="B62" s="81"/>
      <c r="C62">
        <v>2</v>
      </c>
      <c r="D62">
        <v>960</v>
      </c>
      <c r="E62">
        <v>1.9040710000000001</v>
      </c>
      <c r="F62" s="78"/>
      <c r="G62" s="75">
        <f t="shared" si="24"/>
        <v>0.46482959488266734</v>
      </c>
      <c r="H62" s="76">
        <f t="shared" si="25"/>
        <v>-0.5</v>
      </c>
      <c r="I62" s="75">
        <f t="shared" si="26"/>
        <v>0.43548387096774188</v>
      </c>
      <c r="J62" s="75">
        <f t="shared" si="27"/>
        <v>3.6738983465625319E-2</v>
      </c>
      <c r="K62" s="76">
        <f t="shared" si="28"/>
        <v>0.58023105168250411</v>
      </c>
      <c r="L62" s="77">
        <f t="shared" si="29"/>
        <v>0.19226792020472283</v>
      </c>
      <c r="M62" s="76">
        <f t="shared" si="30"/>
        <v>0.58023105168250411</v>
      </c>
      <c r="N62" s="77">
        <f t="shared" si="31"/>
        <v>0.19226792020472283</v>
      </c>
      <c r="O62" s="76">
        <f t="shared" si="32"/>
        <v>-0.29883623873011977</v>
      </c>
      <c r="P62" s="77">
        <f t="shared" si="33"/>
        <v>0.35224508401834215</v>
      </c>
      <c r="Q62" s="76">
        <f t="shared" si="34"/>
        <v>0.580231051682504</v>
      </c>
      <c r="R62" s="75">
        <f t="shared" si="35"/>
        <v>-0.27256167467794451</v>
      </c>
    </row>
    <row r="63" spans="2:18">
      <c r="B63" s="81"/>
      <c r="C63">
        <v>2</v>
      </c>
      <c r="D63">
        <v>992</v>
      </c>
      <c r="E63">
        <v>1.9219297500000001</v>
      </c>
      <c r="F63" s="78"/>
      <c r="G63" s="75">
        <f t="shared" si="24"/>
        <v>0.47163688890713895</v>
      </c>
      <c r="H63" s="76">
        <f t="shared" si="25"/>
        <v>-0.5</v>
      </c>
      <c r="I63" s="75">
        <f t="shared" si="26"/>
        <v>0.467741935483871</v>
      </c>
      <c r="J63" s="75">
        <f t="shared" si="27"/>
        <v>4.4599369540588518E-2</v>
      </c>
      <c r="K63" s="76">
        <f t="shared" si="28"/>
        <v>0.61054371686914644</v>
      </c>
      <c r="L63" s="77">
        <f t="shared" si="29"/>
        <v>0.19355876030458685</v>
      </c>
      <c r="M63" s="76">
        <f t="shared" si="30"/>
        <v>0.61054371686914644</v>
      </c>
      <c r="N63" s="77">
        <f t="shared" si="31"/>
        <v>0.19355876030458685</v>
      </c>
      <c r="O63" s="76">
        <f t="shared" si="32"/>
        <v>-0.29883623873011977</v>
      </c>
      <c r="P63" s="77">
        <f t="shared" si="33"/>
        <v>0.35905237804281376</v>
      </c>
      <c r="Q63" s="76">
        <f t="shared" si="34"/>
        <v>0.61054371686914632</v>
      </c>
      <c r="R63" s="75">
        <f t="shared" si="35"/>
        <v>-0.2780781286025521</v>
      </c>
    </row>
    <row r="64" spans="2:18">
      <c r="B64" s="81"/>
      <c r="C64">
        <v>2</v>
      </c>
      <c r="D64">
        <v>1024</v>
      </c>
      <c r="E64">
        <v>1.94109</v>
      </c>
      <c r="F64" s="78"/>
      <c r="G64" s="75">
        <f t="shared" si="24"/>
        <v>0.47894028110045495</v>
      </c>
      <c r="H64" s="76">
        <f t="shared" si="25"/>
        <v>-0.5</v>
      </c>
      <c r="I64" s="75">
        <f t="shared" si="26"/>
        <v>0.5</v>
      </c>
      <c r="J64" s="75">
        <f t="shared" si="27"/>
        <v>5.3032600438205346E-2</v>
      </c>
      <c r="K64" s="76">
        <f t="shared" si="28"/>
        <v>0.64085638205578854</v>
      </c>
      <c r="L64" s="77">
        <f t="shared" si="29"/>
        <v>0.19534569857329531</v>
      </c>
      <c r="M64" s="76">
        <f t="shared" si="30"/>
        <v>0.64085638205578854</v>
      </c>
      <c r="N64" s="77">
        <f t="shared" si="31"/>
        <v>0.19534569857329531</v>
      </c>
      <c r="O64" s="76">
        <f t="shared" si="32"/>
        <v>-0.29883623873011977</v>
      </c>
      <c r="P64" s="77">
        <f t="shared" si="33"/>
        <v>0.36635577023612975</v>
      </c>
      <c r="Q64" s="76">
        <f t="shared" si="34"/>
        <v>0.64085638205578843</v>
      </c>
      <c r="R64" s="75">
        <f t="shared" si="35"/>
        <v>-0.28359458252715963</v>
      </c>
    </row>
    <row r="65" spans="2:18">
      <c r="B65" s="81"/>
      <c r="C65">
        <v>4</v>
      </c>
      <c r="D65">
        <v>32</v>
      </c>
      <c r="E65">
        <v>0.73377375</v>
      </c>
      <c r="F65" s="78"/>
      <c r="G65" s="75">
        <f t="shared" si="24"/>
        <v>1.8742524019334017E-2</v>
      </c>
      <c r="H65" s="76">
        <f t="shared" si="25"/>
        <v>-0.4</v>
      </c>
      <c r="I65" s="75">
        <f t="shared" si="26"/>
        <v>-0.5</v>
      </c>
      <c r="J65" s="75">
        <f t="shared" si="27"/>
        <v>-0.47835799742428897</v>
      </c>
      <c r="K65" s="76">
        <f t="shared" si="28"/>
        <v>-0.3330382530626867</v>
      </c>
      <c r="L65" s="77">
        <f t="shared" si="29"/>
        <v>-0.14082661788428652</v>
      </c>
      <c r="M65" s="76">
        <f t="shared" si="30"/>
        <v>-0.29883623873011983</v>
      </c>
      <c r="N65" s="77">
        <f t="shared" si="31"/>
        <v>-9.3841986844991176E-2</v>
      </c>
      <c r="O65" s="76">
        <f t="shared" si="32"/>
        <v>-0.3330382530626867</v>
      </c>
      <c r="P65" s="77">
        <f t="shared" si="33"/>
        <v>-0.14082661788428652</v>
      </c>
      <c r="Q65" s="76">
        <f t="shared" si="34"/>
        <v>-0.3330382530626867</v>
      </c>
      <c r="R65" s="75">
        <f t="shared" si="35"/>
        <v>-0.15956914190362054</v>
      </c>
    </row>
    <row r="66" spans="2:18">
      <c r="B66" s="81"/>
      <c r="C66">
        <v>4</v>
      </c>
      <c r="D66">
        <v>64</v>
      </c>
      <c r="E66">
        <v>0.69937899999999997</v>
      </c>
      <c r="F66" s="78"/>
      <c r="G66" s="75">
        <f t="shared" si="24"/>
        <v>5.6321340901286931E-3</v>
      </c>
      <c r="H66" s="76">
        <f t="shared" si="25"/>
        <v>-0.4</v>
      </c>
      <c r="I66" s="75">
        <f t="shared" si="26"/>
        <v>-0.467741935483871</v>
      </c>
      <c r="J66" s="75">
        <f t="shared" si="27"/>
        <v>-0.49349657173390427</v>
      </c>
      <c r="K66" s="76">
        <f t="shared" si="28"/>
        <v>-0.30272558787604448</v>
      </c>
      <c r="L66" s="77">
        <f t="shared" si="29"/>
        <v>-0.15945346173809943</v>
      </c>
      <c r="M66" s="76">
        <f t="shared" si="30"/>
        <v>-0.26852357354347761</v>
      </c>
      <c r="N66" s="77">
        <f t="shared" si="31"/>
        <v>-0.11246883069880409</v>
      </c>
      <c r="O66" s="76">
        <f t="shared" si="32"/>
        <v>-0.3330382530626867</v>
      </c>
      <c r="P66" s="77">
        <f t="shared" si="33"/>
        <v>-0.15393700781349184</v>
      </c>
      <c r="Q66" s="76">
        <f t="shared" si="34"/>
        <v>-0.30272558787604448</v>
      </c>
      <c r="R66" s="75">
        <f t="shared" si="35"/>
        <v>-0.16508559582822813</v>
      </c>
    </row>
    <row r="67" spans="2:18">
      <c r="B67" s="81"/>
      <c r="C67">
        <v>4</v>
      </c>
      <c r="D67">
        <v>96</v>
      </c>
      <c r="E67">
        <v>0.77841974999999997</v>
      </c>
      <c r="F67" s="78"/>
      <c r="G67" s="75">
        <f t="shared" si="24"/>
        <v>3.576042555312331E-2</v>
      </c>
      <c r="H67" s="76">
        <f t="shared" si="25"/>
        <v>-0.4</v>
      </c>
      <c r="I67" s="75">
        <f t="shared" si="26"/>
        <v>-0.43548387096774194</v>
      </c>
      <c r="J67" s="75">
        <f t="shared" si="27"/>
        <v>-0.4587074173611374</v>
      </c>
      <c r="K67" s="76">
        <f t="shared" si="28"/>
        <v>-0.27241292268940226</v>
      </c>
      <c r="L67" s="77">
        <f t="shared" si="29"/>
        <v>-0.13484162419971241</v>
      </c>
      <c r="M67" s="76">
        <f t="shared" si="30"/>
        <v>-0.23821090835683542</v>
      </c>
      <c r="N67" s="77">
        <f t="shared" si="31"/>
        <v>-8.7856993160417007E-2</v>
      </c>
      <c r="O67" s="76">
        <f t="shared" si="32"/>
        <v>-0.3330382530626867</v>
      </c>
      <c r="P67" s="77">
        <f t="shared" si="33"/>
        <v>-0.12380871635049723</v>
      </c>
      <c r="Q67" s="76">
        <f t="shared" si="34"/>
        <v>-0.27241292268940226</v>
      </c>
      <c r="R67" s="75">
        <f t="shared" si="35"/>
        <v>-0.17060204975283572</v>
      </c>
    </row>
    <row r="68" spans="2:18">
      <c r="B68" s="81"/>
      <c r="C68">
        <v>4</v>
      </c>
      <c r="D68">
        <v>128</v>
      </c>
      <c r="E68">
        <v>0.92104649999999999</v>
      </c>
      <c r="F68" s="78"/>
      <c r="G68" s="75">
        <f t="shared" si="24"/>
        <v>9.0126057134550075E-2</v>
      </c>
      <c r="H68" s="76">
        <f t="shared" si="25"/>
        <v>-0.4</v>
      </c>
      <c r="I68" s="75">
        <f t="shared" si="26"/>
        <v>-0.40322580645161288</v>
      </c>
      <c r="J68" s="75">
        <f t="shared" si="27"/>
        <v>-0.39593139330473587</v>
      </c>
      <c r="K68" s="76">
        <f t="shared" si="28"/>
        <v>-0.24210025750276001</v>
      </c>
      <c r="L68" s="77">
        <f t="shared" si="29"/>
        <v>-8.5992446542893175E-2</v>
      </c>
      <c r="M68" s="76">
        <f t="shared" si="30"/>
        <v>-0.20789824317019315</v>
      </c>
      <c r="N68" s="77">
        <f t="shared" si="31"/>
        <v>-3.9007815503597831E-2</v>
      </c>
      <c r="O68" s="76">
        <f t="shared" si="32"/>
        <v>-0.3330382530626867</v>
      </c>
      <c r="P68" s="77">
        <f t="shared" si="33"/>
        <v>-6.9443084769070462E-2</v>
      </c>
      <c r="Q68" s="76">
        <f t="shared" si="34"/>
        <v>-0.24210025750276001</v>
      </c>
      <c r="R68" s="75">
        <f t="shared" si="35"/>
        <v>-0.17611850367744325</v>
      </c>
    </row>
    <row r="69" spans="2:18">
      <c r="B69" s="81"/>
      <c r="C69">
        <v>4</v>
      </c>
      <c r="D69">
        <v>160</v>
      </c>
      <c r="E69">
        <v>1.08294025</v>
      </c>
      <c r="F69" s="78"/>
      <c r="G69" s="75">
        <f t="shared" si="24"/>
        <v>0.15183577125084041</v>
      </c>
      <c r="H69" s="76">
        <f t="shared" si="25"/>
        <v>-0.4</v>
      </c>
      <c r="I69" s="75">
        <f t="shared" si="26"/>
        <v>-0.37096774193548387</v>
      </c>
      <c r="J69" s="75">
        <f t="shared" si="27"/>
        <v>-0.3246751531914257</v>
      </c>
      <c r="K69" s="76">
        <f t="shared" si="28"/>
        <v>-0.21178759231611782</v>
      </c>
      <c r="L69" s="77">
        <f t="shared" si="29"/>
        <v>-2.9799186351210372E-2</v>
      </c>
      <c r="M69" s="76">
        <f t="shared" si="30"/>
        <v>-0.17758557798355096</v>
      </c>
      <c r="N69" s="77">
        <f t="shared" si="31"/>
        <v>1.7185444688084972E-2</v>
      </c>
      <c r="O69" s="76">
        <f t="shared" si="32"/>
        <v>-0.3330382530626867</v>
      </c>
      <c r="P69" s="77">
        <f t="shared" si="33"/>
        <v>-7.7333706527801249E-3</v>
      </c>
      <c r="Q69" s="76">
        <f t="shared" si="34"/>
        <v>-0.21178759231611785</v>
      </c>
      <c r="R69" s="75">
        <f t="shared" si="35"/>
        <v>-0.18163495760205078</v>
      </c>
    </row>
    <row r="70" spans="2:18">
      <c r="B70" s="81"/>
      <c r="C70">
        <v>4</v>
      </c>
      <c r="D70">
        <v>192</v>
      </c>
      <c r="E70">
        <v>1.273612</v>
      </c>
      <c r="F70" s="78"/>
      <c r="G70" s="75">
        <f t="shared" si="24"/>
        <v>0.22451491533486329</v>
      </c>
      <c r="H70" s="76">
        <f t="shared" si="25"/>
        <v>-0.4</v>
      </c>
      <c r="I70" s="75">
        <f t="shared" si="26"/>
        <v>-0.33870967741935487</v>
      </c>
      <c r="J70" s="75">
        <f t="shared" si="27"/>
        <v>-0.2407525063886613</v>
      </c>
      <c r="K70" s="76">
        <f t="shared" si="28"/>
        <v>-0.18147492712947566</v>
      </c>
      <c r="L70" s="77">
        <f t="shared" si="29"/>
        <v>3.7363503808204912E-2</v>
      </c>
      <c r="M70" s="76">
        <f t="shared" si="30"/>
        <v>-0.14727291279690879</v>
      </c>
      <c r="N70" s="77">
        <f t="shared" si="31"/>
        <v>8.4348134847500256E-2</v>
      </c>
      <c r="O70" s="76">
        <f t="shared" si="32"/>
        <v>-0.3330382530626867</v>
      </c>
      <c r="P70" s="77">
        <f t="shared" si="33"/>
        <v>6.4945773431242748E-2</v>
      </c>
      <c r="Q70" s="76">
        <f t="shared" si="34"/>
        <v>-0.18147492712947569</v>
      </c>
      <c r="R70" s="75">
        <f t="shared" si="35"/>
        <v>-0.18715141152665837</v>
      </c>
    </row>
    <row r="71" spans="2:18">
      <c r="B71" s="81"/>
      <c r="C71">
        <v>4</v>
      </c>
      <c r="D71">
        <v>224</v>
      </c>
      <c r="E71">
        <v>1.4325920000000001</v>
      </c>
      <c r="F71" s="78"/>
      <c r="G71" s="75">
        <f t="shared" si="24"/>
        <v>0.28511398324333936</v>
      </c>
      <c r="H71" s="76">
        <f t="shared" si="25"/>
        <v>-0.4</v>
      </c>
      <c r="I71" s="75">
        <f t="shared" si="26"/>
        <v>-0.30645161290322581</v>
      </c>
      <c r="J71" s="75">
        <f t="shared" si="27"/>
        <v>-0.17077873004946315</v>
      </c>
      <c r="K71" s="76">
        <f t="shared" si="28"/>
        <v>-0.15116226194283344</v>
      </c>
      <c r="L71" s="77">
        <f t="shared" si="29"/>
        <v>9.2446117792073429E-2</v>
      </c>
      <c r="M71" s="76">
        <f t="shared" si="30"/>
        <v>-0.11696024761026658</v>
      </c>
      <c r="N71" s="77">
        <f t="shared" si="31"/>
        <v>0.1394307488313688</v>
      </c>
      <c r="O71" s="76">
        <f t="shared" si="32"/>
        <v>-0.33303825306268664</v>
      </c>
      <c r="P71" s="77">
        <f t="shared" si="33"/>
        <v>0.12554484133971883</v>
      </c>
      <c r="Q71" s="76">
        <f t="shared" si="34"/>
        <v>-0.15116226194283347</v>
      </c>
      <c r="R71" s="75">
        <f t="shared" si="35"/>
        <v>-0.19266786545126593</v>
      </c>
    </row>
    <row r="72" spans="2:18">
      <c r="B72" s="81"/>
      <c r="C72">
        <v>4</v>
      </c>
      <c r="D72">
        <v>256</v>
      </c>
      <c r="E72">
        <v>1.63284775</v>
      </c>
      <c r="F72" s="78"/>
      <c r="G72" s="75">
        <f t="shared" ref="G72:G103" si="36">D$19*(L72-R72)</f>
        <v>0.36144630047388904</v>
      </c>
      <c r="H72" s="76">
        <f t="shared" ref="H72:H103" si="37">(C72-H$16)/H$17-0.5</f>
        <v>-0.4</v>
      </c>
      <c r="I72" s="75">
        <f t="shared" ref="I72:I103" si="38">(D72-I$16)/I$17-0.5</f>
        <v>-0.27419354838709675</v>
      </c>
      <c r="J72" s="75">
        <f t="shared" ref="J72:J103" si="39">(E72-J$16)/J$17-0.5</f>
        <v>-8.2637762247611601E-2</v>
      </c>
      <c r="K72" s="76">
        <f t="shared" ref="K72:K103" si="40">(H72*$H$13+I72*$I$13+J72*$J$13+$D$27)*$C$27</f>
        <v>-0.12084959675619115</v>
      </c>
      <c r="L72" s="77">
        <f t="shared" ref="L72:L103" si="41">(H72*$H$14+I72*$I$14+J72*$J$14+$E$27)*$C$27</f>
        <v>0.16326198109801557</v>
      </c>
      <c r="M72" s="76">
        <f t="shared" ref="M72:M103" si="42">(H$27*$H$13+I72*$I$13+J72*$J$13+$D$27)*$C$27</f>
        <v>-8.6647582423624289E-2</v>
      </c>
      <c r="N72" s="77">
        <f t="shared" ref="N72:N103" si="43">(H$27*$H$14+I72*$I$14+J72*$J$14+$E$27)*$C$27</f>
        <v>0.21024661213731091</v>
      </c>
      <c r="O72" s="76">
        <f t="shared" ref="O72:O103" si="44">(H72*$H$13+I$27*$I$13+J72*$J$13+$D$27)*$C$27</f>
        <v>-0.33303825306268664</v>
      </c>
      <c r="P72" s="77">
        <f t="shared" ref="P72:P103" si="45">(H72*$H$14+I$27*$I$14+J72*$J$14+$E$27)*$C$27</f>
        <v>0.20187715857026853</v>
      </c>
      <c r="Q72" s="76">
        <f t="shared" ref="Q72:Q103" si="46">(H72*$H$13+I72*$I$13+J$27*$J$13+$D$27)*$C$27</f>
        <v>-0.1208495967561912</v>
      </c>
      <c r="R72" s="75">
        <f t="shared" ref="R72:R103" si="47">(H72*$H$14+I72*$I$14+J$27*$J$14+$E$27)*$C$27</f>
        <v>-0.1981843193758735</v>
      </c>
    </row>
    <row r="73" spans="2:18">
      <c r="B73" s="81"/>
      <c r="C73">
        <v>4</v>
      </c>
      <c r="D73">
        <v>288</v>
      </c>
      <c r="E73">
        <v>1.6697582500000001</v>
      </c>
      <c r="F73" s="78"/>
      <c r="G73" s="75">
        <f t="shared" si="36"/>
        <v>0.37551562929534971</v>
      </c>
      <c r="H73" s="76">
        <f t="shared" si="37"/>
        <v>-0.4</v>
      </c>
      <c r="I73" s="75">
        <f t="shared" si="38"/>
        <v>-0.24193548387096775</v>
      </c>
      <c r="J73" s="75">
        <f t="shared" si="39"/>
        <v>-6.6391900682836291E-2</v>
      </c>
      <c r="K73" s="76">
        <f t="shared" si="40"/>
        <v>-9.0536931569548992E-2</v>
      </c>
      <c r="L73" s="77">
        <f t="shared" si="41"/>
        <v>0.17181485599486865</v>
      </c>
      <c r="M73" s="76">
        <f t="shared" si="42"/>
        <v>-5.633491723698212E-2</v>
      </c>
      <c r="N73" s="77">
        <f t="shared" si="43"/>
        <v>0.21879948703416402</v>
      </c>
      <c r="O73" s="76">
        <f t="shared" si="44"/>
        <v>-0.33303825306268664</v>
      </c>
      <c r="P73" s="77">
        <f t="shared" si="45"/>
        <v>0.21594648739172917</v>
      </c>
      <c r="Q73" s="76">
        <f t="shared" si="46"/>
        <v>-9.0536931569549034E-2</v>
      </c>
      <c r="R73" s="75">
        <f t="shared" si="47"/>
        <v>-0.20370077330048106</v>
      </c>
    </row>
    <row r="74" spans="2:18">
      <c r="B74" s="81"/>
      <c r="C74">
        <v>4</v>
      </c>
      <c r="D74">
        <v>320</v>
      </c>
      <c r="E74">
        <v>1.701751</v>
      </c>
      <c r="F74" s="78"/>
      <c r="G74" s="75">
        <f t="shared" si="36"/>
        <v>0.38771043889296497</v>
      </c>
      <c r="H74" s="76">
        <f t="shared" si="37"/>
        <v>-0.4</v>
      </c>
      <c r="I74" s="75">
        <f t="shared" si="38"/>
        <v>-0.20967741935483869</v>
      </c>
      <c r="J74" s="75">
        <f t="shared" si="39"/>
        <v>-5.2310547475037439E-2</v>
      </c>
      <c r="K74" s="76">
        <f t="shared" si="40"/>
        <v>-6.0224266382906767E-2</v>
      </c>
      <c r="L74" s="77">
        <f t="shared" si="41"/>
        <v>0.17849321166787638</v>
      </c>
      <c r="M74" s="76">
        <f t="shared" si="42"/>
        <v>-2.6022252050339902E-2</v>
      </c>
      <c r="N74" s="77">
        <f t="shared" si="43"/>
        <v>0.22547784270717172</v>
      </c>
      <c r="O74" s="76">
        <f t="shared" si="44"/>
        <v>-0.33303825306268664</v>
      </c>
      <c r="P74" s="77">
        <f t="shared" si="45"/>
        <v>0.22814129698934446</v>
      </c>
      <c r="Q74" s="76">
        <f t="shared" si="46"/>
        <v>-6.0224266382906823E-2</v>
      </c>
      <c r="R74" s="75">
        <f t="shared" si="47"/>
        <v>-0.20921722722508862</v>
      </c>
    </row>
    <row r="75" spans="2:18">
      <c r="B75" s="81"/>
      <c r="C75">
        <v>4</v>
      </c>
      <c r="D75">
        <v>352</v>
      </c>
      <c r="E75">
        <v>1.72956775</v>
      </c>
      <c r="F75" s="78"/>
      <c r="G75" s="75">
        <f t="shared" si="36"/>
        <v>0.39831346519968969</v>
      </c>
      <c r="H75" s="76">
        <f t="shared" si="37"/>
        <v>-0.4</v>
      </c>
      <c r="I75" s="75">
        <f t="shared" si="38"/>
        <v>-0.17741935483870969</v>
      </c>
      <c r="J75" s="75">
        <f t="shared" si="39"/>
        <v>-4.0067227290213059E-2</v>
      </c>
      <c r="K75" s="76">
        <f t="shared" si="40"/>
        <v>-2.9911601196264574E-2</v>
      </c>
      <c r="L75" s="77">
        <f t="shared" si="41"/>
        <v>0.18357978404999353</v>
      </c>
      <c r="M75" s="76">
        <f t="shared" si="42"/>
        <v>4.2904131363022905E-3</v>
      </c>
      <c r="N75" s="77">
        <f t="shared" si="43"/>
        <v>0.2305644150892889</v>
      </c>
      <c r="O75" s="76">
        <f t="shared" si="44"/>
        <v>-0.33303825306268664</v>
      </c>
      <c r="P75" s="77">
        <f t="shared" si="45"/>
        <v>0.23874432329606918</v>
      </c>
      <c r="Q75" s="76">
        <f t="shared" si="46"/>
        <v>-2.9911601196264632E-2</v>
      </c>
      <c r="R75" s="75">
        <f t="shared" si="47"/>
        <v>-0.21473368114969618</v>
      </c>
    </row>
    <row r="76" spans="2:18">
      <c r="B76" s="81"/>
      <c r="C76">
        <v>4</v>
      </c>
      <c r="D76">
        <v>384</v>
      </c>
      <c r="E76">
        <v>1.7687565000000001</v>
      </c>
      <c r="F76" s="78"/>
      <c r="G76" s="75">
        <f t="shared" si="36"/>
        <v>0.41325120405047783</v>
      </c>
      <c r="H76" s="76">
        <f t="shared" si="37"/>
        <v>-0.4</v>
      </c>
      <c r="I76" s="75">
        <f t="shared" si="38"/>
        <v>-0.14516129032258063</v>
      </c>
      <c r="J76" s="75">
        <f t="shared" si="39"/>
        <v>-2.2818612197039345E-2</v>
      </c>
      <c r="K76" s="76">
        <f t="shared" si="40"/>
        <v>4.0106399037764524E-4</v>
      </c>
      <c r="L76" s="77">
        <f t="shared" si="41"/>
        <v>0.19300106897617408</v>
      </c>
      <c r="M76" s="76">
        <f t="shared" si="42"/>
        <v>3.4603078322944514E-2</v>
      </c>
      <c r="N76" s="77">
        <f t="shared" si="43"/>
        <v>0.23998570001546943</v>
      </c>
      <c r="O76" s="76">
        <f t="shared" si="44"/>
        <v>-0.33303825306268664</v>
      </c>
      <c r="P76" s="77">
        <f t="shared" si="45"/>
        <v>0.25368206214685729</v>
      </c>
      <c r="Q76" s="76">
        <f t="shared" si="46"/>
        <v>4.010639903775868E-4</v>
      </c>
      <c r="R76" s="75">
        <f t="shared" si="47"/>
        <v>-0.22025013507430374</v>
      </c>
    </row>
    <row r="77" spans="2:18">
      <c r="B77" s="81"/>
      <c r="C77">
        <v>4</v>
      </c>
      <c r="D77">
        <v>416</v>
      </c>
      <c r="E77">
        <v>1.8113090000000001</v>
      </c>
      <c r="F77" s="78"/>
      <c r="G77" s="75">
        <f t="shared" si="36"/>
        <v>0.42947111748094358</v>
      </c>
      <c r="H77" s="76">
        <f t="shared" si="37"/>
        <v>-0.4</v>
      </c>
      <c r="I77" s="75">
        <f t="shared" si="38"/>
        <v>-0.11290322580645162</v>
      </c>
      <c r="J77" s="75">
        <f t="shared" si="39"/>
        <v>-4.0894694264157483E-3</v>
      </c>
      <c r="K77" s="76">
        <f t="shared" si="40"/>
        <v>3.0713729177019825E-2</v>
      </c>
      <c r="L77" s="77">
        <f t="shared" si="41"/>
        <v>0.20370452848203224</v>
      </c>
      <c r="M77" s="76">
        <f t="shared" si="42"/>
        <v>6.491574350958669E-2</v>
      </c>
      <c r="N77" s="77">
        <f t="shared" si="43"/>
        <v>0.25068915952132759</v>
      </c>
      <c r="O77" s="76">
        <f t="shared" si="44"/>
        <v>-0.33303825306268664</v>
      </c>
      <c r="P77" s="77">
        <f t="shared" si="45"/>
        <v>0.26990197557732298</v>
      </c>
      <c r="Q77" s="76">
        <f t="shared" si="46"/>
        <v>3.0713729177019762E-2</v>
      </c>
      <c r="R77" s="75">
        <f t="shared" si="47"/>
        <v>-0.22576658899891131</v>
      </c>
    </row>
    <row r="78" spans="2:18">
      <c r="B78" s="81"/>
      <c r="C78">
        <v>4</v>
      </c>
      <c r="D78">
        <v>448</v>
      </c>
      <c r="E78">
        <v>1.8542860000000001</v>
      </c>
      <c r="F78" s="78"/>
      <c r="G78" s="75">
        <f t="shared" si="36"/>
        <v>0.44585283934220021</v>
      </c>
      <c r="H78" s="76">
        <f t="shared" si="37"/>
        <v>-0.4</v>
      </c>
      <c r="I78" s="75">
        <f t="shared" si="38"/>
        <v>-8.0645161290322565E-2</v>
      </c>
      <c r="J78" s="75">
        <f t="shared" si="39"/>
        <v>1.4826513626356452E-2</v>
      </c>
      <c r="K78" s="76">
        <f t="shared" si="40"/>
        <v>6.1026394363662056E-2</v>
      </c>
      <c r="L78" s="77">
        <f t="shared" si="41"/>
        <v>0.21456979641868132</v>
      </c>
      <c r="M78" s="76">
        <f t="shared" si="42"/>
        <v>9.5228408696228922E-2</v>
      </c>
      <c r="N78" s="77">
        <f t="shared" si="43"/>
        <v>0.26155442745797663</v>
      </c>
      <c r="O78" s="76">
        <f t="shared" si="44"/>
        <v>-0.33303825306268664</v>
      </c>
      <c r="P78" s="77">
        <f t="shared" si="45"/>
        <v>0.28628369743857962</v>
      </c>
      <c r="Q78" s="76">
        <f t="shared" si="46"/>
        <v>6.1026394363661994E-2</v>
      </c>
      <c r="R78" s="75">
        <f t="shared" si="47"/>
        <v>-0.23128304292351887</v>
      </c>
    </row>
    <row r="79" spans="2:18">
      <c r="B79" s="81"/>
      <c r="C79">
        <v>4</v>
      </c>
      <c r="D79">
        <v>480</v>
      </c>
      <c r="E79">
        <v>1.9049695</v>
      </c>
      <c r="F79" s="78"/>
      <c r="G79" s="75">
        <f t="shared" si="36"/>
        <v>0.46517207986515419</v>
      </c>
      <c r="H79" s="76">
        <f t="shared" si="37"/>
        <v>-0.4</v>
      </c>
      <c r="I79" s="75">
        <f t="shared" si="38"/>
        <v>-4.8387096774193561E-2</v>
      </c>
      <c r="J79" s="75">
        <f t="shared" si="39"/>
        <v>3.7134451059289697E-2</v>
      </c>
      <c r="K79" s="76">
        <f t="shared" si="40"/>
        <v>9.1339059550304219E-2</v>
      </c>
      <c r="L79" s="77">
        <f t="shared" si="41"/>
        <v>0.22837258301702776</v>
      </c>
      <c r="M79" s="76">
        <f t="shared" si="42"/>
        <v>0.12554107388287108</v>
      </c>
      <c r="N79" s="77">
        <f t="shared" si="43"/>
        <v>0.27535721405632313</v>
      </c>
      <c r="O79" s="76">
        <f t="shared" si="44"/>
        <v>-0.33303825306268664</v>
      </c>
      <c r="P79" s="77">
        <f t="shared" si="45"/>
        <v>0.30560293796153365</v>
      </c>
      <c r="Q79" s="76">
        <f t="shared" si="46"/>
        <v>9.1339059550304164E-2</v>
      </c>
      <c r="R79" s="75">
        <f t="shared" si="47"/>
        <v>-0.23679949684812643</v>
      </c>
    </row>
    <row r="80" spans="2:18">
      <c r="B80" s="81"/>
      <c r="C80">
        <v>4</v>
      </c>
      <c r="D80">
        <v>512</v>
      </c>
      <c r="E80">
        <v>1.940563</v>
      </c>
      <c r="F80" s="78"/>
      <c r="G80" s="75">
        <f t="shared" si="36"/>
        <v>0.47873940231829515</v>
      </c>
      <c r="H80" s="76">
        <f t="shared" si="37"/>
        <v>-0.4</v>
      </c>
      <c r="I80" s="75">
        <f t="shared" si="38"/>
        <v>-1.6129032258064502E-2</v>
      </c>
      <c r="J80" s="75">
        <f t="shared" si="39"/>
        <v>5.2800645600296514E-2</v>
      </c>
      <c r="K80" s="76">
        <f t="shared" si="40"/>
        <v>0.12165172473694646</v>
      </c>
      <c r="L80" s="77">
        <f t="shared" si="41"/>
        <v>0.23642345154556116</v>
      </c>
      <c r="M80" s="76">
        <f t="shared" si="42"/>
        <v>0.15585373906951333</v>
      </c>
      <c r="N80" s="77">
        <f t="shared" si="43"/>
        <v>0.28340808258485656</v>
      </c>
      <c r="O80" s="76">
        <f t="shared" si="44"/>
        <v>-0.33303825306268664</v>
      </c>
      <c r="P80" s="77">
        <f t="shared" si="45"/>
        <v>0.31917026041467467</v>
      </c>
      <c r="Q80" s="76">
        <f t="shared" si="46"/>
        <v>0.12165172473694641</v>
      </c>
      <c r="R80" s="75">
        <f t="shared" si="47"/>
        <v>-0.24231595077273402</v>
      </c>
    </row>
    <row r="81" spans="2:18">
      <c r="B81" s="81"/>
      <c r="C81">
        <v>4</v>
      </c>
      <c r="D81">
        <v>544</v>
      </c>
      <c r="E81">
        <v>1.9978672500000001</v>
      </c>
      <c r="F81" s="78"/>
      <c r="G81" s="75">
        <f t="shared" si="36"/>
        <v>0.50058230165905682</v>
      </c>
      <c r="H81" s="76">
        <f t="shared" si="37"/>
        <v>-0.4</v>
      </c>
      <c r="I81" s="75">
        <f t="shared" si="38"/>
        <v>1.6129032258064502E-2</v>
      </c>
      <c r="J81" s="75">
        <f t="shared" si="39"/>
        <v>7.8022653228837724E-2</v>
      </c>
      <c r="K81" s="76">
        <f t="shared" si="40"/>
        <v>0.15196438992358863</v>
      </c>
      <c r="L81" s="77">
        <f t="shared" si="41"/>
        <v>0.25274989696171524</v>
      </c>
      <c r="M81" s="76">
        <f t="shared" si="42"/>
        <v>0.18616640425615549</v>
      </c>
      <c r="N81" s="77">
        <f t="shared" si="43"/>
        <v>0.29973452800101064</v>
      </c>
      <c r="O81" s="76">
        <f t="shared" si="44"/>
        <v>-0.33303825306268664</v>
      </c>
      <c r="P81" s="77">
        <f t="shared" si="45"/>
        <v>0.34101315975543622</v>
      </c>
      <c r="Q81" s="76">
        <f t="shared" si="46"/>
        <v>0.15196438992358857</v>
      </c>
      <c r="R81" s="75">
        <f t="shared" si="47"/>
        <v>-0.24783240469734155</v>
      </c>
    </row>
    <row r="82" spans="2:18">
      <c r="B82" s="81"/>
      <c r="C82">
        <v>4</v>
      </c>
      <c r="D82">
        <v>576</v>
      </c>
      <c r="E82">
        <v>2.0512239999999999</v>
      </c>
      <c r="F82" s="78"/>
      <c r="G82" s="75">
        <f t="shared" si="36"/>
        <v>0.52092051600441824</v>
      </c>
      <c r="H82" s="76">
        <f t="shared" si="37"/>
        <v>-0.4</v>
      </c>
      <c r="I82" s="75">
        <f t="shared" si="38"/>
        <v>4.8387096774193505E-2</v>
      </c>
      <c r="J82" s="75">
        <f t="shared" si="39"/>
        <v>0.10150720028309923</v>
      </c>
      <c r="K82" s="76">
        <f t="shared" si="40"/>
        <v>0.18227705511023082</v>
      </c>
      <c r="L82" s="77">
        <f t="shared" si="41"/>
        <v>0.26757165738246913</v>
      </c>
      <c r="M82" s="76">
        <f t="shared" si="42"/>
        <v>0.21647906944279768</v>
      </c>
      <c r="N82" s="77">
        <f t="shared" si="43"/>
        <v>0.31455628842176453</v>
      </c>
      <c r="O82" s="76">
        <f t="shared" si="44"/>
        <v>-0.33303825306268664</v>
      </c>
      <c r="P82" s="77">
        <f t="shared" si="45"/>
        <v>0.36135137410079771</v>
      </c>
      <c r="Q82" s="76">
        <f t="shared" si="46"/>
        <v>0.18227705511023076</v>
      </c>
      <c r="R82" s="75">
        <f t="shared" si="47"/>
        <v>-0.25334885862194911</v>
      </c>
    </row>
    <row r="83" spans="2:18">
      <c r="B83" s="81"/>
      <c r="C83">
        <v>4</v>
      </c>
      <c r="D83">
        <v>608</v>
      </c>
      <c r="E83">
        <v>2.1043455</v>
      </c>
      <c r="F83" s="78"/>
      <c r="G83" s="75">
        <f t="shared" si="36"/>
        <v>0.54116905912871138</v>
      </c>
      <c r="H83" s="76">
        <f t="shared" si="37"/>
        <v>-0.4</v>
      </c>
      <c r="I83" s="75">
        <f t="shared" si="38"/>
        <v>8.064516129032262E-2</v>
      </c>
      <c r="J83" s="75">
        <f t="shared" si="39"/>
        <v>0.12488820393011602</v>
      </c>
      <c r="K83" s="76">
        <f t="shared" si="40"/>
        <v>0.21258972029687312</v>
      </c>
      <c r="L83" s="77">
        <f t="shared" si="41"/>
        <v>0.28230374658215468</v>
      </c>
      <c r="M83" s="76">
        <f t="shared" si="42"/>
        <v>0.24679173462943998</v>
      </c>
      <c r="N83" s="77">
        <f t="shared" si="43"/>
        <v>0.32928837762145008</v>
      </c>
      <c r="O83" s="76">
        <f t="shared" si="44"/>
        <v>-0.33303825306268664</v>
      </c>
      <c r="P83" s="77">
        <f t="shared" si="45"/>
        <v>0.38159991722509085</v>
      </c>
      <c r="Q83" s="76">
        <f t="shared" si="46"/>
        <v>0.21258972029687304</v>
      </c>
      <c r="R83" s="75">
        <f t="shared" si="47"/>
        <v>-0.2588653125465567</v>
      </c>
    </row>
    <row r="84" spans="2:18">
      <c r="B84" s="81"/>
      <c r="C84">
        <v>4</v>
      </c>
      <c r="D84">
        <v>640</v>
      </c>
      <c r="E84">
        <v>2.1546989999999999</v>
      </c>
      <c r="F84" s="78"/>
      <c r="G84" s="75">
        <f t="shared" si="36"/>
        <v>0.56036251217896582</v>
      </c>
      <c r="H84" s="76">
        <f t="shared" si="37"/>
        <v>-0.4</v>
      </c>
      <c r="I84" s="75">
        <f t="shared" si="38"/>
        <v>0.11290322580645162</v>
      </c>
      <c r="J84" s="75">
        <f t="shared" si="39"/>
        <v>0.1470508945006016</v>
      </c>
      <c r="K84" s="76">
        <f t="shared" si="40"/>
        <v>0.24290238548351531</v>
      </c>
      <c r="L84" s="77">
        <f t="shared" si="41"/>
        <v>0.29598074570780153</v>
      </c>
      <c r="M84" s="76">
        <f t="shared" si="42"/>
        <v>0.27710439981608215</v>
      </c>
      <c r="N84" s="77">
        <f t="shared" si="43"/>
        <v>0.34296537674709687</v>
      </c>
      <c r="O84" s="76">
        <f t="shared" si="44"/>
        <v>-0.33303825306268664</v>
      </c>
      <c r="P84" s="77">
        <f t="shared" si="45"/>
        <v>0.40079337027534523</v>
      </c>
      <c r="Q84" s="76">
        <f t="shared" si="46"/>
        <v>0.24290238548351523</v>
      </c>
      <c r="R84" s="75">
        <f t="shared" si="47"/>
        <v>-0.26438176647116429</v>
      </c>
    </row>
    <row r="85" spans="2:18">
      <c r="B85" s="81"/>
      <c r="C85">
        <v>4</v>
      </c>
      <c r="D85">
        <v>672</v>
      </c>
      <c r="E85">
        <v>2.1981894999999998</v>
      </c>
      <c r="F85" s="78"/>
      <c r="G85" s="75">
        <f t="shared" si="36"/>
        <v>0.57693996697122629</v>
      </c>
      <c r="H85" s="76">
        <f t="shared" si="37"/>
        <v>-0.4</v>
      </c>
      <c r="I85" s="75">
        <f t="shared" si="38"/>
        <v>0.14516129032258063</v>
      </c>
      <c r="J85" s="75">
        <f t="shared" si="39"/>
        <v>0.16619289047418251</v>
      </c>
      <c r="K85" s="76">
        <f t="shared" si="40"/>
        <v>0.27321505067015744</v>
      </c>
      <c r="L85" s="77">
        <f t="shared" si="41"/>
        <v>0.30704174657545447</v>
      </c>
      <c r="M85" s="76">
        <f t="shared" si="42"/>
        <v>0.30741706500272431</v>
      </c>
      <c r="N85" s="77">
        <f t="shared" si="43"/>
        <v>0.35402637761474987</v>
      </c>
      <c r="O85" s="76">
        <f t="shared" si="44"/>
        <v>-0.33303825306268664</v>
      </c>
      <c r="P85" s="77">
        <f t="shared" si="45"/>
        <v>0.4173708250676057</v>
      </c>
      <c r="Q85" s="76">
        <f t="shared" si="46"/>
        <v>0.27321505067015739</v>
      </c>
      <c r="R85" s="75">
        <f t="shared" si="47"/>
        <v>-0.26989822039577183</v>
      </c>
    </row>
    <row r="86" spans="2:18">
      <c r="B86" s="81"/>
      <c r="C86">
        <v>4</v>
      </c>
      <c r="D86">
        <v>704</v>
      </c>
      <c r="E86">
        <v>2.2614632499999998</v>
      </c>
      <c r="F86" s="78"/>
      <c r="G86" s="75">
        <f t="shared" si="36"/>
        <v>0.60105828545829332</v>
      </c>
      <c r="H86" s="76">
        <f t="shared" si="37"/>
        <v>-0.4</v>
      </c>
      <c r="I86" s="75">
        <f t="shared" si="38"/>
        <v>0.17741935483870963</v>
      </c>
      <c r="J86" s="75">
        <f t="shared" si="39"/>
        <v>0.19404232581600112</v>
      </c>
      <c r="K86" s="76">
        <f t="shared" si="40"/>
        <v>0.30352771585679961</v>
      </c>
      <c r="L86" s="77">
        <f t="shared" si="41"/>
        <v>0.32564361113791396</v>
      </c>
      <c r="M86" s="76">
        <f t="shared" si="42"/>
        <v>0.33772973018936647</v>
      </c>
      <c r="N86" s="77">
        <f t="shared" si="43"/>
        <v>0.37262824217720936</v>
      </c>
      <c r="O86" s="76">
        <f t="shared" si="44"/>
        <v>-0.33303825306268664</v>
      </c>
      <c r="P86" s="77">
        <f t="shared" si="45"/>
        <v>0.44148914355467284</v>
      </c>
      <c r="Q86" s="76">
        <f t="shared" si="46"/>
        <v>0.30352771585679955</v>
      </c>
      <c r="R86" s="75">
        <f t="shared" si="47"/>
        <v>-0.27541467432037936</v>
      </c>
    </row>
    <row r="87" spans="2:18">
      <c r="B87" s="81"/>
      <c r="C87">
        <v>4</v>
      </c>
      <c r="D87">
        <v>736</v>
      </c>
      <c r="E87">
        <v>2.3176355000000002</v>
      </c>
      <c r="F87" s="78"/>
      <c r="G87" s="75">
        <f t="shared" si="36"/>
        <v>0.62246969565027921</v>
      </c>
      <c r="H87" s="76">
        <f t="shared" si="37"/>
        <v>-0.4</v>
      </c>
      <c r="I87" s="75">
        <f t="shared" si="38"/>
        <v>0.20967741935483875</v>
      </c>
      <c r="J87" s="75">
        <f t="shared" si="39"/>
        <v>0.2187660926921462</v>
      </c>
      <c r="K87" s="76">
        <f t="shared" si="40"/>
        <v>0.33384038104344194</v>
      </c>
      <c r="L87" s="77">
        <f t="shared" si="41"/>
        <v>0.34153856740529226</v>
      </c>
      <c r="M87" s="76">
        <f t="shared" si="42"/>
        <v>0.3680423953760088</v>
      </c>
      <c r="N87" s="77">
        <f t="shared" si="43"/>
        <v>0.3885231984445876</v>
      </c>
      <c r="O87" s="76">
        <f t="shared" si="44"/>
        <v>-0.33303825306268664</v>
      </c>
      <c r="P87" s="77">
        <f t="shared" si="45"/>
        <v>0.46290055374665867</v>
      </c>
      <c r="Q87" s="76">
        <f t="shared" si="46"/>
        <v>0.33384038104344188</v>
      </c>
      <c r="R87" s="75">
        <f t="shared" si="47"/>
        <v>-0.28093112824498695</v>
      </c>
    </row>
    <row r="88" spans="2:18">
      <c r="B88" s="81"/>
      <c r="C88">
        <v>4</v>
      </c>
      <c r="D88">
        <v>768</v>
      </c>
      <c r="E88">
        <v>2.3899492499999999</v>
      </c>
      <c r="F88" s="78"/>
      <c r="G88" s="75">
        <f t="shared" si="36"/>
        <v>0.65003382854099845</v>
      </c>
      <c r="H88" s="76">
        <f t="shared" si="37"/>
        <v>-0.4</v>
      </c>
      <c r="I88" s="75">
        <f t="shared" si="38"/>
        <v>0.24193548387096775</v>
      </c>
      <c r="J88" s="75">
        <f t="shared" si="39"/>
        <v>0.25059441178101693</v>
      </c>
      <c r="K88" s="76">
        <f t="shared" si="40"/>
        <v>0.3641530462300841</v>
      </c>
      <c r="L88" s="77">
        <f t="shared" si="41"/>
        <v>0.36358624637140391</v>
      </c>
      <c r="M88" s="76">
        <f t="shared" si="42"/>
        <v>0.39835506056265096</v>
      </c>
      <c r="N88" s="77">
        <f t="shared" si="43"/>
        <v>0.41057087741069931</v>
      </c>
      <c r="O88" s="76">
        <f t="shared" si="44"/>
        <v>-0.33303825306268658</v>
      </c>
      <c r="P88" s="77">
        <f t="shared" si="45"/>
        <v>0.49046468663737791</v>
      </c>
      <c r="Q88" s="76">
        <f t="shared" si="46"/>
        <v>0.36415304623008399</v>
      </c>
      <c r="R88" s="75">
        <f t="shared" si="47"/>
        <v>-0.28644758216959454</v>
      </c>
    </row>
    <row r="89" spans="2:18">
      <c r="B89" s="81"/>
      <c r="C89">
        <v>4</v>
      </c>
      <c r="D89">
        <v>800</v>
      </c>
      <c r="E89">
        <v>2.4589007500000002</v>
      </c>
      <c r="F89" s="78"/>
      <c r="G89" s="75">
        <f t="shared" si="36"/>
        <v>0.67631635861327988</v>
      </c>
      <c r="H89" s="76">
        <f t="shared" si="37"/>
        <v>-0.4</v>
      </c>
      <c r="I89" s="75">
        <f t="shared" si="38"/>
        <v>0.27419354838709675</v>
      </c>
      <c r="J89" s="75">
        <f t="shared" si="39"/>
        <v>0.28094286340544916</v>
      </c>
      <c r="K89" s="76">
        <f t="shared" si="40"/>
        <v>0.39446571141672632</v>
      </c>
      <c r="L89" s="77">
        <f t="shared" si="41"/>
        <v>0.3843523225190778</v>
      </c>
      <c r="M89" s="76">
        <f t="shared" si="42"/>
        <v>0.42866772574929318</v>
      </c>
      <c r="N89" s="77">
        <f t="shared" si="43"/>
        <v>0.4313369535583732</v>
      </c>
      <c r="O89" s="76">
        <f t="shared" si="44"/>
        <v>-0.33303825306268658</v>
      </c>
      <c r="P89" s="77">
        <f t="shared" si="45"/>
        <v>0.5167472167096594</v>
      </c>
      <c r="Q89" s="76">
        <f t="shared" si="46"/>
        <v>0.39446571141672621</v>
      </c>
      <c r="R89" s="75">
        <f t="shared" si="47"/>
        <v>-0.29196403609420207</v>
      </c>
    </row>
    <row r="90" spans="2:18">
      <c r="B90" s="81"/>
      <c r="C90">
        <v>4</v>
      </c>
      <c r="D90">
        <v>832</v>
      </c>
      <c r="E90">
        <v>2.5192367500000001</v>
      </c>
      <c r="F90" s="78"/>
      <c r="G90" s="75">
        <f t="shared" si="36"/>
        <v>0.69931488271269993</v>
      </c>
      <c r="H90" s="76">
        <f t="shared" si="37"/>
        <v>-0.4</v>
      </c>
      <c r="I90" s="75">
        <f t="shared" si="38"/>
        <v>0.30645161290322576</v>
      </c>
      <c r="J90" s="75">
        <f t="shared" si="39"/>
        <v>0.30749927156497769</v>
      </c>
      <c r="K90" s="76">
        <f t="shared" si="40"/>
        <v>0.42477837660336853</v>
      </c>
      <c r="L90" s="77">
        <f t="shared" si="41"/>
        <v>0.40183439269389032</v>
      </c>
      <c r="M90" s="76">
        <f t="shared" si="42"/>
        <v>0.4589803909359354</v>
      </c>
      <c r="N90" s="77">
        <f t="shared" si="43"/>
        <v>0.44881902373318566</v>
      </c>
      <c r="O90" s="76">
        <f t="shared" si="44"/>
        <v>-0.33303825306268658</v>
      </c>
      <c r="P90" s="77">
        <f t="shared" si="45"/>
        <v>0.53974574080907933</v>
      </c>
      <c r="Q90" s="76">
        <f t="shared" si="46"/>
        <v>0.42477837660336842</v>
      </c>
      <c r="R90" s="75">
        <f t="shared" si="47"/>
        <v>-0.29748049001880961</v>
      </c>
    </row>
    <row r="91" spans="2:18">
      <c r="B91" s="81"/>
      <c r="C91">
        <v>4</v>
      </c>
      <c r="D91">
        <v>864</v>
      </c>
      <c r="E91">
        <v>2.5916062499999999</v>
      </c>
      <c r="F91" s="78"/>
      <c r="G91" s="75">
        <f t="shared" si="36"/>
        <v>0.72690026606282221</v>
      </c>
      <c r="H91" s="76">
        <f t="shared" si="37"/>
        <v>-0.4</v>
      </c>
      <c r="I91" s="75">
        <f t="shared" si="38"/>
        <v>0.33870967741935487</v>
      </c>
      <c r="J91" s="75">
        <f t="shared" si="39"/>
        <v>0.33935212857076191</v>
      </c>
      <c r="K91" s="76">
        <f t="shared" si="40"/>
        <v>0.45509104179001075</v>
      </c>
      <c r="L91" s="77">
        <f t="shared" si="41"/>
        <v>0.42390332211940501</v>
      </c>
      <c r="M91" s="76">
        <f t="shared" si="42"/>
        <v>0.48929305612257762</v>
      </c>
      <c r="N91" s="77">
        <f t="shared" si="43"/>
        <v>0.47088795315870036</v>
      </c>
      <c r="O91" s="76">
        <f t="shared" si="44"/>
        <v>-0.33303825306268658</v>
      </c>
      <c r="P91" s="77">
        <f t="shared" si="45"/>
        <v>0.56733112415920162</v>
      </c>
      <c r="Q91" s="76">
        <f t="shared" si="46"/>
        <v>0.45509104179001064</v>
      </c>
      <c r="R91" s="75">
        <f t="shared" si="47"/>
        <v>-0.3029969439434172</v>
      </c>
    </row>
    <row r="92" spans="2:18">
      <c r="B92" s="81"/>
      <c r="C92">
        <v>4</v>
      </c>
      <c r="D92">
        <v>896</v>
      </c>
      <c r="E92">
        <v>2.6632864999999999</v>
      </c>
      <c r="F92" s="78"/>
      <c r="G92" s="75">
        <f t="shared" si="36"/>
        <v>0.75422292512337419</v>
      </c>
      <c r="H92" s="76">
        <f t="shared" si="37"/>
        <v>-0.4</v>
      </c>
      <c r="I92" s="75">
        <f t="shared" si="38"/>
        <v>0.37096774193548387</v>
      </c>
      <c r="J92" s="75">
        <f t="shared" si="39"/>
        <v>0.37090161769793395</v>
      </c>
      <c r="K92" s="76">
        <f t="shared" si="40"/>
        <v>0.48540370697665297</v>
      </c>
      <c r="L92" s="77">
        <f t="shared" si="41"/>
        <v>0.4457095272553494</v>
      </c>
      <c r="M92" s="76">
        <f t="shared" si="42"/>
        <v>0.51960572130921978</v>
      </c>
      <c r="N92" s="77">
        <f t="shared" si="43"/>
        <v>0.49269415829464475</v>
      </c>
      <c r="O92" s="76">
        <f t="shared" si="44"/>
        <v>-0.33303825306268658</v>
      </c>
      <c r="P92" s="77">
        <f t="shared" si="45"/>
        <v>0.5946537832197536</v>
      </c>
      <c r="Q92" s="76">
        <f t="shared" si="46"/>
        <v>0.48540370697665286</v>
      </c>
      <c r="R92" s="75">
        <f t="shared" si="47"/>
        <v>-0.30851339786802479</v>
      </c>
    </row>
    <row r="93" spans="2:18">
      <c r="B93" s="81"/>
      <c r="C93">
        <v>4</v>
      </c>
      <c r="D93">
        <v>928</v>
      </c>
      <c r="E93">
        <v>2.7372494999999999</v>
      </c>
      <c r="F93" s="78"/>
      <c r="G93" s="75">
        <f t="shared" si="36"/>
        <v>0.78241570949697214</v>
      </c>
      <c r="H93" s="76">
        <f t="shared" si="37"/>
        <v>-0.4</v>
      </c>
      <c r="I93" s="75">
        <f t="shared" si="38"/>
        <v>0.40322580645161288</v>
      </c>
      <c r="J93" s="75">
        <f t="shared" si="39"/>
        <v>0.40345584099253773</v>
      </c>
      <c r="K93" s="76">
        <f t="shared" si="40"/>
        <v>0.51571637216329502</v>
      </c>
      <c r="L93" s="77">
        <f t="shared" si="41"/>
        <v>0.46838585770433983</v>
      </c>
      <c r="M93" s="76">
        <f t="shared" si="42"/>
        <v>0.54991838649586189</v>
      </c>
      <c r="N93" s="77">
        <f t="shared" si="43"/>
        <v>0.51537048874363522</v>
      </c>
      <c r="O93" s="76">
        <f t="shared" si="44"/>
        <v>-0.33303825306268658</v>
      </c>
      <c r="P93" s="77">
        <f t="shared" si="45"/>
        <v>0.62284656759335166</v>
      </c>
      <c r="Q93" s="76">
        <f t="shared" si="46"/>
        <v>0.51571637216329491</v>
      </c>
      <c r="R93" s="75">
        <f t="shared" si="47"/>
        <v>-0.31402985179263232</v>
      </c>
    </row>
    <row r="94" spans="2:18">
      <c r="B94" s="81"/>
      <c r="C94">
        <v>4</v>
      </c>
      <c r="D94">
        <v>960</v>
      </c>
      <c r="E94">
        <v>2.8088715</v>
      </c>
      <c r="F94" s="78"/>
      <c r="G94" s="75">
        <f t="shared" si="36"/>
        <v>0.80971616516272171</v>
      </c>
      <c r="H94" s="76">
        <f t="shared" si="37"/>
        <v>-0.4</v>
      </c>
      <c r="I94" s="75">
        <f t="shared" si="38"/>
        <v>0.43548387096774188</v>
      </c>
      <c r="J94" s="75">
        <f t="shared" si="39"/>
        <v>0.43497969184777763</v>
      </c>
      <c r="K94" s="76">
        <f t="shared" si="40"/>
        <v>0.54602903734993724</v>
      </c>
      <c r="L94" s="77">
        <f t="shared" si="41"/>
        <v>0.49016985944548186</v>
      </c>
      <c r="M94" s="76">
        <f t="shared" si="42"/>
        <v>0.58023105168250411</v>
      </c>
      <c r="N94" s="77">
        <f t="shared" si="43"/>
        <v>0.53715449048477715</v>
      </c>
      <c r="O94" s="76">
        <f t="shared" si="44"/>
        <v>-0.33303825306268658</v>
      </c>
      <c r="P94" s="77">
        <f t="shared" si="45"/>
        <v>0.65014702325910112</v>
      </c>
      <c r="Q94" s="76">
        <f t="shared" si="46"/>
        <v>0.54602903734993713</v>
      </c>
      <c r="R94" s="75">
        <f t="shared" si="47"/>
        <v>-0.31954630571723985</v>
      </c>
    </row>
    <row r="95" spans="2:18">
      <c r="B95" s="81"/>
      <c r="C95">
        <v>4</v>
      </c>
      <c r="D95">
        <v>992</v>
      </c>
      <c r="E95">
        <v>2.8816510000000002</v>
      </c>
      <c r="F95" s="78"/>
      <c r="G95" s="75">
        <f t="shared" si="36"/>
        <v>0.83745782991831952</v>
      </c>
      <c r="H95" s="76">
        <f t="shared" si="37"/>
        <v>-0.4</v>
      </c>
      <c r="I95" s="75">
        <f t="shared" si="38"/>
        <v>0.467741935483871</v>
      </c>
      <c r="J95" s="75">
        <f t="shared" si="39"/>
        <v>0.4670130070766032</v>
      </c>
      <c r="K95" s="76">
        <f t="shared" si="40"/>
        <v>0.57634170253657968</v>
      </c>
      <c r="L95" s="77">
        <f t="shared" si="41"/>
        <v>0.51239507027647213</v>
      </c>
      <c r="M95" s="76">
        <f t="shared" si="42"/>
        <v>0.61054371686914655</v>
      </c>
      <c r="N95" s="77">
        <f t="shared" si="43"/>
        <v>0.55937970131576753</v>
      </c>
      <c r="O95" s="76">
        <f t="shared" si="44"/>
        <v>-0.33303825306268658</v>
      </c>
      <c r="P95" s="77">
        <f t="shared" si="45"/>
        <v>0.67788868801469904</v>
      </c>
      <c r="Q95" s="76">
        <f t="shared" si="46"/>
        <v>0.57634170253657946</v>
      </c>
      <c r="R95" s="75">
        <f t="shared" si="47"/>
        <v>-0.32506275964184744</v>
      </c>
    </row>
    <row r="96" spans="2:18">
      <c r="B96" s="81"/>
      <c r="C96">
        <v>4</v>
      </c>
      <c r="D96">
        <v>1024</v>
      </c>
      <c r="E96">
        <v>2.9525605000000001</v>
      </c>
      <c r="F96" s="78"/>
      <c r="G96" s="75">
        <f t="shared" si="36"/>
        <v>0.86448669899528574</v>
      </c>
      <c r="H96" s="76">
        <f t="shared" si="37"/>
        <v>-0.4</v>
      </c>
      <c r="I96" s="75">
        <f t="shared" si="38"/>
        <v>0.5</v>
      </c>
      <c r="J96" s="75">
        <f t="shared" si="39"/>
        <v>0.49822325675155832</v>
      </c>
      <c r="K96" s="76">
        <f t="shared" si="40"/>
        <v>0.60665436772322179</v>
      </c>
      <c r="L96" s="77">
        <f t="shared" si="41"/>
        <v>0.53390748542883071</v>
      </c>
      <c r="M96" s="76">
        <f t="shared" si="42"/>
        <v>0.64085638205578865</v>
      </c>
      <c r="N96" s="77">
        <f t="shared" si="43"/>
        <v>0.58089211646812611</v>
      </c>
      <c r="O96" s="76">
        <f t="shared" si="44"/>
        <v>-0.33303825306268658</v>
      </c>
      <c r="P96" s="77">
        <f t="shared" si="45"/>
        <v>0.70491755709166526</v>
      </c>
      <c r="Q96" s="76">
        <f t="shared" si="46"/>
        <v>0.60665436772322157</v>
      </c>
      <c r="R96" s="75">
        <f t="shared" si="47"/>
        <v>-0.33057921356645503</v>
      </c>
    </row>
    <row r="97" spans="2:18">
      <c r="B97" s="81"/>
      <c r="C97">
        <v>6</v>
      </c>
      <c r="D97">
        <v>32</v>
      </c>
      <c r="E97">
        <v>0.68460325</v>
      </c>
      <c r="F97" s="78"/>
      <c r="G97" s="75">
        <f t="shared" si="36"/>
        <v>0</v>
      </c>
      <c r="H97" s="76">
        <f t="shared" si="37"/>
        <v>-0.3</v>
      </c>
      <c r="I97" s="75">
        <f t="shared" si="38"/>
        <v>-0.5</v>
      </c>
      <c r="J97" s="75">
        <f t="shared" si="39"/>
        <v>-0.5</v>
      </c>
      <c r="K97" s="76">
        <f t="shared" si="40"/>
        <v>-0.36724026739525356</v>
      </c>
      <c r="L97" s="77">
        <f t="shared" si="41"/>
        <v>-0.20655377294291596</v>
      </c>
      <c r="M97" s="76">
        <f t="shared" si="42"/>
        <v>-0.29883623873011983</v>
      </c>
      <c r="N97" s="77">
        <f t="shared" si="43"/>
        <v>-0.11258451086432519</v>
      </c>
      <c r="O97" s="76">
        <f t="shared" si="44"/>
        <v>-0.36724026739525356</v>
      </c>
      <c r="P97" s="77">
        <f t="shared" si="45"/>
        <v>-0.20655377294291596</v>
      </c>
      <c r="Q97" s="76">
        <f t="shared" si="46"/>
        <v>-0.36724026739525356</v>
      </c>
      <c r="R97" s="75">
        <f t="shared" si="47"/>
        <v>-0.20655377294291596</v>
      </c>
    </row>
    <row r="98" spans="2:18">
      <c r="B98" s="81"/>
      <c r="C98">
        <v>6</v>
      </c>
      <c r="D98">
        <v>64</v>
      </c>
      <c r="E98">
        <v>0.77628775000000005</v>
      </c>
      <c r="F98" s="78"/>
      <c r="G98" s="75">
        <f t="shared" si="36"/>
        <v>3.4947762244651348E-2</v>
      </c>
      <c r="H98" s="76">
        <f t="shared" si="37"/>
        <v>-0.3</v>
      </c>
      <c r="I98" s="75">
        <f t="shared" si="38"/>
        <v>-0.467741935483871</v>
      </c>
      <c r="J98" s="75">
        <f t="shared" si="39"/>
        <v>-0.45964580012095102</v>
      </c>
      <c r="K98" s="76">
        <f t="shared" si="40"/>
        <v>-0.3369276022086114</v>
      </c>
      <c r="L98" s="77">
        <f t="shared" si="41"/>
        <v>-0.17712246462287218</v>
      </c>
      <c r="M98" s="76">
        <f t="shared" si="42"/>
        <v>-0.26852357354347761</v>
      </c>
      <c r="N98" s="77">
        <f t="shared" si="43"/>
        <v>-8.3153202544281435E-2</v>
      </c>
      <c r="O98" s="76">
        <f t="shared" si="44"/>
        <v>-0.36724026739525356</v>
      </c>
      <c r="P98" s="77">
        <f t="shared" si="45"/>
        <v>-0.17160601069826462</v>
      </c>
      <c r="Q98" s="76">
        <f t="shared" si="46"/>
        <v>-0.3369276022086114</v>
      </c>
      <c r="R98" s="75">
        <f t="shared" si="47"/>
        <v>-0.21207022686752353</v>
      </c>
    </row>
    <row r="99" spans="2:18">
      <c r="B99" s="81"/>
      <c r="C99">
        <v>6</v>
      </c>
      <c r="D99">
        <v>96</v>
      </c>
      <c r="E99">
        <v>1.0136075</v>
      </c>
      <c r="F99" s="78"/>
      <c r="G99" s="75">
        <f t="shared" si="36"/>
        <v>0.12540791853017502</v>
      </c>
      <c r="H99" s="76">
        <f t="shared" si="37"/>
        <v>-0.3</v>
      </c>
      <c r="I99" s="75">
        <f t="shared" si="38"/>
        <v>-0.43548387096774194</v>
      </c>
      <c r="J99" s="75">
        <f t="shared" si="39"/>
        <v>-0.35519140895618562</v>
      </c>
      <c r="K99" s="76">
        <f t="shared" si="40"/>
        <v>-0.30661493702196918</v>
      </c>
      <c r="L99" s="77">
        <f t="shared" si="41"/>
        <v>-9.2178762261956065E-2</v>
      </c>
      <c r="M99" s="76">
        <f t="shared" si="42"/>
        <v>-0.23821090835683542</v>
      </c>
      <c r="N99" s="77">
        <f t="shared" si="43"/>
        <v>1.7904998166347053E-3</v>
      </c>
      <c r="O99" s="76">
        <f t="shared" si="44"/>
        <v>-0.36724026739525356</v>
      </c>
      <c r="P99" s="77">
        <f t="shared" si="45"/>
        <v>-8.1145854412740942E-2</v>
      </c>
      <c r="Q99" s="76">
        <f t="shared" si="46"/>
        <v>-0.30661493702196918</v>
      </c>
      <c r="R99" s="75">
        <f t="shared" si="47"/>
        <v>-0.21758668079213109</v>
      </c>
    </row>
    <row r="100" spans="2:18">
      <c r="B100" s="81"/>
      <c r="C100">
        <v>6</v>
      </c>
      <c r="D100">
        <v>128</v>
      </c>
      <c r="E100">
        <v>1.27285325</v>
      </c>
      <c r="F100" s="78"/>
      <c r="G100" s="75">
        <f t="shared" si="36"/>
        <v>0.224225699441194</v>
      </c>
      <c r="H100" s="76">
        <f t="shared" si="37"/>
        <v>-0.3</v>
      </c>
      <c r="I100" s="75">
        <f t="shared" si="38"/>
        <v>-0.40322580645161288</v>
      </c>
      <c r="J100" s="75">
        <f t="shared" si="39"/>
        <v>-0.24108646413678908</v>
      </c>
      <c r="K100" s="76">
        <f t="shared" si="40"/>
        <v>-0.27630227183532691</v>
      </c>
      <c r="L100" s="77">
        <f t="shared" si="41"/>
        <v>1.1225647244553494E-3</v>
      </c>
      <c r="M100" s="76">
        <f t="shared" si="42"/>
        <v>-0.20789824317019312</v>
      </c>
      <c r="N100" s="77">
        <f t="shared" si="43"/>
        <v>9.5091826803046092E-2</v>
      </c>
      <c r="O100" s="76">
        <f t="shared" si="44"/>
        <v>-0.36724026739525356</v>
      </c>
      <c r="P100" s="77">
        <f t="shared" si="45"/>
        <v>1.7671926498278034E-2</v>
      </c>
      <c r="Q100" s="76">
        <f t="shared" si="46"/>
        <v>-0.27630227183532691</v>
      </c>
      <c r="R100" s="75">
        <f t="shared" si="47"/>
        <v>-0.22310313471673865</v>
      </c>
    </row>
    <row r="101" spans="2:18">
      <c r="B101" s="81"/>
      <c r="C101">
        <v>6</v>
      </c>
      <c r="D101">
        <v>160</v>
      </c>
      <c r="E101">
        <v>1.5709387500000001</v>
      </c>
      <c r="F101" s="78"/>
      <c r="G101" s="75">
        <f t="shared" si="36"/>
        <v>0.3378481894212671</v>
      </c>
      <c r="H101" s="76">
        <f t="shared" si="37"/>
        <v>-0.3</v>
      </c>
      <c r="I101" s="75">
        <f t="shared" si="38"/>
        <v>-0.37096774193548387</v>
      </c>
      <c r="J101" s="75">
        <f t="shared" si="39"/>
        <v>-0.10988651378480757</v>
      </c>
      <c r="K101" s="76">
        <f t="shared" si="40"/>
        <v>-0.24598960664868469</v>
      </c>
      <c r="L101" s="77">
        <f t="shared" si="41"/>
        <v>0.10922860077992087</v>
      </c>
      <c r="M101" s="76">
        <f t="shared" si="42"/>
        <v>-0.17758557798355093</v>
      </c>
      <c r="N101" s="77">
        <f t="shared" si="43"/>
        <v>0.20319786285851166</v>
      </c>
      <c r="O101" s="76">
        <f t="shared" si="44"/>
        <v>-0.36724026739525351</v>
      </c>
      <c r="P101" s="77">
        <f t="shared" si="45"/>
        <v>0.13129441647835111</v>
      </c>
      <c r="Q101" s="76">
        <f t="shared" si="46"/>
        <v>-0.24598960664868474</v>
      </c>
      <c r="R101" s="75">
        <f t="shared" si="47"/>
        <v>-0.22861958864134621</v>
      </c>
    </row>
    <row r="102" spans="2:18">
      <c r="B102" s="81"/>
      <c r="C102">
        <v>6</v>
      </c>
      <c r="D102">
        <v>192</v>
      </c>
      <c r="E102">
        <v>1.6677507499999999</v>
      </c>
      <c r="F102" s="78"/>
      <c r="G102" s="75">
        <f t="shared" si="36"/>
        <v>0.37475042216975984</v>
      </c>
      <c r="H102" s="76">
        <f t="shared" si="37"/>
        <v>-0.3</v>
      </c>
      <c r="I102" s="75">
        <f t="shared" si="38"/>
        <v>-0.33870967741935487</v>
      </c>
      <c r="J102" s="75">
        <f t="shared" si="39"/>
        <v>-6.7275485762726572E-2</v>
      </c>
      <c r="K102" s="76">
        <f t="shared" si="40"/>
        <v>-0.21567694146204253</v>
      </c>
      <c r="L102" s="77">
        <f t="shared" si="41"/>
        <v>0.14061437960380604</v>
      </c>
      <c r="M102" s="76">
        <f t="shared" si="42"/>
        <v>-0.14727291279690877</v>
      </c>
      <c r="N102" s="77">
        <f t="shared" si="43"/>
        <v>0.23458364168239679</v>
      </c>
      <c r="O102" s="76">
        <f t="shared" si="44"/>
        <v>-0.36724026739525351</v>
      </c>
      <c r="P102" s="77">
        <f t="shared" si="45"/>
        <v>0.16819664922684385</v>
      </c>
      <c r="Q102" s="76">
        <f t="shared" si="46"/>
        <v>-0.21567694146204258</v>
      </c>
      <c r="R102" s="75">
        <f t="shared" si="47"/>
        <v>-0.23413604256595377</v>
      </c>
    </row>
    <row r="103" spans="2:18">
      <c r="B103" s="81"/>
      <c r="C103">
        <v>6</v>
      </c>
      <c r="D103">
        <v>224</v>
      </c>
      <c r="E103">
        <v>1.71198275</v>
      </c>
      <c r="F103" s="78"/>
      <c r="G103" s="75">
        <f t="shared" si="36"/>
        <v>0.39161051760143495</v>
      </c>
      <c r="H103" s="76">
        <f t="shared" si="37"/>
        <v>-0.3</v>
      </c>
      <c r="I103" s="75">
        <f t="shared" si="38"/>
        <v>-0.30645161290322581</v>
      </c>
      <c r="J103" s="75">
        <f t="shared" si="39"/>
        <v>-4.780712449064578E-2</v>
      </c>
      <c r="K103" s="76">
        <f t="shared" si="40"/>
        <v>-0.18536427627540031</v>
      </c>
      <c r="L103" s="77">
        <f t="shared" si="41"/>
        <v>0.15195802111087359</v>
      </c>
      <c r="M103" s="76">
        <f t="shared" si="42"/>
        <v>-0.11696024761026655</v>
      </c>
      <c r="N103" s="77">
        <f t="shared" si="43"/>
        <v>0.24592728318946436</v>
      </c>
      <c r="O103" s="76">
        <f t="shared" si="44"/>
        <v>-0.36724026739525351</v>
      </c>
      <c r="P103" s="77">
        <f t="shared" si="45"/>
        <v>0.18505674465851896</v>
      </c>
      <c r="Q103" s="76">
        <f t="shared" si="46"/>
        <v>-0.18536427627540036</v>
      </c>
      <c r="R103" s="75">
        <f t="shared" si="47"/>
        <v>-0.23965249649056133</v>
      </c>
    </row>
    <row r="104" spans="2:18">
      <c r="B104" s="81"/>
      <c r="C104">
        <v>6</v>
      </c>
      <c r="D104">
        <v>256</v>
      </c>
      <c r="E104">
        <v>1.7709597500000001</v>
      </c>
      <c r="F104" s="78"/>
      <c r="G104" s="75">
        <f t="shared" ref="G104:G135" si="48">D$19*(L104-R104)</f>
        <v>0.41409102601782816</v>
      </c>
      <c r="H104" s="76">
        <f t="shared" ref="H104:H135" si="49">(C104-H$16)/H$17-0.5</f>
        <v>-0.3</v>
      </c>
      <c r="I104" s="75">
        <f t="shared" ref="I104:I135" si="50">(D104-I$16)/I$17-0.5</f>
        <v>-0.27419354838709675</v>
      </c>
      <c r="J104" s="75">
        <f t="shared" ref="J104:J135" si="51">(E104-J$16)/J$17-0.5</f>
        <v>-2.1848869319197217E-2</v>
      </c>
      <c r="K104" s="76">
        <f t="shared" ref="K104:K135" si="52">(H104*$H$13+I104*$I$13+J104*$J$13+$D$27)*$C$27</f>
        <v>-0.15505161108875803</v>
      </c>
      <c r="L104" s="77">
        <f t="shared" ref="L104:L135" si="53">(H104*$H$14+I104*$I$14+J104*$J$14+$E$27)*$C$27</f>
        <v>0.16892207560265926</v>
      </c>
      <c r="M104" s="76">
        <f t="shared" ref="M104:M135" si="54">(H$27*$H$13+I104*$I$13+J104*$J$13+$D$27)*$C$27</f>
        <v>-8.6647582423624275E-2</v>
      </c>
      <c r="N104" s="77">
        <f t="shared" ref="N104:N135" si="55">(H$27*$H$14+I104*$I$14+J104*$J$14+$E$27)*$C$27</f>
        <v>0.26289133768125</v>
      </c>
      <c r="O104" s="76">
        <f t="shared" ref="O104:O135" si="56">(H104*$H$13+I$27*$I$13+J104*$J$13+$D$27)*$C$27</f>
        <v>-0.36724026739525351</v>
      </c>
      <c r="P104" s="77">
        <f t="shared" ref="P104:P135" si="57">(H104*$H$14+I$27*$I$14+J104*$J$14+$E$27)*$C$27</f>
        <v>0.20753725307491219</v>
      </c>
      <c r="Q104" s="76">
        <f t="shared" ref="Q104:Q135" si="58">(H104*$H$13+I104*$I$13+J$27*$J$13+$D$27)*$C$27</f>
        <v>-0.15505161108875809</v>
      </c>
      <c r="R104" s="75">
        <f t="shared" ref="R104:R135" si="59">(H104*$H$14+I104*$I$14+J$27*$J$14+$E$27)*$C$27</f>
        <v>-0.2451689504151689</v>
      </c>
    </row>
    <row r="105" spans="2:18">
      <c r="B105" s="81"/>
      <c r="C105">
        <v>6</v>
      </c>
      <c r="D105">
        <v>288</v>
      </c>
      <c r="E105">
        <v>1.8297887500000001</v>
      </c>
      <c r="F105" s="78"/>
      <c r="G105" s="75">
        <f t="shared" si="48"/>
        <v>0.43651512065858644</v>
      </c>
      <c r="H105" s="76">
        <f t="shared" si="49"/>
        <v>-0.3</v>
      </c>
      <c r="I105" s="75">
        <f t="shared" si="50"/>
        <v>-0.24193548387096775</v>
      </c>
      <c r="J105" s="75">
        <f t="shared" si="51"/>
        <v>4.0442448351536431E-3</v>
      </c>
      <c r="K105" s="76">
        <f t="shared" si="52"/>
        <v>-0.12473894590211589</v>
      </c>
      <c r="L105" s="77">
        <f t="shared" si="53"/>
        <v>0.18582971631880996</v>
      </c>
      <c r="M105" s="76">
        <f t="shared" si="54"/>
        <v>-5.6334917236982113E-2</v>
      </c>
      <c r="N105" s="77">
        <f t="shared" si="55"/>
        <v>0.27979897839740075</v>
      </c>
      <c r="O105" s="76">
        <f t="shared" si="56"/>
        <v>-0.36724026739525351</v>
      </c>
      <c r="P105" s="77">
        <f t="shared" si="57"/>
        <v>0.22996134771567045</v>
      </c>
      <c r="Q105" s="76">
        <f t="shared" si="58"/>
        <v>-0.12473894590211594</v>
      </c>
      <c r="R105" s="75">
        <f t="shared" si="59"/>
        <v>-0.25068540433977649</v>
      </c>
    </row>
    <row r="106" spans="2:18">
      <c r="B106" s="81"/>
      <c r="C106">
        <v>6</v>
      </c>
      <c r="D106">
        <v>320</v>
      </c>
      <c r="E106">
        <v>1.9037522499999999</v>
      </c>
      <c r="F106" s="78"/>
      <c r="G106" s="75">
        <f t="shared" si="48"/>
        <v>0.46470809561926413</v>
      </c>
      <c r="H106" s="76">
        <f t="shared" si="49"/>
        <v>-0.3</v>
      </c>
      <c r="I106" s="75">
        <f t="shared" si="50"/>
        <v>-0.20967741935483869</v>
      </c>
      <c r="J106" s="75">
        <f t="shared" si="51"/>
        <v>3.6598688200760954E-2</v>
      </c>
      <c r="K106" s="76">
        <f t="shared" si="52"/>
        <v>-9.4426280715473668E-2</v>
      </c>
      <c r="L106" s="77">
        <f t="shared" si="53"/>
        <v>0.20850623735488011</v>
      </c>
      <c r="M106" s="76">
        <f t="shared" si="54"/>
        <v>-2.6022252050339891E-2</v>
      </c>
      <c r="N106" s="77">
        <f t="shared" si="55"/>
        <v>0.30247549943347085</v>
      </c>
      <c r="O106" s="76">
        <f t="shared" si="56"/>
        <v>-0.36724026739525351</v>
      </c>
      <c r="P106" s="77">
        <f t="shared" si="57"/>
        <v>0.25815432267634819</v>
      </c>
      <c r="Q106" s="76">
        <f t="shared" si="58"/>
        <v>-9.4426280715473723E-2</v>
      </c>
      <c r="R106" s="75">
        <f t="shared" si="59"/>
        <v>-0.25620185826438402</v>
      </c>
    </row>
    <row r="107" spans="2:18">
      <c r="B107" s="81"/>
      <c r="C107">
        <v>6</v>
      </c>
      <c r="D107">
        <v>352</v>
      </c>
      <c r="E107">
        <v>1.96228125</v>
      </c>
      <c r="F107" s="78"/>
      <c r="G107" s="75">
        <f t="shared" si="48"/>
        <v>0.48701783801211351</v>
      </c>
      <c r="H107" s="76">
        <f t="shared" si="49"/>
        <v>-0.3</v>
      </c>
      <c r="I107" s="75">
        <f t="shared" si="50"/>
        <v>-0.17741935483870969</v>
      </c>
      <c r="J107" s="75">
        <f t="shared" si="51"/>
        <v>6.2359759752886545E-2</v>
      </c>
      <c r="K107" s="76">
        <f t="shared" si="52"/>
        <v>-6.4113615528831464E-2</v>
      </c>
      <c r="L107" s="77">
        <f t="shared" si="53"/>
        <v>0.22529952582312193</v>
      </c>
      <c r="M107" s="76">
        <f t="shared" si="54"/>
        <v>4.2904131363023035E-3</v>
      </c>
      <c r="N107" s="77">
        <f t="shared" si="55"/>
        <v>0.3192687879017127</v>
      </c>
      <c r="O107" s="76">
        <f t="shared" si="56"/>
        <v>-0.36724026739525351</v>
      </c>
      <c r="P107" s="77">
        <f t="shared" si="57"/>
        <v>0.28046406506919752</v>
      </c>
      <c r="Q107" s="76">
        <f t="shared" si="58"/>
        <v>-6.4113615528831533E-2</v>
      </c>
      <c r="R107" s="75">
        <f t="shared" si="59"/>
        <v>-0.26171831218899155</v>
      </c>
    </row>
    <row r="108" spans="2:18">
      <c r="B108" s="81"/>
      <c r="C108">
        <v>6</v>
      </c>
      <c r="D108">
        <v>384</v>
      </c>
      <c r="E108">
        <v>2.0520147500000001</v>
      </c>
      <c r="F108" s="78"/>
      <c r="G108" s="75">
        <f t="shared" si="48"/>
        <v>0.52122192947119794</v>
      </c>
      <c r="H108" s="76">
        <f t="shared" si="49"/>
        <v>-0.3</v>
      </c>
      <c r="I108" s="75">
        <f t="shared" si="50"/>
        <v>-0.14516129032258063</v>
      </c>
      <c r="J108" s="75">
        <f t="shared" si="51"/>
        <v>0.10185524257546452</v>
      </c>
      <c r="K108" s="76">
        <f t="shared" si="52"/>
        <v>-3.3800950342189245E-2</v>
      </c>
      <c r="L108" s="77">
        <f t="shared" si="53"/>
        <v>0.25398716335759886</v>
      </c>
      <c r="M108" s="76">
        <f t="shared" si="54"/>
        <v>3.4603078322944528E-2</v>
      </c>
      <c r="N108" s="77">
        <f t="shared" si="55"/>
        <v>0.34795642543618954</v>
      </c>
      <c r="O108" s="76">
        <f t="shared" si="56"/>
        <v>-0.36724026739525351</v>
      </c>
      <c r="P108" s="77">
        <f t="shared" si="57"/>
        <v>0.31466815652828201</v>
      </c>
      <c r="Q108" s="76">
        <f t="shared" si="58"/>
        <v>-3.3800950342189322E-2</v>
      </c>
      <c r="R108" s="75">
        <f t="shared" si="59"/>
        <v>-0.26723476611359914</v>
      </c>
    </row>
    <row r="109" spans="2:18">
      <c r="B109" s="81"/>
      <c r="C109">
        <v>6</v>
      </c>
      <c r="D109">
        <v>416</v>
      </c>
      <c r="E109">
        <v>2.1247772500000002</v>
      </c>
      <c r="F109" s="78"/>
      <c r="G109" s="75">
        <f t="shared" si="48"/>
        <v>0.54895711426608096</v>
      </c>
      <c r="H109" s="76">
        <f t="shared" si="49"/>
        <v>-0.3</v>
      </c>
      <c r="I109" s="75">
        <f t="shared" si="50"/>
        <v>-0.11290322580645162</v>
      </c>
      <c r="J109" s="75">
        <f t="shared" si="51"/>
        <v>0.13388107539016392</v>
      </c>
      <c r="K109" s="76">
        <f t="shared" si="52"/>
        <v>-3.4882851555470664E-3</v>
      </c>
      <c r="L109" s="77">
        <f t="shared" si="53"/>
        <v>0.27620589422787423</v>
      </c>
      <c r="M109" s="76">
        <f t="shared" si="54"/>
        <v>6.4915743509586704E-2</v>
      </c>
      <c r="N109" s="77">
        <f t="shared" si="55"/>
        <v>0.37017515630646503</v>
      </c>
      <c r="O109" s="76">
        <f t="shared" si="56"/>
        <v>-0.36724026739525351</v>
      </c>
      <c r="P109" s="77">
        <f t="shared" si="57"/>
        <v>0.34240334132316497</v>
      </c>
      <c r="Q109" s="76">
        <f t="shared" si="58"/>
        <v>-3.488285155547144E-3</v>
      </c>
      <c r="R109" s="75">
        <f t="shared" si="59"/>
        <v>-0.27275122003820673</v>
      </c>
    </row>
    <row r="110" spans="2:18">
      <c r="B110" s="81"/>
      <c r="C110">
        <v>6</v>
      </c>
      <c r="D110">
        <v>448</v>
      </c>
      <c r="E110">
        <v>2.1988132500000002</v>
      </c>
      <c r="F110" s="78"/>
      <c r="G110" s="75">
        <f t="shared" si="48"/>
        <v>0.57717772435333681</v>
      </c>
      <c r="H110" s="76">
        <f t="shared" si="49"/>
        <v>-0.3</v>
      </c>
      <c r="I110" s="75">
        <f t="shared" si="50"/>
        <v>-8.0645161290322565E-2</v>
      </c>
      <c r="J110" s="75">
        <f t="shared" si="51"/>
        <v>0.16646742905130918</v>
      </c>
      <c r="K110" s="76">
        <f t="shared" si="52"/>
        <v>2.682438003109517E-2</v>
      </c>
      <c r="L110" s="77">
        <f t="shared" si="53"/>
        <v>0.29891005039052254</v>
      </c>
      <c r="M110" s="76">
        <f t="shared" si="54"/>
        <v>9.5228408696228936E-2</v>
      </c>
      <c r="N110" s="77">
        <f t="shared" si="55"/>
        <v>0.39287931246911323</v>
      </c>
      <c r="O110" s="76">
        <f t="shared" si="56"/>
        <v>-0.36724026739525351</v>
      </c>
      <c r="P110" s="77">
        <f t="shared" si="57"/>
        <v>0.37062395141042082</v>
      </c>
      <c r="Q110" s="76">
        <f t="shared" si="58"/>
        <v>2.6824380031095087E-2</v>
      </c>
      <c r="R110" s="75">
        <f t="shared" si="59"/>
        <v>-0.27826767396281427</v>
      </c>
    </row>
    <row r="111" spans="2:18">
      <c r="B111" s="81"/>
      <c r="C111">
        <v>6</v>
      </c>
      <c r="D111">
        <v>480</v>
      </c>
      <c r="E111">
        <v>2.2927712499999999</v>
      </c>
      <c r="F111" s="78"/>
      <c r="G111" s="75">
        <f t="shared" si="48"/>
        <v>0.61299208605005695</v>
      </c>
      <c r="H111" s="76">
        <f t="shared" si="49"/>
        <v>-0.3</v>
      </c>
      <c r="I111" s="75">
        <f t="shared" si="50"/>
        <v>-4.8387096774193561E-2</v>
      </c>
      <c r="J111" s="75">
        <f t="shared" si="51"/>
        <v>0.20782229178422118</v>
      </c>
      <c r="K111" s="76">
        <f t="shared" si="52"/>
        <v>5.7137045217737346E-2</v>
      </c>
      <c r="L111" s="77">
        <f t="shared" si="53"/>
        <v>0.32920795816263515</v>
      </c>
      <c r="M111" s="76">
        <f t="shared" si="54"/>
        <v>0.12554107388287111</v>
      </c>
      <c r="N111" s="77">
        <f t="shared" si="55"/>
        <v>0.42317722024122589</v>
      </c>
      <c r="O111" s="76">
        <f t="shared" si="56"/>
        <v>-0.36724026739525351</v>
      </c>
      <c r="P111" s="77">
        <f t="shared" si="57"/>
        <v>0.40643831310714096</v>
      </c>
      <c r="Q111" s="76">
        <f t="shared" si="58"/>
        <v>5.7137045217737256E-2</v>
      </c>
      <c r="R111" s="75">
        <f t="shared" si="59"/>
        <v>-0.2837841278874218</v>
      </c>
    </row>
    <row r="112" spans="2:18">
      <c r="B112" s="81"/>
      <c r="C112">
        <v>6</v>
      </c>
      <c r="D112">
        <v>512</v>
      </c>
      <c r="E112">
        <v>2.3892229999999999</v>
      </c>
      <c r="F112" s="78"/>
      <c r="G112" s="75">
        <f t="shared" si="48"/>
        <v>0.64975700080751919</v>
      </c>
      <c r="H112" s="76">
        <f t="shared" si="49"/>
        <v>-0.3</v>
      </c>
      <c r="I112" s="75">
        <f t="shared" si="50"/>
        <v>-1.6129032258064502E-2</v>
      </c>
      <c r="J112" s="75">
        <f t="shared" si="51"/>
        <v>0.25027475864813009</v>
      </c>
      <c r="K112" s="76">
        <f t="shared" si="52"/>
        <v>8.7449710404379571E-2</v>
      </c>
      <c r="L112" s="77">
        <f t="shared" si="53"/>
        <v>0.36045641899548975</v>
      </c>
      <c r="M112" s="76">
        <f t="shared" si="54"/>
        <v>0.15585373906951336</v>
      </c>
      <c r="N112" s="77">
        <f t="shared" si="55"/>
        <v>0.45442568107408055</v>
      </c>
      <c r="O112" s="76">
        <f t="shared" si="56"/>
        <v>-0.36724026739525345</v>
      </c>
      <c r="P112" s="77">
        <f t="shared" si="57"/>
        <v>0.4432032278646032</v>
      </c>
      <c r="Q112" s="76">
        <f t="shared" si="58"/>
        <v>8.7449710404379488E-2</v>
      </c>
      <c r="R112" s="75">
        <f t="shared" si="59"/>
        <v>-0.28930058181202944</v>
      </c>
    </row>
    <row r="113" spans="2:18">
      <c r="B113" s="81"/>
      <c r="C113">
        <v>6</v>
      </c>
      <c r="D113">
        <v>544</v>
      </c>
      <c r="E113">
        <v>2.4922840000000002</v>
      </c>
      <c r="F113" s="78"/>
      <c r="G113" s="75">
        <f t="shared" si="48"/>
        <v>0.68904119087995264</v>
      </c>
      <c r="H113" s="76">
        <f t="shared" si="49"/>
        <v>-0.3</v>
      </c>
      <c r="I113" s="75">
        <f t="shared" si="50"/>
        <v>1.6129032258064502E-2</v>
      </c>
      <c r="J113" s="75">
        <f t="shared" si="51"/>
        <v>0.29563623407456185</v>
      </c>
      <c r="K113" s="76">
        <f t="shared" si="52"/>
        <v>0.11776237559102178</v>
      </c>
      <c r="L113" s="77">
        <f t="shared" si="53"/>
        <v>0.39422415514331566</v>
      </c>
      <c r="M113" s="76">
        <f t="shared" si="54"/>
        <v>0.18616640425615552</v>
      </c>
      <c r="N113" s="77">
        <f t="shared" si="55"/>
        <v>0.48819341722190646</v>
      </c>
      <c r="O113" s="76">
        <f t="shared" si="56"/>
        <v>-0.36724026739525345</v>
      </c>
      <c r="P113" s="77">
        <f t="shared" si="57"/>
        <v>0.48248741793703664</v>
      </c>
      <c r="Q113" s="76">
        <f t="shared" si="58"/>
        <v>0.11776237559102168</v>
      </c>
      <c r="R113" s="75">
        <f t="shared" si="59"/>
        <v>-0.29481703573663698</v>
      </c>
    </row>
    <row r="114" spans="2:18">
      <c r="B114" s="81"/>
      <c r="C114">
        <v>6</v>
      </c>
      <c r="D114">
        <v>576</v>
      </c>
      <c r="E114">
        <v>2.5918844999999999</v>
      </c>
      <c r="F114" s="78"/>
      <c r="G114" s="75">
        <f t="shared" si="48"/>
        <v>0.72700632777275764</v>
      </c>
      <c r="H114" s="76">
        <f t="shared" si="49"/>
        <v>-0.3</v>
      </c>
      <c r="I114" s="75">
        <f t="shared" si="50"/>
        <v>4.8387096774193505E-2</v>
      </c>
      <c r="J114" s="75">
        <f t="shared" si="51"/>
        <v>0.33947459808432578</v>
      </c>
      <c r="K114" s="76">
        <f t="shared" si="52"/>
        <v>0.14807504077766392</v>
      </c>
      <c r="L114" s="77">
        <f t="shared" si="53"/>
        <v>0.42667283811151313</v>
      </c>
      <c r="M114" s="76">
        <f t="shared" si="54"/>
        <v>0.21647906944279771</v>
      </c>
      <c r="N114" s="77">
        <f t="shared" si="55"/>
        <v>0.52064210019010393</v>
      </c>
      <c r="O114" s="76">
        <f t="shared" si="56"/>
        <v>-0.36724026739525345</v>
      </c>
      <c r="P114" s="77">
        <f t="shared" si="57"/>
        <v>0.52045255482984165</v>
      </c>
      <c r="Q114" s="76">
        <f t="shared" si="58"/>
        <v>0.14807504077766384</v>
      </c>
      <c r="R114" s="75">
        <f t="shared" si="59"/>
        <v>-0.30033348966124451</v>
      </c>
    </row>
    <row r="115" spans="2:18">
      <c r="B115" s="81"/>
      <c r="C115">
        <v>6</v>
      </c>
      <c r="D115">
        <v>608</v>
      </c>
      <c r="E115">
        <v>2.7087322500000002</v>
      </c>
      <c r="F115" s="78"/>
      <c r="G115" s="75">
        <f t="shared" si="48"/>
        <v>0.77154567069138036</v>
      </c>
      <c r="H115" s="76">
        <f t="shared" si="49"/>
        <v>-0.3</v>
      </c>
      <c r="I115" s="75">
        <f t="shared" si="50"/>
        <v>8.064516129032262E-2</v>
      </c>
      <c r="J115" s="75">
        <f t="shared" si="51"/>
        <v>0.3909042013315176</v>
      </c>
      <c r="K115" s="76">
        <f t="shared" si="52"/>
        <v>0.17838770596430625</v>
      </c>
      <c r="L115" s="77">
        <f t="shared" si="53"/>
        <v>0.46569572710552831</v>
      </c>
      <c r="M115" s="76">
        <f t="shared" si="54"/>
        <v>0.24679173462944001</v>
      </c>
      <c r="N115" s="77">
        <f t="shared" si="55"/>
        <v>0.55966498918411911</v>
      </c>
      <c r="O115" s="76">
        <f t="shared" si="56"/>
        <v>-0.36724026739525345</v>
      </c>
      <c r="P115" s="77">
        <f t="shared" si="57"/>
        <v>0.56499189774846448</v>
      </c>
      <c r="Q115" s="76">
        <f t="shared" si="58"/>
        <v>0.17838770596430614</v>
      </c>
      <c r="R115" s="75">
        <f t="shared" si="59"/>
        <v>-0.3058499435858521</v>
      </c>
    </row>
    <row r="116" spans="2:18">
      <c r="B116" s="81"/>
      <c r="C116">
        <v>6</v>
      </c>
      <c r="D116">
        <v>640</v>
      </c>
      <c r="E116">
        <v>2.8132297500000001</v>
      </c>
      <c r="F116" s="78"/>
      <c r="G116" s="75">
        <f t="shared" si="48"/>
        <v>0.81137741744421699</v>
      </c>
      <c r="H116" s="76">
        <f t="shared" si="49"/>
        <v>-0.3</v>
      </c>
      <c r="I116" s="75">
        <f t="shared" si="50"/>
        <v>0.11290322580645162</v>
      </c>
      <c r="J116" s="75">
        <f t="shared" si="51"/>
        <v>0.43689794075160404</v>
      </c>
      <c r="K116" s="76">
        <f t="shared" si="52"/>
        <v>0.20870037115094842</v>
      </c>
      <c r="L116" s="77">
        <f t="shared" si="53"/>
        <v>0.50001101993375741</v>
      </c>
      <c r="M116" s="76">
        <f t="shared" si="54"/>
        <v>0.2771043998160822</v>
      </c>
      <c r="N116" s="77">
        <f t="shared" si="55"/>
        <v>0.59398028201234809</v>
      </c>
      <c r="O116" s="76">
        <f t="shared" si="56"/>
        <v>-0.36724026739525345</v>
      </c>
      <c r="P116" s="77">
        <f t="shared" si="57"/>
        <v>0.60482364450130111</v>
      </c>
      <c r="Q116" s="76">
        <f t="shared" si="58"/>
        <v>0.20870037115094831</v>
      </c>
      <c r="R116" s="75">
        <f t="shared" si="59"/>
        <v>-0.31136639751045964</v>
      </c>
    </row>
    <row r="117" spans="2:18">
      <c r="B117" s="81"/>
      <c r="C117">
        <v>6</v>
      </c>
      <c r="D117">
        <v>672</v>
      </c>
      <c r="E117">
        <v>2.9218427500000002</v>
      </c>
      <c r="F117" s="78"/>
      <c r="G117" s="75">
        <f t="shared" si="48"/>
        <v>0.85277788645128283</v>
      </c>
      <c r="H117" s="76">
        <f t="shared" si="49"/>
        <v>-0.3</v>
      </c>
      <c r="I117" s="75">
        <f t="shared" si="50"/>
        <v>0.14516129032258063</v>
      </c>
      <c r="J117" s="75">
        <f t="shared" si="51"/>
        <v>0.48470308460321643</v>
      </c>
      <c r="K117" s="76">
        <f t="shared" si="52"/>
        <v>0.23901303633759058</v>
      </c>
      <c r="L117" s="77">
        <f t="shared" si="53"/>
        <v>0.5358950350162156</v>
      </c>
      <c r="M117" s="76">
        <f t="shared" si="54"/>
        <v>0.30741706500272437</v>
      </c>
      <c r="N117" s="77">
        <f t="shared" si="55"/>
        <v>0.6298642970948064</v>
      </c>
      <c r="O117" s="76">
        <f t="shared" si="56"/>
        <v>-0.36724026739525345</v>
      </c>
      <c r="P117" s="77">
        <f t="shared" si="57"/>
        <v>0.64622411350836684</v>
      </c>
      <c r="Q117" s="76">
        <f t="shared" si="58"/>
        <v>0.23901303633759047</v>
      </c>
      <c r="R117" s="75">
        <f t="shared" si="59"/>
        <v>-0.31688285143506723</v>
      </c>
    </row>
    <row r="118" spans="2:18">
      <c r="B118" s="81"/>
      <c r="C118">
        <v>8</v>
      </c>
      <c r="D118">
        <v>32</v>
      </c>
      <c r="E118">
        <v>0.70124600000000004</v>
      </c>
      <c r="F118" s="78"/>
      <c r="G118" s="75">
        <f t="shared" si="48"/>
        <v>6.3437862462812356E-3</v>
      </c>
      <c r="H118" s="76">
        <f t="shared" si="49"/>
        <v>-0.2</v>
      </c>
      <c r="I118" s="75">
        <f t="shared" si="50"/>
        <v>-0.5</v>
      </c>
      <c r="J118" s="75">
        <f t="shared" si="51"/>
        <v>-0.49267482660605616</v>
      </c>
      <c r="K118" s="76">
        <f t="shared" si="52"/>
        <v>-0.40144228172782043</v>
      </c>
      <c r="L118" s="77">
        <f t="shared" si="53"/>
        <v>-0.2471946177359301</v>
      </c>
      <c r="M118" s="76">
        <f t="shared" si="54"/>
        <v>-0.29883623873011983</v>
      </c>
      <c r="N118" s="77">
        <f t="shared" si="55"/>
        <v>-0.10624072461804396</v>
      </c>
      <c r="O118" s="76">
        <f t="shared" si="56"/>
        <v>-0.40144228172782043</v>
      </c>
      <c r="P118" s="77">
        <f t="shared" si="57"/>
        <v>-0.2471946177359301</v>
      </c>
      <c r="Q118" s="76">
        <f t="shared" si="58"/>
        <v>-0.40144228172782043</v>
      </c>
      <c r="R118" s="75">
        <f t="shared" si="59"/>
        <v>-0.25353840398221134</v>
      </c>
    </row>
    <row r="119" spans="2:18">
      <c r="B119" s="81"/>
      <c r="C119">
        <v>8</v>
      </c>
      <c r="D119">
        <v>64</v>
      </c>
      <c r="E119">
        <v>0.92534925000000001</v>
      </c>
      <c r="F119" s="78"/>
      <c r="G119" s="75">
        <f t="shared" si="48"/>
        <v>9.1766154250182197E-2</v>
      </c>
      <c r="H119" s="76">
        <f t="shared" si="49"/>
        <v>-0.2</v>
      </c>
      <c r="I119" s="75">
        <f t="shared" si="50"/>
        <v>-0.467741935483871</v>
      </c>
      <c r="J119" s="75">
        <f t="shared" si="51"/>
        <v>-0.39403757228232117</v>
      </c>
      <c r="K119" s="76">
        <f t="shared" si="52"/>
        <v>-0.37112961654117826</v>
      </c>
      <c r="L119" s="77">
        <f t="shared" si="53"/>
        <v>-0.16728870365663673</v>
      </c>
      <c r="M119" s="76">
        <f t="shared" si="54"/>
        <v>-0.26852357354347761</v>
      </c>
      <c r="N119" s="77">
        <f t="shared" si="55"/>
        <v>-2.6334810538750586E-2</v>
      </c>
      <c r="O119" s="76">
        <f t="shared" si="56"/>
        <v>-0.40144228172782043</v>
      </c>
      <c r="P119" s="77">
        <f t="shared" si="57"/>
        <v>-0.16177224973202914</v>
      </c>
      <c r="Q119" s="76">
        <f t="shared" si="58"/>
        <v>-0.37112961654117826</v>
      </c>
      <c r="R119" s="75">
        <f t="shared" si="59"/>
        <v>-0.25905485790681892</v>
      </c>
    </row>
    <row r="120" spans="2:18">
      <c r="B120" s="81"/>
      <c r="C120">
        <v>8</v>
      </c>
      <c r="D120">
        <v>96</v>
      </c>
      <c r="E120">
        <v>1.27128625</v>
      </c>
      <c r="F120" s="78"/>
      <c r="G120" s="75">
        <f t="shared" si="48"/>
        <v>0.22362839953295022</v>
      </c>
      <c r="H120" s="76">
        <f t="shared" si="49"/>
        <v>-0.2</v>
      </c>
      <c r="I120" s="75">
        <f t="shared" si="50"/>
        <v>-0.43548387096774194</v>
      </c>
      <c r="J120" s="75">
        <f t="shared" si="51"/>
        <v>-0.24177616666241203</v>
      </c>
      <c r="K120" s="76">
        <f t="shared" si="52"/>
        <v>-0.34081695135453605</v>
      </c>
      <c r="L120" s="77">
        <f t="shared" si="53"/>
        <v>-4.0942912298476242E-2</v>
      </c>
      <c r="M120" s="76">
        <f t="shared" si="54"/>
        <v>-0.23821090835683539</v>
      </c>
      <c r="N120" s="77">
        <f t="shared" si="55"/>
        <v>0.1000109808194099</v>
      </c>
      <c r="O120" s="76">
        <f t="shared" si="56"/>
        <v>-0.40144228172782043</v>
      </c>
      <c r="P120" s="77">
        <f t="shared" si="57"/>
        <v>-2.9910004449261118E-2</v>
      </c>
      <c r="Q120" s="76">
        <f t="shared" si="58"/>
        <v>-0.34081695135453605</v>
      </c>
      <c r="R120" s="75">
        <f t="shared" si="59"/>
        <v>-0.26457131183142646</v>
      </c>
    </row>
    <row r="121" spans="2:18">
      <c r="B121" s="81"/>
      <c r="C121">
        <v>8</v>
      </c>
      <c r="D121">
        <v>128</v>
      </c>
      <c r="E121">
        <v>1.6322052499999999</v>
      </c>
      <c r="F121" s="78"/>
      <c r="G121" s="75">
        <f t="shared" si="48"/>
        <v>0.36120139607628432</v>
      </c>
      <c r="H121" s="76">
        <f t="shared" si="49"/>
        <v>-0.2</v>
      </c>
      <c r="I121" s="75">
        <f t="shared" si="50"/>
        <v>-0.40322580645161288</v>
      </c>
      <c r="J121" s="75">
        <f t="shared" si="51"/>
        <v>-8.2920553487377258E-2</v>
      </c>
      <c r="K121" s="76">
        <f t="shared" si="52"/>
        <v>-0.31050428616789372</v>
      </c>
      <c r="L121" s="77">
        <f t="shared" si="53"/>
        <v>9.1113630320250272E-2</v>
      </c>
      <c r="M121" s="76">
        <f t="shared" si="54"/>
        <v>-0.20789824317019309</v>
      </c>
      <c r="N121" s="77">
        <f t="shared" si="55"/>
        <v>0.23206752343813641</v>
      </c>
      <c r="O121" s="76">
        <f t="shared" si="56"/>
        <v>-0.40144228172782037</v>
      </c>
      <c r="P121" s="77">
        <f t="shared" si="57"/>
        <v>0.10766299209407298</v>
      </c>
      <c r="Q121" s="76">
        <f t="shared" si="58"/>
        <v>-0.31050428616789377</v>
      </c>
      <c r="R121" s="75">
        <f t="shared" si="59"/>
        <v>-0.27008776575603405</v>
      </c>
    </row>
    <row r="122" spans="2:18">
      <c r="B122" s="81"/>
      <c r="C122">
        <v>8</v>
      </c>
      <c r="D122">
        <v>160</v>
      </c>
      <c r="E122">
        <v>1.69994025</v>
      </c>
      <c r="F122" s="78"/>
      <c r="G122" s="75">
        <f t="shared" si="48"/>
        <v>0.38702022778329548</v>
      </c>
      <c r="H122" s="76">
        <f t="shared" si="49"/>
        <v>-0.2</v>
      </c>
      <c r="I122" s="75">
        <f t="shared" si="50"/>
        <v>-0.37096774193548387</v>
      </c>
      <c r="J122" s="75">
        <f t="shared" si="51"/>
        <v>-5.3107534614968144E-2</v>
      </c>
      <c r="K122" s="76">
        <f t="shared" si="52"/>
        <v>-0.28019162098125155</v>
      </c>
      <c r="L122" s="77">
        <f t="shared" si="53"/>
        <v>0.11141600810265392</v>
      </c>
      <c r="M122" s="76">
        <f t="shared" si="54"/>
        <v>-0.17758557798355093</v>
      </c>
      <c r="N122" s="77">
        <f t="shared" si="55"/>
        <v>0.25236990122054009</v>
      </c>
      <c r="O122" s="76">
        <f t="shared" si="56"/>
        <v>-0.40144228172782037</v>
      </c>
      <c r="P122" s="77">
        <f t="shared" si="57"/>
        <v>0.13348182380108417</v>
      </c>
      <c r="Q122" s="76">
        <f t="shared" si="58"/>
        <v>-0.28019162098125161</v>
      </c>
      <c r="R122" s="75">
        <f t="shared" si="59"/>
        <v>-0.27560421968064158</v>
      </c>
    </row>
    <row r="123" spans="2:18">
      <c r="B123" s="81"/>
      <c r="C123">
        <v>8</v>
      </c>
      <c r="D123">
        <v>192</v>
      </c>
      <c r="E123">
        <v>1.7695765000000001</v>
      </c>
      <c r="F123" s="78"/>
      <c r="G123" s="75">
        <f t="shared" si="48"/>
        <v>0.41356376686142859</v>
      </c>
      <c r="H123" s="76">
        <f t="shared" si="49"/>
        <v>-0.2</v>
      </c>
      <c r="I123" s="75">
        <f t="shared" si="50"/>
        <v>-0.33870967741935487</v>
      </c>
      <c r="J123" s="75">
        <f t="shared" si="51"/>
        <v>-2.245769575095713E-2</v>
      </c>
      <c r="K123" s="76">
        <f t="shared" si="52"/>
        <v>-0.24987895579460939</v>
      </c>
      <c r="L123" s="77">
        <f t="shared" si="53"/>
        <v>0.13244309325617945</v>
      </c>
      <c r="M123" s="76">
        <f t="shared" si="54"/>
        <v>-0.14727291279690877</v>
      </c>
      <c r="N123" s="77">
        <f t="shared" si="55"/>
        <v>0.27339698637406562</v>
      </c>
      <c r="O123" s="76">
        <f t="shared" si="56"/>
        <v>-0.40144228172782037</v>
      </c>
      <c r="P123" s="77">
        <f t="shared" si="57"/>
        <v>0.16002536287921729</v>
      </c>
      <c r="Q123" s="76">
        <f t="shared" si="58"/>
        <v>-0.24987895579460945</v>
      </c>
      <c r="R123" s="75">
        <f t="shared" si="59"/>
        <v>-0.28112067360524917</v>
      </c>
    </row>
    <row r="124" spans="2:18">
      <c r="B124" s="81"/>
      <c r="C124">
        <v>8</v>
      </c>
      <c r="D124">
        <v>224</v>
      </c>
      <c r="E124">
        <v>1.8556172500000001</v>
      </c>
      <c r="F124" s="78"/>
      <c r="G124" s="75">
        <f t="shared" si="48"/>
        <v>0.44636027744229545</v>
      </c>
      <c r="H124" s="76">
        <f t="shared" si="49"/>
        <v>-0.2</v>
      </c>
      <c r="I124" s="75">
        <f t="shared" si="50"/>
        <v>-0.30645161290322581</v>
      </c>
      <c r="J124" s="75">
        <f t="shared" si="51"/>
        <v>1.5412452673730592E-2</v>
      </c>
      <c r="K124" s="76">
        <f t="shared" si="52"/>
        <v>-0.21956629060796717</v>
      </c>
      <c r="L124" s="77">
        <f t="shared" si="53"/>
        <v>0.15972314991243872</v>
      </c>
      <c r="M124" s="76">
        <f t="shared" si="54"/>
        <v>-0.11696024761026655</v>
      </c>
      <c r="N124" s="77">
        <f t="shared" si="55"/>
        <v>0.30067704303032489</v>
      </c>
      <c r="O124" s="76">
        <f t="shared" si="56"/>
        <v>-0.40144228172782037</v>
      </c>
      <c r="P124" s="77">
        <f t="shared" si="57"/>
        <v>0.19282187346008411</v>
      </c>
      <c r="Q124" s="76">
        <f t="shared" si="58"/>
        <v>-0.21956629060796723</v>
      </c>
      <c r="R124" s="75">
        <f t="shared" si="59"/>
        <v>-0.28663712752985671</v>
      </c>
    </row>
    <row r="125" spans="2:18">
      <c r="B125" s="81"/>
      <c r="C125">
        <v>8</v>
      </c>
      <c r="D125">
        <v>256</v>
      </c>
      <c r="E125">
        <v>1.9424980000000001</v>
      </c>
      <c r="F125" s="78"/>
      <c r="G125" s="75">
        <f t="shared" si="48"/>
        <v>0.47947697431730707</v>
      </c>
      <c r="H125" s="76">
        <f t="shared" si="49"/>
        <v>-0.2</v>
      </c>
      <c r="I125" s="75">
        <f t="shared" si="50"/>
        <v>-0.27419354838709675</v>
      </c>
      <c r="J125" s="75">
        <f t="shared" si="51"/>
        <v>5.3652320384648955E-2</v>
      </c>
      <c r="K125" s="76">
        <f t="shared" si="52"/>
        <v>-0.1892536254213249</v>
      </c>
      <c r="L125" s="77">
        <f t="shared" si="53"/>
        <v>0.18732339286284275</v>
      </c>
      <c r="M125" s="76">
        <f t="shared" si="54"/>
        <v>-8.6647582423624275E-2</v>
      </c>
      <c r="N125" s="77">
        <f t="shared" si="55"/>
        <v>0.32827728598072886</v>
      </c>
      <c r="O125" s="76">
        <f t="shared" si="56"/>
        <v>-0.40144228172782037</v>
      </c>
      <c r="P125" s="77">
        <f t="shared" si="57"/>
        <v>0.22593857033509571</v>
      </c>
      <c r="Q125" s="76">
        <f t="shared" si="58"/>
        <v>-0.18925362542132496</v>
      </c>
      <c r="R125" s="75">
        <f t="shared" si="59"/>
        <v>-0.2921535814544643</v>
      </c>
    </row>
    <row r="126" spans="2:18">
      <c r="B126" s="81"/>
      <c r="C126">
        <v>8</v>
      </c>
      <c r="D126">
        <v>288</v>
      </c>
      <c r="E126">
        <v>2.0517327500000002</v>
      </c>
      <c r="F126" s="78"/>
      <c r="G126" s="75">
        <f t="shared" si="48"/>
        <v>0.52111443835816385</v>
      </c>
      <c r="H126" s="76">
        <f t="shared" si="49"/>
        <v>-0.2</v>
      </c>
      <c r="I126" s="75">
        <f t="shared" si="50"/>
        <v>-0.24193548387096775</v>
      </c>
      <c r="J126" s="75">
        <f t="shared" si="51"/>
        <v>0.101731122529373</v>
      </c>
      <c r="K126" s="76">
        <f t="shared" si="52"/>
        <v>-0.15894096023468274</v>
      </c>
      <c r="L126" s="77">
        <f t="shared" si="53"/>
        <v>0.22344440297909196</v>
      </c>
      <c r="M126" s="76">
        <f t="shared" si="54"/>
        <v>-5.6334917236982099E-2</v>
      </c>
      <c r="N126" s="77">
        <f t="shared" si="55"/>
        <v>0.36439829609697816</v>
      </c>
      <c r="O126" s="76">
        <f t="shared" si="56"/>
        <v>-0.40144228172782037</v>
      </c>
      <c r="P126" s="77">
        <f t="shared" si="57"/>
        <v>0.26757603437595245</v>
      </c>
      <c r="Q126" s="76">
        <f t="shared" si="58"/>
        <v>-0.15894096023468279</v>
      </c>
      <c r="R126" s="75">
        <f t="shared" si="59"/>
        <v>-0.29767003537907188</v>
      </c>
    </row>
    <row r="127" spans="2:18">
      <c r="B127" s="81"/>
      <c r="C127">
        <v>8</v>
      </c>
      <c r="D127">
        <v>320</v>
      </c>
      <c r="E127">
        <v>2.1525517500000002</v>
      </c>
      <c r="F127" s="78"/>
      <c r="G127" s="75">
        <f t="shared" si="48"/>
        <v>0.55954403596455859</v>
      </c>
      <c r="H127" s="76">
        <f t="shared" si="49"/>
        <v>-0.2</v>
      </c>
      <c r="I127" s="75">
        <f t="shared" si="50"/>
        <v>-0.20967741935483869</v>
      </c>
      <c r="J127" s="75">
        <f t="shared" si="51"/>
        <v>0.146105799575175</v>
      </c>
      <c r="K127" s="76">
        <f t="shared" si="52"/>
        <v>-0.12862829504804049</v>
      </c>
      <c r="L127" s="77">
        <f t="shared" si="53"/>
        <v>0.25635754666087918</v>
      </c>
      <c r="M127" s="76">
        <f t="shared" si="54"/>
        <v>-2.6022252050339877E-2</v>
      </c>
      <c r="N127" s="77">
        <f t="shared" si="55"/>
        <v>0.39731143977876526</v>
      </c>
      <c r="O127" s="76">
        <f t="shared" si="56"/>
        <v>-0.40144228172782037</v>
      </c>
      <c r="P127" s="77">
        <f t="shared" si="57"/>
        <v>0.3060056319823472</v>
      </c>
      <c r="Q127" s="76">
        <f t="shared" si="58"/>
        <v>-0.12862829504804058</v>
      </c>
      <c r="R127" s="75">
        <f t="shared" si="59"/>
        <v>-0.30318648930367942</v>
      </c>
    </row>
    <row r="128" spans="2:18">
      <c r="B128" s="81"/>
      <c r="C128">
        <v>8</v>
      </c>
      <c r="D128">
        <v>352</v>
      </c>
      <c r="E128">
        <v>2.2623340000000001</v>
      </c>
      <c r="F128" s="78"/>
      <c r="G128" s="75">
        <f t="shared" si="48"/>
        <v>0.60139019285784878</v>
      </c>
      <c r="H128" s="76">
        <f t="shared" si="49"/>
        <v>-0.2</v>
      </c>
      <c r="I128" s="75">
        <f t="shared" si="50"/>
        <v>-0.17741935483870969</v>
      </c>
      <c r="J128" s="75">
        <f t="shared" si="51"/>
        <v>0.19442557946895989</v>
      </c>
      <c r="K128" s="76">
        <f t="shared" si="52"/>
        <v>-9.8315629861398315E-2</v>
      </c>
      <c r="L128" s="77">
        <f t="shared" si="53"/>
        <v>0.29268724962956183</v>
      </c>
      <c r="M128" s="76">
        <f t="shared" si="54"/>
        <v>4.2904131363023191E-3</v>
      </c>
      <c r="N128" s="77">
        <f t="shared" si="55"/>
        <v>0.43364114274744803</v>
      </c>
      <c r="O128" s="76">
        <f t="shared" si="56"/>
        <v>-0.40144228172782037</v>
      </c>
      <c r="P128" s="77">
        <f t="shared" si="57"/>
        <v>0.3478517888756375</v>
      </c>
      <c r="Q128" s="76">
        <f t="shared" si="58"/>
        <v>-9.8315629861398399E-2</v>
      </c>
      <c r="R128" s="75">
        <f t="shared" si="59"/>
        <v>-0.30870294322828695</v>
      </c>
    </row>
    <row r="129" spans="2:18">
      <c r="B129" s="81"/>
      <c r="C129">
        <v>8</v>
      </c>
      <c r="D129">
        <v>384</v>
      </c>
      <c r="E129">
        <v>2.3926745</v>
      </c>
      <c r="F129" s="78"/>
      <c r="G129" s="75">
        <f t="shared" si="48"/>
        <v>0.65107262341971017</v>
      </c>
      <c r="H129" s="76">
        <f t="shared" si="49"/>
        <v>-0.2</v>
      </c>
      <c r="I129" s="75">
        <f t="shared" si="50"/>
        <v>-0.14516129032258063</v>
      </c>
      <c r="J129" s="75">
        <f t="shared" si="51"/>
        <v>0.25179390878673091</v>
      </c>
      <c r="K129" s="76">
        <f t="shared" si="52"/>
        <v>-6.8002964674756097E-2</v>
      </c>
      <c r="L129" s="77">
        <f t="shared" si="53"/>
        <v>0.33685322626681558</v>
      </c>
      <c r="M129" s="76">
        <f t="shared" si="54"/>
        <v>3.4603078322944542E-2</v>
      </c>
      <c r="N129" s="77">
        <f t="shared" si="55"/>
        <v>0.47780711938470172</v>
      </c>
      <c r="O129" s="76">
        <f t="shared" si="56"/>
        <v>-0.40144228172782032</v>
      </c>
      <c r="P129" s="77">
        <f t="shared" si="57"/>
        <v>0.39753421943749878</v>
      </c>
      <c r="Q129" s="76">
        <f t="shared" si="58"/>
        <v>-6.8002964674756181E-2</v>
      </c>
      <c r="R129" s="75">
        <f t="shared" si="59"/>
        <v>-0.31421939715289454</v>
      </c>
    </row>
    <row r="130" spans="2:18">
      <c r="B130" s="81"/>
      <c r="C130">
        <v>8</v>
      </c>
      <c r="D130">
        <v>416</v>
      </c>
      <c r="E130">
        <v>2.5199787499999999</v>
      </c>
      <c r="F130" s="78"/>
      <c r="G130" s="75">
        <f t="shared" si="48"/>
        <v>0.69959771393919434</v>
      </c>
      <c r="H130" s="76">
        <f t="shared" si="49"/>
        <v>-0.2</v>
      </c>
      <c r="I130" s="75">
        <f t="shared" si="50"/>
        <v>-0.11290322580645162</v>
      </c>
      <c r="J130" s="75">
        <f t="shared" si="51"/>
        <v>0.30782585693448128</v>
      </c>
      <c r="K130" s="76">
        <f t="shared" si="52"/>
        <v>-3.7690299488113914E-2</v>
      </c>
      <c r="L130" s="77">
        <f t="shared" si="53"/>
        <v>0.37986186286169221</v>
      </c>
      <c r="M130" s="76">
        <f t="shared" si="54"/>
        <v>6.4915743509586732E-2</v>
      </c>
      <c r="N130" s="77">
        <f t="shared" si="55"/>
        <v>0.52081575597957841</v>
      </c>
      <c r="O130" s="76">
        <f t="shared" si="56"/>
        <v>-0.40144228172782032</v>
      </c>
      <c r="P130" s="77">
        <f t="shared" si="57"/>
        <v>0.44605930995698301</v>
      </c>
      <c r="Q130" s="76">
        <f t="shared" si="58"/>
        <v>-3.7690299488114011E-2</v>
      </c>
      <c r="R130" s="75">
        <f t="shared" si="59"/>
        <v>-0.31973585107750213</v>
      </c>
    </row>
    <row r="131" spans="2:18">
      <c r="B131" s="81"/>
      <c r="C131">
        <v>8</v>
      </c>
      <c r="D131">
        <v>448</v>
      </c>
      <c r="E131">
        <v>2.664787</v>
      </c>
      <c r="F131" s="78"/>
      <c r="G131" s="75">
        <f t="shared" si="48"/>
        <v>0.75479487694999814</v>
      </c>
      <c r="H131" s="76">
        <f t="shared" si="49"/>
        <v>-0.2</v>
      </c>
      <c r="I131" s="75">
        <f t="shared" si="50"/>
        <v>-8.0645161290322565E-2</v>
      </c>
      <c r="J131" s="75">
        <f t="shared" si="51"/>
        <v>0.37156205078006366</v>
      </c>
      <c r="K131" s="76">
        <f t="shared" si="52"/>
        <v>-7.3776343014716715E-3</v>
      </c>
      <c r="L131" s="77">
        <f t="shared" si="53"/>
        <v>0.42954257194788842</v>
      </c>
      <c r="M131" s="76">
        <f t="shared" si="54"/>
        <v>9.5228408696228964E-2</v>
      </c>
      <c r="N131" s="77">
        <f t="shared" si="55"/>
        <v>0.57049646506577456</v>
      </c>
      <c r="O131" s="76">
        <f t="shared" si="56"/>
        <v>-0.40144228172782032</v>
      </c>
      <c r="P131" s="77">
        <f t="shared" si="57"/>
        <v>0.50125647296778675</v>
      </c>
      <c r="Q131" s="76">
        <f t="shared" si="58"/>
        <v>-7.3776343014717782E-3</v>
      </c>
      <c r="R131" s="75">
        <f t="shared" si="59"/>
        <v>-0.32525230500210967</v>
      </c>
    </row>
    <row r="132" spans="2:18">
      <c r="B132" s="81"/>
      <c r="C132">
        <v>8</v>
      </c>
      <c r="D132">
        <v>480</v>
      </c>
      <c r="E132">
        <v>2.8097755000000002</v>
      </c>
      <c r="F132" s="78"/>
      <c r="G132" s="75">
        <f t="shared" si="48"/>
        <v>0.81006074660308702</v>
      </c>
      <c r="H132" s="76">
        <f t="shared" si="49"/>
        <v>-0.2</v>
      </c>
      <c r="I132" s="75">
        <f t="shared" si="50"/>
        <v>-4.8387096774193561E-2</v>
      </c>
      <c r="J132" s="75">
        <f t="shared" si="51"/>
        <v>0.43537758022248296</v>
      </c>
      <c r="K132" s="76">
        <f t="shared" si="52"/>
        <v>2.2935030885170505E-2</v>
      </c>
      <c r="L132" s="77">
        <f t="shared" si="53"/>
        <v>0.47929198767636982</v>
      </c>
      <c r="M132" s="76">
        <f t="shared" si="54"/>
        <v>0.12554107388287114</v>
      </c>
      <c r="N132" s="77">
        <f t="shared" si="55"/>
        <v>0.62024588079425591</v>
      </c>
      <c r="O132" s="76">
        <f t="shared" si="56"/>
        <v>-0.40144228172782032</v>
      </c>
      <c r="P132" s="77">
        <f t="shared" si="57"/>
        <v>0.55652234262087563</v>
      </c>
      <c r="Q132" s="76">
        <f t="shared" si="58"/>
        <v>2.293503088517039E-2</v>
      </c>
      <c r="R132" s="75">
        <f t="shared" si="59"/>
        <v>-0.3307687589267172</v>
      </c>
    </row>
    <row r="133" spans="2:18">
      <c r="B133" s="81"/>
      <c r="C133">
        <v>8</v>
      </c>
      <c r="D133">
        <v>512</v>
      </c>
      <c r="E133">
        <v>2.9537960000000001</v>
      </c>
      <c r="F133" s="78"/>
      <c r="G133" s="75">
        <f t="shared" si="48"/>
        <v>0.86495763966959016</v>
      </c>
      <c r="H133" s="76">
        <f t="shared" si="49"/>
        <v>-0.2</v>
      </c>
      <c r="I133" s="75">
        <f t="shared" si="50"/>
        <v>-1.6129032258064502E-2</v>
      </c>
      <c r="J133" s="75">
        <f t="shared" si="51"/>
        <v>0.49876705220172235</v>
      </c>
      <c r="K133" s="76">
        <f t="shared" si="52"/>
        <v>5.3247696071812747E-2</v>
      </c>
      <c r="L133" s="77">
        <f t="shared" si="53"/>
        <v>0.52867242681826543</v>
      </c>
      <c r="M133" s="76">
        <f t="shared" si="54"/>
        <v>0.15585373906951339</v>
      </c>
      <c r="N133" s="77">
        <f t="shared" si="55"/>
        <v>0.66962631993615152</v>
      </c>
      <c r="O133" s="76">
        <f t="shared" si="56"/>
        <v>-0.40144228172782032</v>
      </c>
      <c r="P133" s="77">
        <f t="shared" si="57"/>
        <v>0.61141923568737888</v>
      </c>
      <c r="Q133" s="76">
        <f t="shared" si="58"/>
        <v>5.3247696071812622E-2</v>
      </c>
      <c r="R133" s="75">
        <f t="shared" si="59"/>
        <v>-0.33628521285132479</v>
      </c>
    </row>
    <row r="134" spans="2:18">
      <c r="B134" s="81"/>
      <c r="C134">
        <v>10</v>
      </c>
      <c r="D134">
        <v>32</v>
      </c>
      <c r="E134">
        <v>0.73391099999999998</v>
      </c>
      <c r="F134" s="78"/>
      <c r="G134" s="75">
        <f t="shared" si="48"/>
        <v>1.8794840172752347E-2</v>
      </c>
      <c r="H134" s="76">
        <f t="shared" si="49"/>
        <v>-9.9999999999999978E-2</v>
      </c>
      <c r="I134" s="75">
        <f t="shared" si="50"/>
        <v>-0.5</v>
      </c>
      <c r="J134" s="75">
        <f t="shared" si="51"/>
        <v>-0.47829758793377097</v>
      </c>
      <c r="K134" s="76">
        <f t="shared" si="52"/>
        <v>-0.43564429606038735</v>
      </c>
      <c r="L134" s="77">
        <f t="shared" si="53"/>
        <v>-0.28172819484875444</v>
      </c>
      <c r="M134" s="76">
        <f t="shared" si="54"/>
        <v>-0.29883623873011983</v>
      </c>
      <c r="N134" s="77">
        <f t="shared" si="55"/>
        <v>-9.3789670691572902E-2</v>
      </c>
      <c r="O134" s="76">
        <f t="shared" si="56"/>
        <v>-0.43564429606038735</v>
      </c>
      <c r="P134" s="77">
        <f t="shared" si="57"/>
        <v>-0.28172819484875444</v>
      </c>
      <c r="Q134" s="76">
        <f t="shared" si="58"/>
        <v>-0.43564429606038735</v>
      </c>
      <c r="R134" s="75">
        <f t="shared" si="59"/>
        <v>-0.30052303502150679</v>
      </c>
    </row>
    <row r="135" spans="2:18">
      <c r="B135" s="81"/>
      <c r="C135">
        <v>10</v>
      </c>
      <c r="D135">
        <v>64</v>
      </c>
      <c r="E135">
        <v>1.0819665000000001</v>
      </c>
      <c r="F135" s="78"/>
      <c r="G135" s="75">
        <f t="shared" si="48"/>
        <v>0.15146460291283637</v>
      </c>
      <c r="H135" s="76">
        <f t="shared" si="49"/>
        <v>-9.9999999999999978E-2</v>
      </c>
      <c r="I135" s="75">
        <f t="shared" si="50"/>
        <v>-0.467741935483871</v>
      </c>
      <c r="J135" s="75">
        <f t="shared" si="51"/>
        <v>-0.32510374147114829</v>
      </c>
      <c r="K135" s="76">
        <f t="shared" si="52"/>
        <v>-0.40533163087374519</v>
      </c>
      <c r="L135" s="77">
        <f t="shared" si="53"/>
        <v>-0.15457488603327796</v>
      </c>
      <c r="M135" s="76">
        <f t="shared" si="54"/>
        <v>-0.26852357354347761</v>
      </c>
      <c r="N135" s="77">
        <f t="shared" si="55"/>
        <v>3.3363638123903583E-2</v>
      </c>
      <c r="O135" s="76">
        <f t="shared" si="56"/>
        <v>-0.43564429606038735</v>
      </c>
      <c r="P135" s="77">
        <f t="shared" si="57"/>
        <v>-0.1490584321086704</v>
      </c>
      <c r="Q135" s="76">
        <f t="shared" si="58"/>
        <v>-0.40533163087374519</v>
      </c>
      <c r="R135" s="75">
        <f t="shared" si="59"/>
        <v>-0.30603948894611432</v>
      </c>
    </row>
    <row r="136" spans="2:18">
      <c r="B136" s="81"/>
      <c r="C136">
        <v>10</v>
      </c>
      <c r="D136">
        <v>96</v>
      </c>
      <c r="E136">
        <v>1.57331475</v>
      </c>
      <c r="F136" s="78"/>
      <c r="G136" s="75">
        <f t="shared" ref="G136:G167" si="60">D$19*(L136-R136)</f>
        <v>0.3387538592247048</v>
      </c>
      <c r="H136" s="76">
        <f t="shared" ref="H136:H167" si="61">(C136-H$16)/H$17-0.5</f>
        <v>-9.9999999999999978E-2</v>
      </c>
      <c r="I136" s="75">
        <f t="shared" ref="I136:I167" si="62">(D136-I$16)/I$17-0.5</f>
        <v>-0.43548387096774194</v>
      </c>
      <c r="J136" s="75">
        <f t="shared" ref="J136:J167" si="63">(E136-J$16)/J$17-0.5</f>
        <v>-0.10884073637518416</v>
      </c>
      <c r="K136" s="76">
        <f t="shared" ref="K136:K167" si="64">(H136*$H$13+I136*$I$13+J136*$J$13+$D$27)*$C$27</f>
        <v>-0.37501896568710291</v>
      </c>
      <c r="L136" s="77">
        <f t="shared" ref="L136:L167" si="65">(H136*$H$14+I136*$I$14+J136*$J$14+$E$27)*$C$27</f>
        <v>2.719791635398297E-2</v>
      </c>
      <c r="M136" s="76">
        <f t="shared" ref="M136:M167" si="66">(H$27*$H$13+I136*$I$13+J136*$J$13+$D$27)*$C$27</f>
        <v>-0.23821090835683537</v>
      </c>
      <c r="N136" s="77">
        <f t="shared" ref="N136:N167" si="67">(H$27*$H$14+I136*$I$14+J136*$J$14+$E$27)*$C$27</f>
        <v>0.21513644051116454</v>
      </c>
      <c r="O136" s="76">
        <f t="shared" ref="O136:O167" si="68">(H136*$H$13+I$27*$I$13+J136*$J$13+$D$27)*$C$27</f>
        <v>-0.43564429606038729</v>
      </c>
      <c r="P136" s="77">
        <f t="shared" ref="P136:P167" si="69">(H136*$H$14+I$27*$I$14+J136*$J$14+$E$27)*$C$27</f>
        <v>3.8230824203198094E-2</v>
      </c>
      <c r="Q136" s="76">
        <f t="shared" ref="Q136:Q167" si="70">(H136*$H$13+I136*$I$13+J$27*$J$13+$D$27)*$C$27</f>
        <v>-0.37501896568710297</v>
      </c>
      <c r="R136" s="75">
        <f t="shared" ref="R136:R167" si="71">(H136*$H$14+I136*$I$14+J$27*$J$14+$E$27)*$C$27</f>
        <v>-0.31155594287072186</v>
      </c>
    </row>
    <row r="137" spans="2:18">
      <c r="B137" s="81"/>
      <c r="C137">
        <v>10</v>
      </c>
      <c r="D137">
        <v>128</v>
      </c>
      <c r="E137">
        <v>1.7016942500000001</v>
      </c>
      <c r="F137" s="78"/>
      <c r="G137" s="75">
        <f t="shared" si="60"/>
        <v>0.38768880725940236</v>
      </c>
      <c r="H137" s="76">
        <f t="shared" si="61"/>
        <v>-9.9999999999999978E-2</v>
      </c>
      <c r="I137" s="75">
        <f t="shared" si="62"/>
        <v>-0.40322580645161288</v>
      </c>
      <c r="J137" s="75">
        <f t="shared" si="63"/>
        <v>-5.233552553395826E-2</v>
      </c>
      <c r="K137" s="76">
        <f t="shared" si="64"/>
        <v>-0.34470630050046064</v>
      </c>
      <c r="L137" s="77">
        <f t="shared" si="65"/>
        <v>7.061641046407291E-2</v>
      </c>
      <c r="M137" s="76">
        <f t="shared" si="66"/>
        <v>-0.20789824317019309</v>
      </c>
      <c r="N137" s="77">
        <f t="shared" si="67"/>
        <v>0.25855493462125445</v>
      </c>
      <c r="O137" s="76">
        <f t="shared" si="68"/>
        <v>-0.43564429606038729</v>
      </c>
      <c r="P137" s="77">
        <f t="shared" si="69"/>
        <v>8.7165772237895595E-2</v>
      </c>
      <c r="Q137" s="76">
        <f t="shared" si="70"/>
        <v>-0.34470630050046069</v>
      </c>
      <c r="R137" s="75">
        <f t="shared" si="71"/>
        <v>-0.31707239679532945</v>
      </c>
    </row>
    <row r="138" spans="2:18">
      <c r="B138" s="81"/>
      <c r="C138">
        <v>10</v>
      </c>
      <c r="D138">
        <v>160</v>
      </c>
      <c r="E138">
        <v>1.7919020000000001</v>
      </c>
      <c r="F138" s="78"/>
      <c r="G138" s="75">
        <f t="shared" si="60"/>
        <v>0.42207367056372253</v>
      </c>
      <c r="H138" s="76">
        <f t="shared" si="61"/>
        <v>-9.9999999999999978E-2</v>
      </c>
      <c r="I138" s="75">
        <f t="shared" si="62"/>
        <v>-0.37096774193548387</v>
      </c>
      <c r="J138" s="75">
        <f t="shared" si="63"/>
        <v>-1.2631305364362799E-2</v>
      </c>
      <c r="K138" s="76">
        <f t="shared" si="64"/>
        <v>-0.31439363531381848</v>
      </c>
      <c r="L138" s="77">
        <f t="shared" si="65"/>
        <v>9.9484819843785502E-2</v>
      </c>
      <c r="M138" s="76">
        <f t="shared" si="66"/>
        <v>-0.17758557798355093</v>
      </c>
      <c r="N138" s="77">
        <f t="shared" si="67"/>
        <v>0.28742334400096708</v>
      </c>
      <c r="O138" s="76">
        <f t="shared" si="68"/>
        <v>-0.43564429606038729</v>
      </c>
      <c r="P138" s="77">
        <f t="shared" si="69"/>
        <v>0.12155063554221575</v>
      </c>
      <c r="Q138" s="76">
        <f t="shared" si="70"/>
        <v>-0.31439363531381853</v>
      </c>
      <c r="R138" s="75">
        <f t="shared" si="71"/>
        <v>-0.32258885071993704</v>
      </c>
    </row>
    <row r="139" spans="2:18">
      <c r="B139" s="81"/>
      <c r="C139">
        <v>10</v>
      </c>
      <c r="D139">
        <v>192</v>
      </c>
      <c r="E139">
        <v>1.9051497500000001</v>
      </c>
      <c r="F139" s="78"/>
      <c r="G139" s="75">
        <f t="shared" si="60"/>
        <v>0.4652407865074395</v>
      </c>
      <c r="H139" s="76">
        <f t="shared" si="61"/>
        <v>-9.9999999999999978E-2</v>
      </c>
      <c r="I139" s="75">
        <f t="shared" si="62"/>
        <v>-0.33870967741935487</v>
      </c>
      <c r="J139" s="75">
        <f t="shared" si="63"/>
        <v>3.7213786656126735E-2</v>
      </c>
      <c r="K139" s="76">
        <f t="shared" si="64"/>
        <v>-0.28408097012717631</v>
      </c>
      <c r="L139" s="77">
        <f t="shared" si="65"/>
        <v>0.1371354818628949</v>
      </c>
      <c r="M139" s="76">
        <f t="shared" si="66"/>
        <v>-0.14727291279690877</v>
      </c>
      <c r="N139" s="77">
        <f t="shared" si="67"/>
        <v>0.32507400602007641</v>
      </c>
      <c r="O139" s="76">
        <f t="shared" si="68"/>
        <v>-0.43564429606038729</v>
      </c>
      <c r="P139" s="77">
        <f t="shared" si="69"/>
        <v>0.16471775148593271</v>
      </c>
      <c r="Q139" s="76">
        <f t="shared" si="70"/>
        <v>-0.28408097012717637</v>
      </c>
      <c r="R139" s="75">
        <f t="shared" si="71"/>
        <v>-0.32810530464454457</v>
      </c>
    </row>
    <row r="140" spans="2:18">
      <c r="B140" s="81"/>
      <c r="C140">
        <v>10</v>
      </c>
      <c r="D140">
        <v>224</v>
      </c>
      <c r="E140">
        <v>2.0257415000000001</v>
      </c>
      <c r="F140" s="78"/>
      <c r="G140" s="75">
        <f t="shared" si="60"/>
        <v>0.5112072454799641</v>
      </c>
      <c r="H140" s="76">
        <f t="shared" si="61"/>
        <v>-9.9999999999999978E-2</v>
      </c>
      <c r="I140" s="75">
        <f t="shared" si="62"/>
        <v>-0.30645161290322581</v>
      </c>
      <c r="J140" s="75">
        <f t="shared" si="63"/>
        <v>9.0291281579088722E-2</v>
      </c>
      <c r="K140" s="76">
        <f t="shared" si="64"/>
        <v>-0.2537683049405341</v>
      </c>
      <c r="L140" s="77">
        <f t="shared" si="65"/>
        <v>0.177585486910812</v>
      </c>
      <c r="M140" s="76">
        <f t="shared" si="66"/>
        <v>-0.11696024761026654</v>
      </c>
      <c r="N140" s="77">
        <f t="shared" si="67"/>
        <v>0.36552401106799354</v>
      </c>
      <c r="O140" s="76">
        <f t="shared" si="68"/>
        <v>-0.43564429606038729</v>
      </c>
      <c r="P140" s="77">
        <f t="shared" si="69"/>
        <v>0.21068421045845737</v>
      </c>
      <c r="Q140" s="76">
        <f t="shared" si="70"/>
        <v>-0.25376830494053415</v>
      </c>
      <c r="R140" s="75">
        <f t="shared" si="71"/>
        <v>-0.3336217585691521</v>
      </c>
    </row>
    <row r="141" spans="2:18">
      <c r="B141" s="81"/>
      <c r="C141">
        <v>10</v>
      </c>
      <c r="D141">
        <v>256</v>
      </c>
      <c r="E141">
        <v>2.1508885000000002</v>
      </c>
      <c r="F141" s="78"/>
      <c r="G141" s="75">
        <f t="shared" si="60"/>
        <v>0.55891004804344413</v>
      </c>
      <c r="H141" s="76">
        <f t="shared" si="61"/>
        <v>-9.9999999999999978E-2</v>
      </c>
      <c r="I141" s="75">
        <f t="shared" si="62"/>
        <v>-0.27419354838709675</v>
      </c>
      <c r="J141" s="75">
        <f t="shared" si="63"/>
        <v>0.14537373338133819</v>
      </c>
      <c r="K141" s="76">
        <f t="shared" si="64"/>
        <v>-0.22345563975389179</v>
      </c>
      <c r="L141" s="77">
        <f t="shared" si="65"/>
        <v>0.21977183554968441</v>
      </c>
      <c r="M141" s="76">
        <f t="shared" si="66"/>
        <v>-8.6647582423624261E-2</v>
      </c>
      <c r="N141" s="77">
        <f t="shared" si="67"/>
        <v>0.40771035970686598</v>
      </c>
      <c r="O141" s="76">
        <f t="shared" si="68"/>
        <v>-0.43564429606038729</v>
      </c>
      <c r="P141" s="77">
        <f t="shared" si="69"/>
        <v>0.25838701302193734</v>
      </c>
      <c r="Q141" s="76">
        <f t="shared" si="70"/>
        <v>-0.22345563975389188</v>
      </c>
      <c r="R141" s="75">
        <f t="shared" si="71"/>
        <v>-0.33913821249375969</v>
      </c>
    </row>
    <row r="142" spans="2:18">
      <c r="B142" s="81"/>
      <c r="C142">
        <v>10</v>
      </c>
      <c r="D142">
        <v>288</v>
      </c>
      <c r="E142">
        <v>2.2953092499999999</v>
      </c>
      <c r="F142" s="78"/>
      <c r="G142" s="75">
        <f t="shared" si="60"/>
        <v>0.61395950606736549</v>
      </c>
      <c r="H142" s="76">
        <f t="shared" si="61"/>
        <v>-9.9999999999999978E-2</v>
      </c>
      <c r="I142" s="75">
        <f t="shared" si="62"/>
        <v>-0.24193548387096775</v>
      </c>
      <c r="J142" s="75">
        <f t="shared" si="63"/>
        <v>0.20893937219904624</v>
      </c>
      <c r="K142" s="76">
        <f t="shared" si="64"/>
        <v>-0.19314297456724963</v>
      </c>
      <c r="L142" s="77">
        <f t="shared" si="65"/>
        <v>0.26930483964899821</v>
      </c>
      <c r="M142" s="76">
        <f t="shared" si="66"/>
        <v>-5.6334917236982085E-2</v>
      </c>
      <c r="N142" s="77">
        <f t="shared" si="67"/>
        <v>0.4572433638061798</v>
      </c>
      <c r="O142" s="76">
        <f t="shared" si="68"/>
        <v>-0.43564429606038729</v>
      </c>
      <c r="P142" s="77">
        <f t="shared" si="69"/>
        <v>0.3134364710458587</v>
      </c>
      <c r="Q142" s="76">
        <f t="shared" si="70"/>
        <v>-0.19314297456724971</v>
      </c>
      <c r="R142" s="75">
        <f t="shared" si="71"/>
        <v>-0.34465466641836728</v>
      </c>
    </row>
    <row r="143" spans="2:18">
      <c r="B143" s="81"/>
      <c r="C143">
        <v>10</v>
      </c>
      <c r="D143">
        <v>320</v>
      </c>
      <c r="E143">
        <v>2.4601484999999998</v>
      </c>
      <c r="F143" s="78"/>
      <c r="G143" s="75">
        <f t="shared" si="60"/>
        <v>0.67679196867104041</v>
      </c>
      <c r="H143" s="76">
        <f t="shared" si="61"/>
        <v>-9.9999999999999978E-2</v>
      </c>
      <c r="I143" s="75">
        <f t="shared" si="62"/>
        <v>-0.20967741935483869</v>
      </c>
      <c r="J143" s="75">
        <f t="shared" si="63"/>
        <v>0.28149205059520388</v>
      </c>
      <c r="K143" s="76">
        <f t="shared" si="64"/>
        <v>-0.16283030938060741</v>
      </c>
      <c r="L143" s="77">
        <f t="shared" si="65"/>
        <v>0.32662084832806559</v>
      </c>
      <c r="M143" s="76">
        <f t="shared" si="66"/>
        <v>-2.602225205033986E-2</v>
      </c>
      <c r="N143" s="77">
        <f t="shared" si="67"/>
        <v>0.51455937248524719</v>
      </c>
      <c r="O143" s="76">
        <f t="shared" si="68"/>
        <v>-0.43564429606038724</v>
      </c>
      <c r="P143" s="77">
        <f t="shared" si="69"/>
        <v>0.37626893364953368</v>
      </c>
      <c r="Q143" s="76">
        <f t="shared" si="70"/>
        <v>-0.1628303093806075</v>
      </c>
      <c r="R143" s="75">
        <f t="shared" si="71"/>
        <v>-0.35017112034297482</v>
      </c>
    </row>
    <row r="144" spans="2:18">
      <c r="B144" s="81"/>
      <c r="C144">
        <v>10</v>
      </c>
      <c r="D144">
        <v>352</v>
      </c>
      <c r="E144">
        <v>2.6280787499999998</v>
      </c>
      <c r="F144" s="78"/>
      <c r="G144" s="75">
        <f t="shared" si="60"/>
        <v>0.74080264060233592</v>
      </c>
      <c r="H144" s="76">
        <f t="shared" si="61"/>
        <v>-9.9999999999999978E-2</v>
      </c>
      <c r="I144" s="75">
        <f t="shared" si="62"/>
        <v>-0.17741935483870969</v>
      </c>
      <c r="J144" s="75">
        <f t="shared" si="63"/>
        <v>0.35540520793628838</v>
      </c>
      <c r="K144" s="76">
        <f t="shared" si="64"/>
        <v>-0.1325176441939652</v>
      </c>
      <c r="L144" s="77">
        <f t="shared" si="65"/>
        <v>0.38511506633475356</v>
      </c>
      <c r="M144" s="76">
        <f t="shared" si="66"/>
        <v>4.2904131363023391E-3</v>
      </c>
      <c r="N144" s="77">
        <f t="shared" si="67"/>
        <v>0.57305359049193516</v>
      </c>
      <c r="O144" s="76">
        <f t="shared" si="68"/>
        <v>-0.43564429606038724</v>
      </c>
      <c r="P144" s="77">
        <f t="shared" si="69"/>
        <v>0.44027960558082913</v>
      </c>
      <c r="Q144" s="76">
        <f t="shared" si="70"/>
        <v>-0.13251764419396531</v>
      </c>
      <c r="R144" s="75">
        <f t="shared" si="71"/>
        <v>-0.35568757426758235</v>
      </c>
    </row>
    <row r="145" spans="2:18">
      <c r="B145" s="81"/>
      <c r="C145">
        <v>10</v>
      </c>
      <c r="D145">
        <v>384</v>
      </c>
      <c r="E145">
        <v>2.8084745</v>
      </c>
      <c r="F145" s="78"/>
      <c r="G145" s="75">
        <f t="shared" si="60"/>
        <v>0.80956483902132248</v>
      </c>
      <c r="H145" s="76">
        <f t="shared" si="61"/>
        <v>-9.9999999999999978E-2</v>
      </c>
      <c r="I145" s="75">
        <f t="shared" si="62"/>
        <v>-0.14516129032258063</v>
      </c>
      <c r="J145" s="75">
        <f t="shared" si="63"/>
        <v>0.43480495547083309</v>
      </c>
      <c r="K145" s="76">
        <f t="shared" si="64"/>
        <v>-0.10220497900732298</v>
      </c>
      <c r="L145" s="77">
        <f t="shared" si="65"/>
        <v>0.44836081082913254</v>
      </c>
      <c r="M145" s="76">
        <f t="shared" si="66"/>
        <v>3.4603078322944569E-2</v>
      </c>
      <c r="N145" s="77">
        <f t="shared" si="67"/>
        <v>0.63629933498631408</v>
      </c>
      <c r="O145" s="76">
        <f t="shared" si="68"/>
        <v>-0.43564429606038724</v>
      </c>
      <c r="P145" s="77">
        <f t="shared" si="69"/>
        <v>0.50904180399981569</v>
      </c>
      <c r="Q145" s="76">
        <f t="shared" si="70"/>
        <v>-0.10220497900732309</v>
      </c>
      <c r="R145" s="75">
        <f t="shared" si="71"/>
        <v>-0.36120402819218994</v>
      </c>
    </row>
    <row r="146" spans="2:18">
      <c r="B146" s="81"/>
      <c r="C146">
        <v>12</v>
      </c>
      <c r="D146">
        <v>32</v>
      </c>
      <c r="E146">
        <v>0.77643675000000001</v>
      </c>
      <c r="F146" s="78"/>
      <c r="G146" s="75">
        <f t="shared" si="60"/>
        <v>3.5004557194446007E-2</v>
      </c>
      <c r="H146" s="76">
        <f t="shared" si="61"/>
        <v>0</v>
      </c>
      <c r="I146" s="75">
        <f t="shared" si="62"/>
        <v>-0.5</v>
      </c>
      <c r="J146" s="75">
        <f t="shared" si="63"/>
        <v>-0.45958021896184587</v>
      </c>
      <c r="K146" s="76">
        <f t="shared" si="64"/>
        <v>-0.46984631039295421</v>
      </c>
      <c r="L146" s="77">
        <f t="shared" si="65"/>
        <v>-0.31250310886635613</v>
      </c>
      <c r="M146" s="76">
        <f t="shared" si="66"/>
        <v>-0.29883623873011983</v>
      </c>
      <c r="N146" s="77">
        <f t="shared" si="67"/>
        <v>-7.7579953669879187E-2</v>
      </c>
      <c r="O146" s="76">
        <f t="shared" si="68"/>
        <v>-0.46984631039295421</v>
      </c>
      <c r="P146" s="77">
        <f t="shared" si="69"/>
        <v>-0.31250310886635613</v>
      </c>
      <c r="Q146" s="76">
        <f t="shared" si="70"/>
        <v>-0.46984631039295421</v>
      </c>
      <c r="R146" s="75">
        <f t="shared" si="71"/>
        <v>-0.34750766606080213</v>
      </c>
    </row>
    <row r="147" spans="2:18">
      <c r="B147" s="81"/>
      <c r="C147">
        <v>12</v>
      </c>
      <c r="D147">
        <v>64</v>
      </c>
      <c r="E147">
        <v>1.2712535</v>
      </c>
      <c r="F147" s="78"/>
      <c r="G147" s="75">
        <f t="shared" si="60"/>
        <v>0.22361591607922024</v>
      </c>
      <c r="H147" s="76">
        <f t="shared" si="61"/>
        <v>0</v>
      </c>
      <c r="I147" s="75">
        <f t="shared" si="62"/>
        <v>-0.467741935483871</v>
      </c>
      <c r="J147" s="75">
        <f t="shared" si="63"/>
        <v>-0.2417905813131549</v>
      </c>
      <c r="K147" s="76">
        <f t="shared" si="64"/>
        <v>-0.43953364520631205</v>
      </c>
      <c r="L147" s="77">
        <f t="shared" si="65"/>
        <v>-0.12940820390618948</v>
      </c>
      <c r="M147" s="76">
        <f t="shared" si="66"/>
        <v>-0.26852357354347761</v>
      </c>
      <c r="N147" s="77">
        <f t="shared" si="67"/>
        <v>0.10551495129028743</v>
      </c>
      <c r="O147" s="76">
        <f t="shared" si="68"/>
        <v>-0.46984631039295421</v>
      </c>
      <c r="P147" s="77">
        <f t="shared" si="69"/>
        <v>-0.12389174998158192</v>
      </c>
      <c r="Q147" s="76">
        <f t="shared" si="70"/>
        <v>-0.43953364520631205</v>
      </c>
      <c r="R147" s="75">
        <f t="shared" si="71"/>
        <v>-0.35302411998540972</v>
      </c>
    </row>
    <row r="148" spans="2:18">
      <c r="B148" s="81"/>
      <c r="C148">
        <v>12</v>
      </c>
      <c r="D148">
        <v>96</v>
      </c>
      <c r="E148">
        <v>1.66860575</v>
      </c>
      <c r="F148" s="78"/>
      <c r="G148" s="75">
        <f t="shared" si="60"/>
        <v>0.37507632607629998</v>
      </c>
      <c r="H148" s="76">
        <f t="shared" si="61"/>
        <v>0</v>
      </c>
      <c r="I148" s="75">
        <f t="shared" si="62"/>
        <v>-0.43548387096774194</v>
      </c>
      <c r="J148" s="75">
        <f t="shared" si="63"/>
        <v>-6.6899164346384765E-2</v>
      </c>
      <c r="K148" s="76">
        <f t="shared" si="64"/>
        <v>-0.40922098001966978</v>
      </c>
      <c r="L148" s="77">
        <f t="shared" si="65"/>
        <v>1.6535752166282704E-2</v>
      </c>
      <c r="M148" s="76">
        <f t="shared" si="66"/>
        <v>-0.23821090835683537</v>
      </c>
      <c r="N148" s="77">
        <f t="shared" si="67"/>
        <v>0.25145890736275966</v>
      </c>
      <c r="O148" s="76">
        <f t="shared" si="68"/>
        <v>-0.46984631039295416</v>
      </c>
      <c r="P148" s="77">
        <f t="shared" si="69"/>
        <v>2.7568660015497827E-2</v>
      </c>
      <c r="Q148" s="76">
        <f t="shared" si="70"/>
        <v>-0.40922098001966983</v>
      </c>
      <c r="R148" s="75">
        <f t="shared" si="71"/>
        <v>-0.35854057391001726</v>
      </c>
    </row>
    <row r="149" spans="2:18">
      <c r="B149" s="81"/>
      <c r="C149">
        <v>12</v>
      </c>
      <c r="D149">
        <v>128</v>
      </c>
      <c r="E149">
        <v>1.7696682500000001</v>
      </c>
      <c r="F149" s="78"/>
      <c r="G149" s="75">
        <f t="shared" si="60"/>
        <v>0.4135987395905808</v>
      </c>
      <c r="H149" s="76">
        <f t="shared" si="61"/>
        <v>0</v>
      </c>
      <c r="I149" s="75">
        <f t="shared" si="62"/>
        <v>-0.40322580645161288</v>
      </c>
      <c r="J149" s="75">
        <f t="shared" si="63"/>
        <v>-2.241731272177655E-2</v>
      </c>
      <c r="K149" s="76">
        <f t="shared" si="64"/>
        <v>-0.3789083148330275</v>
      </c>
      <c r="L149" s="77">
        <f t="shared" si="65"/>
        <v>4.9541711755955953E-2</v>
      </c>
      <c r="M149" s="76">
        <f t="shared" si="66"/>
        <v>-0.20789824317019309</v>
      </c>
      <c r="N149" s="77">
        <f t="shared" si="67"/>
        <v>0.28446486695243289</v>
      </c>
      <c r="O149" s="76">
        <f t="shared" si="68"/>
        <v>-0.46984631039295416</v>
      </c>
      <c r="P149" s="77">
        <f t="shared" si="69"/>
        <v>6.6091073529778652E-2</v>
      </c>
      <c r="Q149" s="76">
        <f t="shared" si="70"/>
        <v>-0.37890831483302756</v>
      </c>
      <c r="R149" s="75">
        <f t="shared" si="71"/>
        <v>-0.36405702783462485</v>
      </c>
    </row>
    <row r="150" spans="2:18">
      <c r="B150" s="81"/>
      <c r="C150">
        <v>12</v>
      </c>
      <c r="D150">
        <v>160</v>
      </c>
      <c r="E150">
        <v>1.90283925</v>
      </c>
      <c r="F150" s="78"/>
      <c r="G150" s="75">
        <f t="shared" si="60"/>
        <v>0.46436008361146169</v>
      </c>
      <c r="H150" s="76">
        <f t="shared" si="61"/>
        <v>0</v>
      </c>
      <c r="I150" s="75">
        <f t="shared" si="62"/>
        <v>-0.37096774193548387</v>
      </c>
      <c r="J150" s="75">
        <f t="shared" si="63"/>
        <v>3.6196838547989052E-2</v>
      </c>
      <c r="K150" s="76">
        <f t="shared" si="64"/>
        <v>-0.34859564964638534</v>
      </c>
      <c r="L150" s="77">
        <f t="shared" si="65"/>
        <v>9.4786601852229327E-2</v>
      </c>
      <c r="M150" s="76">
        <f t="shared" si="66"/>
        <v>-0.17758557798355093</v>
      </c>
      <c r="N150" s="77">
        <f t="shared" si="67"/>
        <v>0.32970975704870625</v>
      </c>
      <c r="O150" s="76">
        <f t="shared" si="68"/>
        <v>-0.46984631039295416</v>
      </c>
      <c r="P150" s="77">
        <f t="shared" si="69"/>
        <v>0.11685241755065957</v>
      </c>
      <c r="Q150" s="76">
        <f t="shared" si="70"/>
        <v>-0.3485956496463854</v>
      </c>
      <c r="R150" s="75">
        <f t="shared" si="71"/>
        <v>-0.36957348175923238</v>
      </c>
    </row>
    <row r="151" spans="2:18">
      <c r="B151" s="81"/>
      <c r="C151">
        <v>12</v>
      </c>
      <c r="D151">
        <v>192</v>
      </c>
      <c r="E151">
        <v>2.0524339999999999</v>
      </c>
      <c r="F151" s="78"/>
      <c r="G151" s="75">
        <f t="shared" si="60"/>
        <v>0.52138173673765054</v>
      </c>
      <c r="H151" s="76">
        <f t="shared" si="61"/>
        <v>0</v>
      </c>
      <c r="I151" s="75">
        <f t="shared" si="62"/>
        <v>-0.33870967741935487</v>
      </c>
      <c r="J151" s="75">
        <f t="shared" si="63"/>
        <v>0.10203977211207416</v>
      </c>
      <c r="K151" s="76">
        <f t="shared" si="64"/>
        <v>-0.31828298445974318</v>
      </c>
      <c r="L151" s="77">
        <f t="shared" si="65"/>
        <v>0.14629180105381054</v>
      </c>
      <c r="M151" s="76">
        <f t="shared" si="66"/>
        <v>-0.14727291279690877</v>
      </c>
      <c r="N151" s="77">
        <f t="shared" si="67"/>
        <v>0.38121495625028745</v>
      </c>
      <c r="O151" s="76">
        <f t="shared" si="68"/>
        <v>-0.46984631039295416</v>
      </c>
      <c r="P151" s="77">
        <f t="shared" si="69"/>
        <v>0.17387407067684835</v>
      </c>
      <c r="Q151" s="76">
        <f t="shared" si="70"/>
        <v>-0.31828298445974323</v>
      </c>
      <c r="R151" s="75">
        <f t="shared" si="71"/>
        <v>-0.37508993568383997</v>
      </c>
    </row>
    <row r="152" spans="2:18">
      <c r="B152" s="81"/>
      <c r="C152">
        <v>12</v>
      </c>
      <c r="D152">
        <v>224</v>
      </c>
      <c r="E152">
        <v>2.2029879999999999</v>
      </c>
      <c r="F152" s="78"/>
      <c r="G152" s="75">
        <f t="shared" si="60"/>
        <v>0.57876903117652767</v>
      </c>
      <c r="H152" s="76">
        <f t="shared" si="61"/>
        <v>0</v>
      </c>
      <c r="I152" s="75">
        <f t="shared" si="62"/>
        <v>-0.30645161290322581</v>
      </c>
      <c r="J152" s="75">
        <f t="shared" si="63"/>
        <v>0.16830491189677432</v>
      </c>
      <c r="K152" s="76">
        <f t="shared" si="64"/>
        <v>-0.28797031927310096</v>
      </c>
      <c r="L152" s="77">
        <f t="shared" si="65"/>
        <v>0.19816264156808022</v>
      </c>
      <c r="M152" s="76">
        <f t="shared" si="66"/>
        <v>-0.11696024761026654</v>
      </c>
      <c r="N152" s="77">
        <f t="shared" si="67"/>
        <v>0.43308579676455716</v>
      </c>
      <c r="O152" s="76">
        <f t="shared" si="68"/>
        <v>-0.46984631039295416</v>
      </c>
      <c r="P152" s="77">
        <f t="shared" si="69"/>
        <v>0.23126136511572559</v>
      </c>
      <c r="Q152" s="76">
        <f t="shared" si="70"/>
        <v>-0.28797031927310102</v>
      </c>
      <c r="R152" s="75">
        <f t="shared" si="71"/>
        <v>-0.3806063896084475</v>
      </c>
    </row>
    <row r="153" spans="2:18">
      <c r="B153" s="81"/>
      <c r="C153">
        <v>12</v>
      </c>
      <c r="D153">
        <v>256</v>
      </c>
      <c r="E153">
        <v>2.3919415000000002</v>
      </c>
      <c r="F153" s="78"/>
      <c r="G153" s="75">
        <f t="shared" si="60"/>
        <v>0.65079322276065299</v>
      </c>
      <c r="H153" s="76">
        <f t="shared" si="61"/>
        <v>0</v>
      </c>
      <c r="I153" s="75">
        <f t="shared" si="62"/>
        <v>-0.27419354838709675</v>
      </c>
      <c r="J153" s="75">
        <f t="shared" si="63"/>
        <v>0.25147128469529412</v>
      </c>
      <c r="K153" s="76">
        <f t="shared" si="64"/>
        <v>-0.25765765408645863</v>
      </c>
      <c r="L153" s="77">
        <f t="shared" si="65"/>
        <v>0.2646703792275979</v>
      </c>
      <c r="M153" s="76">
        <f t="shared" si="66"/>
        <v>-8.6647582423624248E-2</v>
      </c>
      <c r="N153" s="77">
        <f t="shared" si="67"/>
        <v>0.49959353442407484</v>
      </c>
      <c r="O153" s="76">
        <f t="shared" si="68"/>
        <v>-0.4698463103929541</v>
      </c>
      <c r="P153" s="77">
        <f t="shared" si="69"/>
        <v>0.30328555669985086</v>
      </c>
      <c r="Q153" s="76">
        <f t="shared" si="70"/>
        <v>-0.25765765408645874</v>
      </c>
      <c r="R153" s="75">
        <f t="shared" si="71"/>
        <v>-0.38612284353305509</v>
      </c>
    </row>
    <row r="154" spans="2:18">
      <c r="B154" s="81"/>
      <c r="C154">
        <v>12</v>
      </c>
      <c r="D154">
        <v>288</v>
      </c>
      <c r="E154">
        <v>2.5935605000000002</v>
      </c>
      <c r="F154" s="78"/>
      <c r="G154" s="75">
        <f t="shared" si="60"/>
        <v>0.72764517566440823</v>
      </c>
      <c r="H154" s="76">
        <f t="shared" si="61"/>
        <v>0</v>
      </c>
      <c r="I154" s="75">
        <f t="shared" si="62"/>
        <v>-0.24193548387096775</v>
      </c>
      <c r="J154" s="75">
        <f t="shared" si="63"/>
        <v>0.34021227608875726</v>
      </c>
      <c r="K154" s="76">
        <f t="shared" si="64"/>
        <v>-0.22734498889981647</v>
      </c>
      <c r="L154" s="77">
        <f t="shared" si="65"/>
        <v>0.33600587820674566</v>
      </c>
      <c r="M154" s="76">
        <f t="shared" si="66"/>
        <v>-5.6334917236982071E-2</v>
      </c>
      <c r="N154" s="77">
        <f t="shared" si="67"/>
        <v>0.57092903340322265</v>
      </c>
      <c r="O154" s="76">
        <f t="shared" si="68"/>
        <v>-0.4698463103929541</v>
      </c>
      <c r="P154" s="77">
        <f t="shared" si="69"/>
        <v>0.38013750960360615</v>
      </c>
      <c r="Q154" s="76">
        <f t="shared" si="70"/>
        <v>-0.22734498889981658</v>
      </c>
      <c r="R154" s="75">
        <f t="shared" si="71"/>
        <v>-0.39163929745766263</v>
      </c>
    </row>
    <row r="155" spans="2:18">
      <c r="B155" s="81"/>
      <c r="C155">
        <v>12</v>
      </c>
      <c r="D155">
        <v>320</v>
      </c>
      <c r="E155">
        <v>2.8137287500000001</v>
      </c>
      <c r="F155" s="78"/>
      <c r="G155" s="75">
        <f t="shared" si="60"/>
        <v>0.8115676233499054</v>
      </c>
      <c r="H155" s="76">
        <f t="shared" si="61"/>
        <v>0</v>
      </c>
      <c r="I155" s="75">
        <f t="shared" si="62"/>
        <v>-0.20967741935483869</v>
      </c>
      <c r="J155" s="75">
        <f t="shared" si="63"/>
        <v>0.43711757161330533</v>
      </c>
      <c r="K155" s="76">
        <f t="shared" si="64"/>
        <v>-0.19703232371317425</v>
      </c>
      <c r="L155" s="77">
        <f t="shared" si="65"/>
        <v>0.41441187196763518</v>
      </c>
      <c r="M155" s="76">
        <f t="shared" si="66"/>
        <v>-2.6022252050339843E-2</v>
      </c>
      <c r="N155" s="77">
        <f t="shared" si="67"/>
        <v>0.64933502716411207</v>
      </c>
      <c r="O155" s="76">
        <f t="shared" si="68"/>
        <v>-0.4698463103929541</v>
      </c>
      <c r="P155" s="77">
        <f t="shared" si="69"/>
        <v>0.46405995728910326</v>
      </c>
      <c r="Q155" s="76">
        <f t="shared" si="70"/>
        <v>-0.19703232371317436</v>
      </c>
      <c r="R155" s="75">
        <f t="shared" si="71"/>
        <v>-0.39715575138227022</v>
      </c>
    </row>
    <row r="156" spans="2:18">
      <c r="B156" s="81"/>
      <c r="C156">
        <v>14</v>
      </c>
      <c r="D156">
        <v>32</v>
      </c>
      <c r="E156">
        <v>0.83618274999999997</v>
      </c>
      <c r="F156" s="78"/>
      <c r="G156" s="75">
        <f t="shared" si="60"/>
        <v>5.7778188539645503E-2</v>
      </c>
      <c r="H156" s="76">
        <f t="shared" si="61"/>
        <v>9.9999999999999978E-2</v>
      </c>
      <c r="I156" s="75">
        <f t="shared" si="62"/>
        <v>-0.5</v>
      </c>
      <c r="J156" s="75">
        <f t="shared" si="63"/>
        <v>-0.43328349458669346</v>
      </c>
      <c r="K156" s="76">
        <f t="shared" si="64"/>
        <v>-0.50404832472552108</v>
      </c>
      <c r="L156" s="77">
        <f t="shared" si="65"/>
        <v>-0.33671410856045203</v>
      </c>
      <c r="M156" s="76">
        <f t="shared" si="66"/>
        <v>-0.29883623873011983</v>
      </c>
      <c r="N156" s="77">
        <f t="shared" si="67"/>
        <v>-5.480632232467969E-2</v>
      </c>
      <c r="O156" s="76">
        <f t="shared" si="68"/>
        <v>-0.50404832472552108</v>
      </c>
      <c r="P156" s="77">
        <f t="shared" si="69"/>
        <v>-0.33671410856045203</v>
      </c>
      <c r="Q156" s="76">
        <f t="shared" si="70"/>
        <v>-0.50404832472552119</v>
      </c>
      <c r="R156" s="75">
        <f t="shared" si="71"/>
        <v>-0.39449229710009753</v>
      </c>
    </row>
    <row r="157" spans="2:18">
      <c r="B157" s="81"/>
      <c r="C157">
        <v>14</v>
      </c>
      <c r="D157">
        <v>64</v>
      </c>
      <c r="E157">
        <v>1.4350235</v>
      </c>
      <c r="F157" s="78"/>
      <c r="G157" s="75">
        <f t="shared" si="60"/>
        <v>0.28604080821264027</v>
      </c>
      <c r="H157" s="76">
        <f t="shared" si="61"/>
        <v>9.9999999999999978E-2</v>
      </c>
      <c r="I157" s="75">
        <f t="shared" si="62"/>
        <v>-0.467741935483871</v>
      </c>
      <c r="J157" s="75">
        <f t="shared" si="63"/>
        <v>-0.16970852475842807</v>
      </c>
      <c r="K157" s="76">
        <f t="shared" si="64"/>
        <v>-0.47373565953887886</v>
      </c>
      <c r="L157" s="77">
        <f t="shared" si="65"/>
        <v>-0.11396794281206479</v>
      </c>
      <c r="M157" s="76">
        <f t="shared" si="66"/>
        <v>-0.26852357354347756</v>
      </c>
      <c r="N157" s="77">
        <f t="shared" si="67"/>
        <v>0.16793984342370749</v>
      </c>
      <c r="O157" s="76">
        <f t="shared" si="68"/>
        <v>-0.50404832472552108</v>
      </c>
      <c r="P157" s="77">
        <f t="shared" si="69"/>
        <v>-0.10845148888745723</v>
      </c>
      <c r="Q157" s="76">
        <f t="shared" si="70"/>
        <v>-0.47373565953887892</v>
      </c>
      <c r="R157" s="75">
        <f t="shared" si="71"/>
        <v>-0.40000875102470507</v>
      </c>
    </row>
    <row r="158" spans="2:18">
      <c r="B158" s="81"/>
      <c r="C158">
        <v>14</v>
      </c>
      <c r="D158">
        <v>96</v>
      </c>
      <c r="E158">
        <v>1.71275975</v>
      </c>
      <c r="F158" s="78"/>
      <c r="G158" s="75">
        <f t="shared" si="60"/>
        <v>0.39190668992351885</v>
      </c>
      <c r="H158" s="76">
        <f t="shared" si="61"/>
        <v>9.9999999999999978E-2</v>
      </c>
      <c r="I158" s="75">
        <f t="shared" si="62"/>
        <v>-0.43548387096774194</v>
      </c>
      <c r="J158" s="75">
        <f t="shared" si="63"/>
        <v>-4.7465134150882438E-2</v>
      </c>
      <c r="K158" s="76">
        <f t="shared" si="64"/>
        <v>-0.44342299435223664</v>
      </c>
      <c r="L158" s="77">
        <f t="shared" si="65"/>
        <v>-1.3618515025793795E-2</v>
      </c>
      <c r="M158" s="76">
        <f t="shared" si="66"/>
        <v>-0.23821090835683537</v>
      </c>
      <c r="N158" s="77">
        <f t="shared" si="67"/>
        <v>0.26828927120997853</v>
      </c>
      <c r="O158" s="76">
        <f t="shared" si="68"/>
        <v>-0.50404832472552108</v>
      </c>
      <c r="P158" s="77">
        <f t="shared" si="69"/>
        <v>-2.585607176578672E-3</v>
      </c>
      <c r="Q158" s="76">
        <f t="shared" si="70"/>
        <v>-0.4434229943522367</v>
      </c>
      <c r="R158" s="75">
        <f t="shared" si="71"/>
        <v>-0.40552520494931266</v>
      </c>
    </row>
    <row r="159" spans="2:18">
      <c r="B159" s="81"/>
      <c r="C159">
        <v>14</v>
      </c>
      <c r="D159">
        <v>128</v>
      </c>
      <c r="E159">
        <v>1.8547045</v>
      </c>
      <c r="F159" s="78"/>
      <c r="G159" s="75">
        <f t="shared" si="60"/>
        <v>0.44601236072803291</v>
      </c>
      <c r="H159" s="76">
        <f t="shared" si="61"/>
        <v>9.9999999999999978E-2</v>
      </c>
      <c r="I159" s="75">
        <f t="shared" si="62"/>
        <v>-0.40322580645161288</v>
      </c>
      <c r="J159" s="75">
        <f t="shared" si="63"/>
        <v>1.5010713056460512E-2</v>
      </c>
      <c r="K159" s="76">
        <f t="shared" si="64"/>
        <v>-0.41311032916559437</v>
      </c>
      <c r="L159" s="77">
        <f t="shared" si="65"/>
        <v>3.4970701854112704E-2</v>
      </c>
      <c r="M159" s="76">
        <f t="shared" si="66"/>
        <v>-0.20789824317019309</v>
      </c>
      <c r="N159" s="77">
        <f t="shared" si="67"/>
        <v>0.316878488089885</v>
      </c>
      <c r="O159" s="76">
        <f t="shared" si="68"/>
        <v>-0.50404832472552108</v>
      </c>
      <c r="P159" s="77">
        <f t="shared" si="69"/>
        <v>5.1520063627935403E-2</v>
      </c>
      <c r="Q159" s="76">
        <f t="shared" si="70"/>
        <v>-0.41311032916559443</v>
      </c>
      <c r="R159" s="75">
        <f t="shared" si="71"/>
        <v>-0.41104165887392019</v>
      </c>
    </row>
    <row r="160" spans="2:18">
      <c r="B160" s="81"/>
      <c r="C160">
        <v>14</v>
      </c>
      <c r="D160">
        <v>160</v>
      </c>
      <c r="E160">
        <v>2.0258569999999998</v>
      </c>
      <c r="F160" s="78"/>
      <c r="G160" s="75">
        <f t="shared" si="60"/>
        <v>0.51125127109540891</v>
      </c>
      <c r="H160" s="76">
        <f t="shared" si="61"/>
        <v>9.9999999999999978E-2</v>
      </c>
      <c r="I160" s="75">
        <f t="shared" si="62"/>
        <v>-0.37096774193548387</v>
      </c>
      <c r="J160" s="75">
        <f t="shared" si="63"/>
        <v>9.0342117980945269E-2</v>
      </c>
      <c r="K160" s="76">
        <f t="shared" si="64"/>
        <v>-0.38279766397895221</v>
      </c>
      <c r="L160" s="77">
        <f t="shared" si="65"/>
        <v>9.469315829688113E-2</v>
      </c>
      <c r="M160" s="76">
        <f t="shared" si="66"/>
        <v>-0.17758557798355093</v>
      </c>
      <c r="N160" s="77">
        <f t="shared" si="67"/>
        <v>0.37660094453265347</v>
      </c>
      <c r="O160" s="76">
        <f t="shared" si="68"/>
        <v>-0.50404832472552108</v>
      </c>
      <c r="P160" s="77">
        <f t="shared" si="69"/>
        <v>0.11675897399531138</v>
      </c>
      <c r="Q160" s="76">
        <f t="shared" si="70"/>
        <v>-0.38279766397895226</v>
      </c>
      <c r="R160" s="75">
        <f t="shared" si="71"/>
        <v>-0.41655811279852778</v>
      </c>
    </row>
    <row r="161" spans="2:18">
      <c r="B161" s="81"/>
      <c r="C161">
        <v>14</v>
      </c>
      <c r="D161">
        <v>192</v>
      </c>
      <c r="E161">
        <v>2.2028055000000002</v>
      </c>
      <c r="F161" s="78"/>
      <c r="G161" s="75">
        <f t="shared" si="60"/>
        <v>0.57869946689238327</v>
      </c>
      <c r="H161" s="76">
        <f t="shared" si="61"/>
        <v>9.9999999999999978E-2</v>
      </c>
      <c r="I161" s="75">
        <f t="shared" si="62"/>
        <v>-0.33870967741935487</v>
      </c>
      <c r="J161" s="75">
        <f t="shared" si="63"/>
        <v>0.16822458598042078</v>
      </c>
      <c r="K161" s="76">
        <f t="shared" si="64"/>
        <v>-0.35248499879231004</v>
      </c>
      <c r="L161" s="77">
        <f t="shared" si="65"/>
        <v>0.15662490016924799</v>
      </c>
      <c r="M161" s="76">
        <f t="shared" si="66"/>
        <v>-0.14727291279690874</v>
      </c>
      <c r="N161" s="77">
        <f t="shared" si="67"/>
        <v>0.4385326864050203</v>
      </c>
      <c r="O161" s="76">
        <f t="shared" si="68"/>
        <v>-0.50404832472552108</v>
      </c>
      <c r="P161" s="77">
        <f t="shared" si="69"/>
        <v>0.1842071697922858</v>
      </c>
      <c r="Q161" s="76">
        <f t="shared" si="70"/>
        <v>-0.3524849987923101</v>
      </c>
      <c r="R161" s="75">
        <f t="shared" si="71"/>
        <v>-0.42207456672313531</v>
      </c>
    </row>
    <row r="162" spans="2:18">
      <c r="B162" s="81"/>
      <c r="C162">
        <v>14</v>
      </c>
      <c r="D162">
        <v>224</v>
      </c>
      <c r="E162">
        <v>2.4222557500000002</v>
      </c>
      <c r="F162" s="78"/>
      <c r="G162" s="75">
        <f t="shared" si="60"/>
        <v>0.66234823153121858</v>
      </c>
      <c r="H162" s="76">
        <f t="shared" si="61"/>
        <v>9.9999999999999978E-2</v>
      </c>
      <c r="I162" s="75">
        <f t="shared" si="62"/>
        <v>-0.30645161290322581</v>
      </c>
      <c r="J162" s="75">
        <f t="shared" si="63"/>
        <v>0.26481385954364323</v>
      </c>
      <c r="K162" s="76">
        <f t="shared" si="64"/>
        <v>-0.32217233360566777</v>
      </c>
      <c r="L162" s="77">
        <f t="shared" si="65"/>
        <v>0.23475721088347573</v>
      </c>
      <c r="M162" s="76">
        <f t="shared" si="66"/>
        <v>-0.11696024761026652</v>
      </c>
      <c r="N162" s="77">
        <f t="shared" si="67"/>
        <v>0.51666499711924807</v>
      </c>
      <c r="O162" s="76">
        <f t="shared" si="68"/>
        <v>-0.50404832472552108</v>
      </c>
      <c r="P162" s="77">
        <f t="shared" si="69"/>
        <v>0.2678559344311211</v>
      </c>
      <c r="Q162" s="76">
        <f t="shared" si="70"/>
        <v>-0.32217233360566788</v>
      </c>
      <c r="R162" s="75">
        <f t="shared" si="71"/>
        <v>-0.4275910206477429</v>
      </c>
    </row>
    <row r="163" spans="2:18">
      <c r="B163" s="81"/>
      <c r="C163">
        <v>14</v>
      </c>
      <c r="D163">
        <v>256</v>
      </c>
      <c r="E163">
        <v>2.6661670000000002</v>
      </c>
      <c r="F163" s="78"/>
      <c r="G163" s="75">
        <f t="shared" si="60"/>
        <v>0.75532089729037866</v>
      </c>
      <c r="H163" s="76">
        <f t="shared" si="61"/>
        <v>9.9999999999999978E-2</v>
      </c>
      <c r="I163" s="75">
        <f t="shared" si="62"/>
        <v>-0.27419354838709675</v>
      </c>
      <c r="J163" s="75">
        <f t="shared" si="63"/>
        <v>0.3721694467502995</v>
      </c>
      <c r="K163" s="76">
        <f t="shared" si="64"/>
        <v>-0.2918596684190255</v>
      </c>
      <c r="L163" s="77">
        <f t="shared" si="65"/>
        <v>0.32221342271802822</v>
      </c>
      <c r="M163" s="76">
        <f t="shared" si="66"/>
        <v>-8.6647582423624234E-2</v>
      </c>
      <c r="N163" s="77">
        <f t="shared" si="67"/>
        <v>0.6041212089538005</v>
      </c>
      <c r="O163" s="76">
        <f t="shared" si="68"/>
        <v>-0.50404832472552108</v>
      </c>
      <c r="P163" s="77">
        <f t="shared" si="69"/>
        <v>0.36082860019028112</v>
      </c>
      <c r="Q163" s="76">
        <f t="shared" si="70"/>
        <v>-0.29185966841902561</v>
      </c>
      <c r="R163" s="75">
        <f t="shared" si="71"/>
        <v>-0.43310747457235044</v>
      </c>
    </row>
    <row r="164" spans="2:18">
      <c r="B164" s="81"/>
      <c r="C164">
        <v>14</v>
      </c>
      <c r="D164">
        <v>288</v>
      </c>
      <c r="E164">
        <v>2.9234582499999999</v>
      </c>
      <c r="F164" s="78"/>
      <c r="G164" s="75">
        <f t="shared" si="60"/>
        <v>0.85339367330627169</v>
      </c>
      <c r="H164" s="76">
        <f t="shared" si="61"/>
        <v>9.9999999999999978E-2</v>
      </c>
      <c r="I164" s="75">
        <f t="shared" si="62"/>
        <v>-0.24193548387096775</v>
      </c>
      <c r="J164" s="75">
        <f t="shared" si="63"/>
        <v>0.48541413401619893</v>
      </c>
      <c r="K164" s="76">
        <f t="shared" si="64"/>
        <v>-0.26154700323238333</v>
      </c>
      <c r="L164" s="77">
        <f t="shared" si="65"/>
        <v>0.41476974480931367</v>
      </c>
      <c r="M164" s="76">
        <f t="shared" si="66"/>
        <v>-5.633491723698205E-2</v>
      </c>
      <c r="N164" s="77">
        <f t="shared" si="67"/>
        <v>0.69667753104508601</v>
      </c>
      <c r="O164" s="76">
        <f t="shared" si="68"/>
        <v>-0.50404832472552097</v>
      </c>
      <c r="P164" s="77">
        <f t="shared" si="69"/>
        <v>0.45890137620617416</v>
      </c>
      <c r="Q164" s="76">
        <f t="shared" si="70"/>
        <v>-0.26154700323238345</v>
      </c>
      <c r="R164" s="75">
        <f t="shared" si="71"/>
        <v>-0.43862392849695803</v>
      </c>
    </row>
    <row r="165" spans="2:18">
      <c r="B165" s="81"/>
      <c r="C165">
        <v>16</v>
      </c>
      <c r="D165">
        <v>32</v>
      </c>
      <c r="E165">
        <v>0.92402324999999996</v>
      </c>
      <c r="F165" s="78"/>
      <c r="G165" s="75">
        <f t="shared" si="60"/>
        <v>9.1260717314425255E-2</v>
      </c>
      <c r="H165" s="76">
        <f t="shared" si="61"/>
        <v>0.19999999999999996</v>
      </c>
      <c r="I165" s="75">
        <f t="shared" si="62"/>
        <v>-0.5</v>
      </c>
      <c r="J165" s="75">
        <f t="shared" si="63"/>
        <v>-0.39462120058415651</v>
      </c>
      <c r="K165" s="76">
        <f t="shared" si="64"/>
        <v>-0.53825033905808795</v>
      </c>
      <c r="L165" s="77">
        <f t="shared" si="65"/>
        <v>-0.35021621082496762</v>
      </c>
      <c r="M165" s="76">
        <f t="shared" si="66"/>
        <v>-0.29883623873011983</v>
      </c>
      <c r="N165" s="77">
        <f t="shared" si="67"/>
        <v>-2.1323793549899939E-2</v>
      </c>
      <c r="O165" s="76">
        <f t="shared" si="68"/>
        <v>-0.53825033905808795</v>
      </c>
      <c r="P165" s="77">
        <f t="shared" si="69"/>
        <v>-0.35021621082496762</v>
      </c>
      <c r="Q165" s="76">
        <f t="shared" si="70"/>
        <v>-0.53825033905808806</v>
      </c>
      <c r="R165" s="75">
        <f t="shared" si="71"/>
        <v>-0.44147692813939288</v>
      </c>
    </row>
    <row r="166" spans="2:18">
      <c r="B166" s="81"/>
      <c r="C166">
        <v>16</v>
      </c>
      <c r="D166">
        <v>64</v>
      </c>
      <c r="E166">
        <v>1.6314232500000001</v>
      </c>
      <c r="F166" s="78"/>
      <c r="G166" s="75">
        <f t="shared" si="60"/>
        <v>0.36090331788340213</v>
      </c>
      <c r="H166" s="76">
        <f t="shared" si="61"/>
        <v>0.19999999999999996</v>
      </c>
      <c r="I166" s="75">
        <f t="shared" si="62"/>
        <v>-0.467741935483871</v>
      </c>
      <c r="J166" s="75">
        <f t="shared" si="63"/>
        <v>-8.3264744537177471E-2</v>
      </c>
      <c r="K166" s="76">
        <f t="shared" si="64"/>
        <v>-0.50793767387144573</v>
      </c>
      <c r="L166" s="77">
        <f t="shared" si="65"/>
        <v>-8.609006418059835E-2</v>
      </c>
      <c r="M166" s="76">
        <f t="shared" si="66"/>
        <v>-0.26852357354347756</v>
      </c>
      <c r="N166" s="77">
        <f t="shared" si="67"/>
        <v>0.24280235309446932</v>
      </c>
      <c r="O166" s="76">
        <f t="shared" si="68"/>
        <v>-0.53825033905808795</v>
      </c>
      <c r="P166" s="77">
        <f t="shared" si="69"/>
        <v>-8.0573610255990788E-2</v>
      </c>
      <c r="Q166" s="76">
        <f t="shared" si="70"/>
        <v>-0.50793767387144584</v>
      </c>
      <c r="R166" s="75">
        <f t="shared" si="71"/>
        <v>-0.44699338206400047</v>
      </c>
    </row>
    <row r="167" spans="2:18">
      <c r="B167" s="81"/>
      <c r="C167">
        <v>16</v>
      </c>
      <c r="D167">
        <v>96</v>
      </c>
      <c r="E167">
        <v>1.7703565000000001</v>
      </c>
      <c r="F167" s="78"/>
      <c r="G167" s="75">
        <f t="shared" si="60"/>
        <v>0.41386108270599159</v>
      </c>
      <c r="H167" s="76">
        <f t="shared" si="61"/>
        <v>0.19999999999999996</v>
      </c>
      <c r="I167" s="75">
        <f t="shared" si="62"/>
        <v>-0.43548387096774194</v>
      </c>
      <c r="J167" s="75">
        <f t="shared" si="63"/>
        <v>-2.2114384985171598E-2</v>
      </c>
      <c r="K167" s="76">
        <f t="shared" si="64"/>
        <v>-0.47762500868480351</v>
      </c>
      <c r="L167" s="77">
        <f t="shared" si="65"/>
        <v>-3.8648753282616424E-2</v>
      </c>
      <c r="M167" s="76">
        <f t="shared" si="66"/>
        <v>-0.23821090835683537</v>
      </c>
      <c r="N167" s="77">
        <f t="shared" si="67"/>
        <v>0.29024366399245127</v>
      </c>
      <c r="O167" s="76">
        <f t="shared" si="68"/>
        <v>-0.53825033905808795</v>
      </c>
      <c r="P167" s="77">
        <f t="shared" si="69"/>
        <v>-2.7615845433401297E-2</v>
      </c>
      <c r="Q167" s="76">
        <f t="shared" si="70"/>
        <v>-0.47762500868480356</v>
      </c>
      <c r="R167" s="75">
        <f t="shared" si="71"/>
        <v>-0.452509835988608</v>
      </c>
    </row>
    <row r="168" spans="2:18">
      <c r="B168" s="81"/>
      <c r="C168">
        <v>16</v>
      </c>
      <c r="D168">
        <v>128</v>
      </c>
      <c r="E168">
        <v>1.94188625</v>
      </c>
      <c r="F168" s="78"/>
      <c r="G168" s="75">
        <f t="shared" ref="G168:G189" si="72">D$19*(L168-R168)</f>
        <v>0.47924379102511294</v>
      </c>
      <c r="H168" s="76">
        <f t="shared" ref="H168:H189" si="73">(C168-H$16)/H$17-0.5</f>
        <v>0.19999999999999996</v>
      </c>
      <c r="I168" s="75">
        <f t="shared" ref="I168:I189" si="74">(D168-I$16)/I$17-0.5</f>
        <v>-0.40322580645161288</v>
      </c>
      <c r="J168" s="75">
        <f t="shared" ref="J168:J189" si="75">(E168-J$16)/J$17-0.5</f>
        <v>5.3383063511611373E-2</v>
      </c>
      <c r="K168" s="76">
        <f t="shared" ref="K168:K189" si="76">(H168*$H$13+I168*$I$13+J168*$J$13+$D$27)*$C$27</f>
        <v>-0.44731234349816124</v>
      </c>
      <c r="L168" s="77">
        <f t="shared" ref="L168:L189" si="77">(H168*$H$14+I168*$I$14+J168*$J$14+$E$27)*$C$27</f>
        <v>2.1217501111897338E-2</v>
      </c>
      <c r="M168" s="76">
        <f t="shared" ref="M168:M189" si="78">(H$27*$H$13+I168*$I$13+J168*$J$13+$D$27)*$C$27</f>
        <v>-0.20789824317019309</v>
      </c>
      <c r="N168" s="77">
        <f t="shared" ref="N168:N189" si="79">(H$27*$H$14+I168*$I$14+J168*$J$14+$E$27)*$C$27</f>
        <v>0.35010991838696504</v>
      </c>
      <c r="O168" s="76">
        <f t="shared" ref="O168:O189" si="80">(H168*$H$13+I$27*$I$13+J168*$J$13+$D$27)*$C$27</f>
        <v>-0.53825033905808795</v>
      </c>
      <c r="P168" s="77">
        <f t="shared" ref="P168:P189" si="81">(H168*$H$14+I$27*$I$14+J168*$J$14+$E$27)*$C$27</f>
        <v>3.7766862885720037E-2</v>
      </c>
      <c r="Q168" s="76">
        <f t="shared" ref="Q168:Q189" si="82">(H168*$H$13+I168*$I$13+J$27*$J$13+$D$27)*$C$27</f>
        <v>-0.44731234349816129</v>
      </c>
      <c r="R168" s="75">
        <f t="shared" ref="R168:R189" si="83">(H168*$H$14+I168*$I$14+J$27*$J$14+$E$27)*$C$27</f>
        <v>-0.45802628991321559</v>
      </c>
    </row>
    <row r="169" spans="2:18">
      <c r="B169" s="81"/>
      <c r="C169">
        <v>16</v>
      </c>
      <c r="D169">
        <v>160</v>
      </c>
      <c r="E169">
        <v>2.1517919999999999</v>
      </c>
      <c r="F169" s="78"/>
      <c r="G169" s="75">
        <f t="shared" si="72"/>
        <v>0.55925443889672932</v>
      </c>
      <c r="H169" s="76">
        <f t="shared" si="73"/>
        <v>0.19999999999999996</v>
      </c>
      <c r="I169" s="75">
        <f t="shared" si="74"/>
        <v>-0.37096774193548387</v>
      </c>
      <c r="J169" s="75">
        <f t="shared" si="75"/>
        <v>0.14577140168503955</v>
      </c>
      <c r="K169" s="76">
        <f t="shared" si="76"/>
        <v>-0.41699967831151907</v>
      </c>
      <c r="L169" s="77">
        <f t="shared" si="77"/>
        <v>9.5711695058906213E-2</v>
      </c>
      <c r="M169" s="76">
        <f t="shared" si="78"/>
        <v>-0.1775855779835509</v>
      </c>
      <c r="N169" s="77">
        <f t="shared" si="79"/>
        <v>0.42460411233397388</v>
      </c>
      <c r="O169" s="76">
        <f t="shared" si="80"/>
        <v>-0.53825033905808795</v>
      </c>
      <c r="P169" s="77">
        <f t="shared" si="81"/>
        <v>0.11777751075733646</v>
      </c>
      <c r="Q169" s="76">
        <f t="shared" si="82"/>
        <v>-0.41699967831151913</v>
      </c>
      <c r="R169" s="75">
        <f t="shared" si="83"/>
        <v>-0.46354274383782312</v>
      </c>
    </row>
    <row r="170" spans="2:18">
      <c r="B170" s="81"/>
      <c r="C170">
        <v>16</v>
      </c>
      <c r="D170">
        <v>192</v>
      </c>
      <c r="E170">
        <v>2.3952882500000001</v>
      </c>
      <c r="F170" s="78"/>
      <c r="G170" s="75">
        <f t="shared" si="72"/>
        <v>0.6520689173796157</v>
      </c>
      <c r="H170" s="76">
        <f t="shared" si="73"/>
        <v>0.19999999999999996</v>
      </c>
      <c r="I170" s="75">
        <f t="shared" si="74"/>
        <v>-0.33870967741935487</v>
      </c>
      <c r="J170" s="75">
        <f t="shared" si="75"/>
        <v>0.25294432995861782</v>
      </c>
      <c r="K170" s="76">
        <f t="shared" si="76"/>
        <v>-0.38668701312487685</v>
      </c>
      <c r="L170" s="77">
        <f t="shared" si="77"/>
        <v>0.18300971961718493</v>
      </c>
      <c r="M170" s="76">
        <f t="shared" si="78"/>
        <v>-0.14727291279690874</v>
      </c>
      <c r="N170" s="77">
        <f t="shared" si="79"/>
        <v>0.51190213689225261</v>
      </c>
      <c r="O170" s="76">
        <f t="shared" si="80"/>
        <v>-0.53825033905808795</v>
      </c>
      <c r="P170" s="77">
        <f t="shared" si="81"/>
        <v>0.21059198924022277</v>
      </c>
      <c r="Q170" s="76">
        <f t="shared" si="82"/>
        <v>-0.38668701312487697</v>
      </c>
      <c r="R170" s="75">
        <f t="shared" si="83"/>
        <v>-0.46905919776243071</v>
      </c>
    </row>
    <row r="171" spans="2:18">
      <c r="B171" s="81"/>
      <c r="C171">
        <v>16</v>
      </c>
      <c r="D171">
        <v>224</v>
      </c>
      <c r="E171">
        <v>2.6667247500000002</v>
      </c>
      <c r="F171" s="78"/>
      <c r="G171" s="75">
        <f t="shared" si="72"/>
        <v>0.75553349717794926</v>
      </c>
      <c r="H171" s="76">
        <f t="shared" si="73"/>
        <v>0.19999999999999996</v>
      </c>
      <c r="I171" s="75">
        <f t="shared" si="74"/>
        <v>-0.30645161290322581</v>
      </c>
      <c r="J171" s="75">
        <f t="shared" si="75"/>
        <v>0.37241493595493658</v>
      </c>
      <c r="K171" s="76">
        <f t="shared" si="76"/>
        <v>-0.35637434793823464</v>
      </c>
      <c r="L171" s="77">
        <f t="shared" si="77"/>
        <v>0.28095784549091096</v>
      </c>
      <c r="M171" s="76">
        <f t="shared" si="78"/>
        <v>-0.11696024761026651</v>
      </c>
      <c r="N171" s="77">
        <f t="shared" si="79"/>
        <v>0.60985026276597865</v>
      </c>
      <c r="O171" s="76">
        <f t="shared" si="80"/>
        <v>-0.53825033905808795</v>
      </c>
      <c r="P171" s="77">
        <f t="shared" si="81"/>
        <v>0.31405656903855633</v>
      </c>
      <c r="Q171" s="76">
        <f t="shared" si="82"/>
        <v>-0.35637434793823475</v>
      </c>
      <c r="R171" s="75">
        <f t="shared" si="83"/>
        <v>-0.47457565168703825</v>
      </c>
    </row>
    <row r="172" spans="2:18">
      <c r="B172" s="81"/>
      <c r="C172">
        <v>16</v>
      </c>
      <c r="D172">
        <v>256</v>
      </c>
      <c r="E172">
        <v>2.9544495</v>
      </c>
      <c r="F172" s="78"/>
      <c r="G172" s="75">
        <f t="shared" si="72"/>
        <v>0.86520673698295147</v>
      </c>
      <c r="H172" s="76">
        <f t="shared" si="73"/>
        <v>0.19999999999999996</v>
      </c>
      <c r="I172" s="75">
        <f t="shared" si="74"/>
        <v>-0.27419354838709675</v>
      </c>
      <c r="J172" s="75">
        <f t="shared" si="75"/>
        <v>0.49905468500356942</v>
      </c>
      <c r="K172" s="76">
        <f t="shared" si="76"/>
        <v>-0.32606168275159236</v>
      </c>
      <c r="L172" s="77">
        <f t="shared" si="77"/>
        <v>0.38511463137130558</v>
      </c>
      <c r="M172" s="76">
        <f t="shared" si="78"/>
        <v>-8.664758242362422E-2</v>
      </c>
      <c r="N172" s="77">
        <f t="shared" si="79"/>
        <v>0.71400704864637321</v>
      </c>
      <c r="O172" s="76">
        <f t="shared" si="80"/>
        <v>-0.53825033905808783</v>
      </c>
      <c r="P172" s="77">
        <f t="shared" si="81"/>
        <v>0.42372980884355854</v>
      </c>
      <c r="Q172" s="76">
        <f t="shared" si="82"/>
        <v>-0.32606168275159247</v>
      </c>
      <c r="R172" s="75">
        <f t="shared" si="83"/>
        <v>-0.48009210561164584</v>
      </c>
    </row>
    <row r="173" spans="2:18">
      <c r="B173" s="81"/>
      <c r="C173">
        <v>18</v>
      </c>
      <c r="D173">
        <v>32</v>
      </c>
      <c r="E173">
        <v>1.014745</v>
      </c>
      <c r="F173" s="78"/>
      <c r="G173" s="75">
        <f t="shared" si="72"/>
        <v>0.12584150413682926</v>
      </c>
      <c r="H173" s="76">
        <f t="shared" si="73"/>
        <v>0.30000000000000004</v>
      </c>
      <c r="I173" s="75">
        <f t="shared" si="74"/>
        <v>-0.5</v>
      </c>
      <c r="J173" s="75">
        <f t="shared" si="75"/>
        <v>-0.35469074742274848</v>
      </c>
      <c r="K173" s="76">
        <f t="shared" si="76"/>
        <v>-0.57245235339065481</v>
      </c>
      <c r="L173" s="77">
        <f t="shared" si="77"/>
        <v>-0.36262005504185907</v>
      </c>
      <c r="M173" s="76">
        <f t="shared" si="78"/>
        <v>-0.29883623873011983</v>
      </c>
      <c r="N173" s="77">
        <f t="shared" si="79"/>
        <v>1.325699327250407E-2</v>
      </c>
      <c r="O173" s="76">
        <f t="shared" si="80"/>
        <v>-0.57245235339065481</v>
      </c>
      <c r="P173" s="77">
        <f t="shared" si="81"/>
        <v>-0.36262005504185907</v>
      </c>
      <c r="Q173" s="76">
        <f t="shared" si="82"/>
        <v>-0.57245235339065492</v>
      </c>
      <c r="R173" s="75">
        <f t="shared" si="83"/>
        <v>-0.48846155917868833</v>
      </c>
    </row>
    <row r="174" spans="2:18">
      <c r="B174" s="81"/>
      <c r="C174">
        <v>18</v>
      </c>
      <c r="D174">
        <v>64</v>
      </c>
      <c r="E174">
        <v>1.6705825000000001</v>
      </c>
      <c r="F174" s="78"/>
      <c r="G174" s="75">
        <f t="shared" si="72"/>
        <v>0.37582981209647914</v>
      </c>
      <c r="H174" s="76">
        <f t="shared" si="73"/>
        <v>0.30000000000000004</v>
      </c>
      <c r="I174" s="75">
        <f t="shared" si="74"/>
        <v>-0.467741935483871</v>
      </c>
      <c r="J174" s="75">
        <f t="shared" si="75"/>
        <v>-6.6029113633222614E-2</v>
      </c>
      <c r="K174" s="76">
        <f t="shared" si="76"/>
        <v>-0.5421396882040127</v>
      </c>
      <c r="L174" s="77">
        <f t="shared" si="77"/>
        <v>-0.11814820100681675</v>
      </c>
      <c r="M174" s="76">
        <f t="shared" si="78"/>
        <v>-0.26852357354347756</v>
      </c>
      <c r="N174" s="77">
        <f t="shared" si="79"/>
        <v>0.25772884730754636</v>
      </c>
      <c r="O174" s="76">
        <f t="shared" si="80"/>
        <v>-0.57245235339065481</v>
      </c>
      <c r="P174" s="77">
        <f t="shared" si="81"/>
        <v>-0.11263174708220919</v>
      </c>
      <c r="Q174" s="76">
        <f t="shared" si="82"/>
        <v>-0.54213968820401282</v>
      </c>
      <c r="R174" s="75">
        <f t="shared" si="83"/>
        <v>-0.49397801310329592</v>
      </c>
    </row>
    <row r="175" spans="2:18">
      <c r="B175" s="81"/>
      <c r="C175">
        <v>18</v>
      </c>
      <c r="D175">
        <v>96</v>
      </c>
      <c r="E175">
        <v>1.8279110000000001</v>
      </c>
      <c r="F175" s="78"/>
      <c r="G175" s="75">
        <f t="shared" si="72"/>
        <v>0.43579937088021709</v>
      </c>
      <c r="H175" s="76">
        <f t="shared" si="73"/>
        <v>0.30000000000000004</v>
      </c>
      <c r="I175" s="75">
        <f t="shared" si="74"/>
        <v>-0.43548387096774194</v>
      </c>
      <c r="J175" s="75">
        <f t="shared" si="75"/>
        <v>3.2177681807257219E-3</v>
      </c>
      <c r="K175" s="76">
        <f t="shared" si="76"/>
        <v>-0.51182702301737049</v>
      </c>
      <c r="L175" s="77">
        <f t="shared" si="77"/>
        <v>-6.3695096147686384E-2</v>
      </c>
      <c r="M175" s="76">
        <f t="shared" si="78"/>
        <v>-0.23821090835683537</v>
      </c>
      <c r="N175" s="77">
        <f t="shared" si="79"/>
        <v>0.31218195216667677</v>
      </c>
      <c r="O175" s="76">
        <f t="shared" si="80"/>
        <v>-0.57245235339065481</v>
      </c>
      <c r="P175" s="77">
        <f t="shared" si="81"/>
        <v>-5.2662188298471267E-2</v>
      </c>
      <c r="Q175" s="76">
        <f t="shared" si="82"/>
        <v>-0.5118270230173706</v>
      </c>
      <c r="R175" s="75">
        <f t="shared" si="83"/>
        <v>-0.49949446702790345</v>
      </c>
    </row>
    <row r="176" spans="2:18">
      <c r="B176" s="81"/>
      <c r="C176">
        <v>18</v>
      </c>
      <c r="D176">
        <v>128</v>
      </c>
      <c r="E176">
        <v>2.0493397500000001</v>
      </c>
      <c r="F176" s="78"/>
      <c r="G176" s="75">
        <f t="shared" si="72"/>
        <v>0.52020228859401108</v>
      </c>
      <c r="H176" s="76">
        <f t="shared" si="73"/>
        <v>0.30000000000000004</v>
      </c>
      <c r="I176" s="75">
        <f t="shared" si="74"/>
        <v>-0.40322580645161288</v>
      </c>
      <c r="J176" s="75">
        <f t="shared" si="75"/>
        <v>0.1006778627056234</v>
      </c>
      <c r="K176" s="76">
        <f t="shared" si="76"/>
        <v>-0.48151435783072816</v>
      </c>
      <c r="L176" s="77">
        <f t="shared" si="77"/>
        <v>1.5191367641500114E-2</v>
      </c>
      <c r="M176" s="76">
        <f t="shared" si="78"/>
        <v>-0.20789824317019309</v>
      </c>
      <c r="N176" s="77">
        <f t="shared" si="79"/>
        <v>0.39106841595586322</v>
      </c>
      <c r="O176" s="76">
        <f t="shared" si="80"/>
        <v>-0.57245235339065481</v>
      </c>
      <c r="P176" s="77">
        <f t="shared" si="81"/>
        <v>3.1740729415322813E-2</v>
      </c>
      <c r="Q176" s="76">
        <f t="shared" si="82"/>
        <v>-0.48151435783072821</v>
      </c>
      <c r="R176" s="75">
        <f t="shared" si="83"/>
        <v>-0.50501092095251099</v>
      </c>
    </row>
    <row r="177" spans="2:18">
      <c r="B177" s="81"/>
      <c r="C177">
        <v>18</v>
      </c>
      <c r="D177">
        <v>160</v>
      </c>
      <c r="E177">
        <v>2.2933949999999999</v>
      </c>
      <c r="F177" s="78"/>
      <c r="G177" s="75">
        <f t="shared" si="72"/>
        <v>0.61322984343216735</v>
      </c>
      <c r="H177" s="76">
        <f t="shared" si="73"/>
        <v>0.30000000000000004</v>
      </c>
      <c r="I177" s="75">
        <f t="shared" si="74"/>
        <v>-0.37096774193548387</v>
      </c>
      <c r="J177" s="75">
        <f t="shared" si="75"/>
        <v>0.20809683036134763</v>
      </c>
      <c r="K177" s="76">
        <f t="shared" si="76"/>
        <v>-0.45120169264408599</v>
      </c>
      <c r="L177" s="77">
        <f t="shared" si="77"/>
        <v>0.10270246855504869</v>
      </c>
      <c r="M177" s="76">
        <f t="shared" si="78"/>
        <v>-0.1775855779835509</v>
      </c>
      <c r="N177" s="77">
        <f t="shared" si="79"/>
        <v>0.4785795168694118</v>
      </c>
      <c r="O177" s="76">
        <f t="shared" si="80"/>
        <v>-0.57245235339065481</v>
      </c>
      <c r="P177" s="77">
        <f t="shared" si="81"/>
        <v>0.12476828425347894</v>
      </c>
      <c r="Q177" s="76">
        <f t="shared" si="82"/>
        <v>-0.45120169264408605</v>
      </c>
      <c r="R177" s="75">
        <f t="shared" si="83"/>
        <v>-0.51052737487711863</v>
      </c>
    </row>
    <row r="178" spans="2:18">
      <c r="B178" s="81"/>
      <c r="C178">
        <v>18</v>
      </c>
      <c r="D178">
        <v>192</v>
      </c>
      <c r="E178">
        <v>2.5923892500000001</v>
      </c>
      <c r="F178" s="78"/>
      <c r="G178" s="75">
        <f t="shared" si="72"/>
        <v>0.7271987254298643</v>
      </c>
      <c r="H178" s="76">
        <f t="shared" si="73"/>
        <v>0.30000000000000004</v>
      </c>
      <c r="I178" s="75">
        <f t="shared" si="74"/>
        <v>-0.33870967741935487</v>
      </c>
      <c r="J178" s="75">
        <f t="shared" si="75"/>
        <v>0.33969675976256974</v>
      </c>
      <c r="K178" s="76">
        <f t="shared" si="76"/>
        <v>-0.42088902745744378</v>
      </c>
      <c r="L178" s="77">
        <f t="shared" si="77"/>
        <v>0.21115489662813816</v>
      </c>
      <c r="M178" s="76">
        <f t="shared" si="78"/>
        <v>-0.14727291279690874</v>
      </c>
      <c r="N178" s="77">
        <f t="shared" si="79"/>
        <v>0.58703194494250122</v>
      </c>
      <c r="O178" s="76">
        <f t="shared" si="80"/>
        <v>-0.57245235339065481</v>
      </c>
      <c r="P178" s="77">
        <f t="shared" si="81"/>
        <v>0.23873716625117597</v>
      </c>
      <c r="Q178" s="76">
        <f t="shared" si="82"/>
        <v>-0.42088902745744389</v>
      </c>
      <c r="R178" s="75">
        <f t="shared" si="83"/>
        <v>-0.51604382880172617</v>
      </c>
    </row>
    <row r="179" spans="2:18">
      <c r="B179" s="81"/>
      <c r="C179">
        <v>18</v>
      </c>
      <c r="D179">
        <v>224</v>
      </c>
      <c r="E179">
        <v>2.9219792500000001</v>
      </c>
      <c r="F179" s="78"/>
      <c r="G179" s="75">
        <f t="shared" si="72"/>
        <v>0.85282991672408137</v>
      </c>
      <c r="H179" s="76">
        <f t="shared" si="73"/>
        <v>0.30000000000000004</v>
      </c>
      <c r="I179" s="75">
        <f t="shared" si="74"/>
        <v>-0.30645161290322581</v>
      </c>
      <c r="J179" s="75">
        <f t="shared" si="75"/>
        <v>0.48476316398722885</v>
      </c>
      <c r="K179" s="76">
        <f t="shared" si="76"/>
        <v>-0.39057636227080156</v>
      </c>
      <c r="L179" s="77">
        <f t="shared" si="77"/>
        <v>0.33126963399774761</v>
      </c>
      <c r="M179" s="76">
        <f t="shared" si="78"/>
        <v>-0.11696024761026649</v>
      </c>
      <c r="N179" s="77">
        <f t="shared" si="79"/>
        <v>0.70714668231211075</v>
      </c>
      <c r="O179" s="76">
        <f t="shared" si="80"/>
        <v>-0.5724523533906547</v>
      </c>
      <c r="P179" s="77">
        <f t="shared" si="81"/>
        <v>0.36436835754539298</v>
      </c>
      <c r="Q179" s="76">
        <f t="shared" si="82"/>
        <v>-0.39057636227080167</v>
      </c>
      <c r="R179" s="75">
        <f t="shared" si="83"/>
        <v>-0.5215602827263337</v>
      </c>
    </row>
    <row r="180" spans="2:18">
      <c r="B180" s="81"/>
      <c r="C180">
        <v>20</v>
      </c>
      <c r="D180">
        <v>32</v>
      </c>
      <c r="E180">
        <v>1.08286075</v>
      </c>
      <c r="F180" s="78"/>
      <c r="G180" s="75">
        <f t="shared" si="72"/>
        <v>0.1518054679051446</v>
      </c>
      <c r="H180" s="76">
        <f t="shared" si="73"/>
        <v>0.4</v>
      </c>
      <c r="I180" s="75">
        <f t="shared" si="74"/>
        <v>-0.5</v>
      </c>
      <c r="J180" s="75">
        <f t="shared" si="75"/>
        <v>-0.32471014448101537</v>
      </c>
      <c r="K180" s="76">
        <f t="shared" si="76"/>
        <v>-0.60665436772322168</v>
      </c>
      <c r="L180" s="77">
        <f t="shared" si="77"/>
        <v>-0.38364072231283908</v>
      </c>
      <c r="M180" s="76">
        <f t="shared" si="78"/>
        <v>-0.29883623873011983</v>
      </c>
      <c r="N180" s="77">
        <f t="shared" si="79"/>
        <v>3.9220957040819404E-2</v>
      </c>
      <c r="O180" s="76">
        <f t="shared" si="80"/>
        <v>-0.60665436772322168</v>
      </c>
      <c r="P180" s="77">
        <f t="shared" si="81"/>
        <v>-0.38364072231283908</v>
      </c>
      <c r="Q180" s="76">
        <f t="shared" si="82"/>
        <v>-0.60665436772322179</v>
      </c>
      <c r="R180" s="75">
        <f t="shared" si="83"/>
        <v>-0.53544619021798368</v>
      </c>
    </row>
    <row r="181" spans="2:18">
      <c r="B181" s="81"/>
      <c r="C181">
        <v>20</v>
      </c>
      <c r="D181">
        <v>64</v>
      </c>
      <c r="E181">
        <v>1.7023345000000001</v>
      </c>
      <c r="F181" s="78"/>
      <c r="G181" s="75">
        <f t="shared" si="72"/>
        <v>0.38793285401514771</v>
      </c>
      <c r="H181" s="76">
        <f t="shared" si="73"/>
        <v>0.4</v>
      </c>
      <c r="I181" s="75">
        <f t="shared" si="74"/>
        <v>-0.467741935483871</v>
      </c>
      <c r="J181" s="75">
        <f t="shared" si="75"/>
        <v>-5.2053724613709329E-2</v>
      </c>
      <c r="K181" s="76">
        <f t="shared" si="76"/>
        <v>-0.57634170253657957</v>
      </c>
      <c r="L181" s="77">
        <f t="shared" si="77"/>
        <v>-0.1530297901274435</v>
      </c>
      <c r="M181" s="76">
        <f t="shared" si="78"/>
        <v>-0.26852357354347756</v>
      </c>
      <c r="N181" s="77">
        <f t="shared" si="79"/>
        <v>0.26983188922621498</v>
      </c>
      <c r="O181" s="76">
        <f t="shared" si="80"/>
        <v>-0.60665436772322168</v>
      </c>
      <c r="P181" s="77">
        <f t="shared" si="81"/>
        <v>-0.14751333620283594</v>
      </c>
      <c r="Q181" s="76">
        <f t="shared" si="82"/>
        <v>-0.57634170253657968</v>
      </c>
      <c r="R181" s="75">
        <f t="shared" si="83"/>
        <v>-0.54096264414259121</v>
      </c>
    </row>
    <row r="182" spans="2:18">
      <c r="B182" s="81"/>
      <c r="C182">
        <v>20</v>
      </c>
      <c r="D182">
        <v>96</v>
      </c>
      <c r="E182">
        <v>1.9029914999999999</v>
      </c>
      <c r="F182" s="78"/>
      <c r="G182" s="75">
        <f t="shared" si="72"/>
        <v>0.46441811737727534</v>
      </c>
      <c r="H182" s="76">
        <f t="shared" si="73"/>
        <v>0.4</v>
      </c>
      <c r="I182" s="75">
        <f t="shared" si="74"/>
        <v>-0.43548387096774194</v>
      </c>
      <c r="J182" s="75">
        <f t="shared" si="75"/>
        <v>3.6263850168618217E-2</v>
      </c>
      <c r="K182" s="76">
        <f t="shared" si="76"/>
        <v>-0.54602903734993735</v>
      </c>
      <c r="L182" s="77">
        <f t="shared" si="77"/>
        <v>-8.2060980689923499E-2</v>
      </c>
      <c r="M182" s="76">
        <f t="shared" si="78"/>
        <v>-0.23821090835683537</v>
      </c>
      <c r="N182" s="77">
        <f t="shared" si="79"/>
        <v>0.34080069866373502</v>
      </c>
      <c r="O182" s="76">
        <f t="shared" si="80"/>
        <v>-0.60665436772322168</v>
      </c>
      <c r="P182" s="77">
        <f t="shared" si="81"/>
        <v>-7.1028072840708376E-2</v>
      </c>
      <c r="Q182" s="76">
        <f t="shared" si="82"/>
        <v>-0.54602903734993746</v>
      </c>
      <c r="R182" s="75">
        <f t="shared" si="83"/>
        <v>-0.54647909806719885</v>
      </c>
    </row>
    <row r="183" spans="2:18">
      <c r="B183" s="81"/>
      <c r="C183">
        <v>20</v>
      </c>
      <c r="D183">
        <v>128</v>
      </c>
      <c r="E183">
        <v>2.152873</v>
      </c>
      <c r="F183" s="78"/>
      <c r="G183" s="75">
        <f t="shared" si="72"/>
        <v>0.55966648816336084</v>
      </c>
      <c r="H183" s="76">
        <f t="shared" si="73"/>
        <v>0.4</v>
      </c>
      <c r="I183" s="75">
        <f t="shared" si="74"/>
        <v>-0.40322580645161288</v>
      </c>
      <c r="J183" s="75">
        <f t="shared" si="75"/>
        <v>0.14624719519505769</v>
      </c>
      <c r="K183" s="76">
        <f t="shared" si="76"/>
        <v>-0.51571637216329502</v>
      </c>
      <c r="L183" s="77">
        <f t="shared" si="77"/>
        <v>7.6709361715544128E-3</v>
      </c>
      <c r="M183" s="76">
        <f t="shared" si="78"/>
        <v>-0.20789824317019306</v>
      </c>
      <c r="N183" s="77">
        <f t="shared" si="79"/>
        <v>0.43053261552521294</v>
      </c>
      <c r="O183" s="76">
        <f t="shared" si="80"/>
        <v>-0.60665436772322168</v>
      </c>
      <c r="P183" s="77">
        <f t="shared" si="81"/>
        <v>2.4220297945377112E-2</v>
      </c>
      <c r="Q183" s="76">
        <f t="shared" si="82"/>
        <v>-0.51571637216329513</v>
      </c>
      <c r="R183" s="75">
        <f t="shared" si="83"/>
        <v>-0.55199555199180639</v>
      </c>
    </row>
    <row r="184" spans="2:18">
      <c r="B184" s="81"/>
      <c r="C184">
        <v>20</v>
      </c>
      <c r="D184">
        <v>160</v>
      </c>
      <c r="E184">
        <v>2.46110425</v>
      </c>
      <c r="F184" s="78"/>
      <c r="G184" s="75">
        <f t="shared" si="72"/>
        <v>0.67715627587416993</v>
      </c>
      <c r="H184" s="76">
        <f t="shared" si="73"/>
        <v>0.4</v>
      </c>
      <c r="I184" s="75">
        <f t="shared" si="74"/>
        <v>-0.37096774193548387</v>
      </c>
      <c r="J184" s="75">
        <f t="shared" si="75"/>
        <v>0.281912716318793</v>
      </c>
      <c r="K184" s="76">
        <f t="shared" si="76"/>
        <v>-0.48540370697665286</v>
      </c>
      <c r="L184" s="77">
        <f t="shared" si="77"/>
        <v>0.11964426995775604</v>
      </c>
      <c r="M184" s="76">
        <f t="shared" si="78"/>
        <v>-0.1775855779835509</v>
      </c>
      <c r="N184" s="77">
        <f t="shared" si="79"/>
        <v>0.5425059493114146</v>
      </c>
      <c r="O184" s="76">
        <f t="shared" si="80"/>
        <v>-0.60665436772322168</v>
      </c>
      <c r="P184" s="77">
        <f t="shared" si="81"/>
        <v>0.14171008565618629</v>
      </c>
      <c r="Q184" s="76">
        <f t="shared" si="82"/>
        <v>-0.48540370697665297</v>
      </c>
      <c r="R184" s="75">
        <f t="shared" si="83"/>
        <v>-0.55751200591641392</v>
      </c>
    </row>
    <row r="185" spans="2:18">
      <c r="B185" s="81"/>
      <c r="C185">
        <v>20</v>
      </c>
      <c r="D185">
        <v>192</v>
      </c>
      <c r="E185">
        <v>2.8097992500000002</v>
      </c>
      <c r="F185" s="78"/>
      <c r="G185" s="75">
        <f t="shared" si="72"/>
        <v>0.81006979948937996</v>
      </c>
      <c r="H185" s="76">
        <f t="shared" si="73"/>
        <v>0.4</v>
      </c>
      <c r="I185" s="75">
        <f t="shared" si="74"/>
        <v>-0.33870967741935487</v>
      </c>
      <c r="J185" s="75">
        <f t="shared" si="75"/>
        <v>0.43538803359515921</v>
      </c>
      <c r="K185" s="76">
        <f t="shared" si="76"/>
        <v>-0.45509104179001064</v>
      </c>
      <c r="L185" s="77">
        <f t="shared" si="77"/>
        <v>0.24704133964835834</v>
      </c>
      <c r="M185" s="76">
        <f t="shared" si="78"/>
        <v>-0.14727291279690871</v>
      </c>
      <c r="N185" s="77">
        <f t="shared" si="79"/>
        <v>0.66990301900201676</v>
      </c>
      <c r="O185" s="76">
        <f t="shared" si="80"/>
        <v>-0.60665436772322168</v>
      </c>
      <c r="P185" s="77">
        <f t="shared" si="81"/>
        <v>0.27462360927139617</v>
      </c>
      <c r="Q185" s="76">
        <f t="shared" si="82"/>
        <v>-0.45509104179001075</v>
      </c>
      <c r="R185" s="75">
        <f t="shared" si="83"/>
        <v>-0.56302845984102157</v>
      </c>
    </row>
    <row r="186" spans="2:18">
      <c r="B186" s="81"/>
      <c r="C186">
        <v>22</v>
      </c>
      <c r="D186">
        <v>32</v>
      </c>
      <c r="E186">
        <v>1.175117</v>
      </c>
      <c r="F186" s="78"/>
      <c r="G186" s="75">
        <f t="shared" si="72"/>
        <v>0.18697116647560208</v>
      </c>
      <c r="H186" s="76">
        <f t="shared" si="73"/>
        <v>0.5</v>
      </c>
      <c r="I186" s="75">
        <f t="shared" si="74"/>
        <v>-0.5</v>
      </c>
      <c r="J186" s="75">
        <f t="shared" si="75"/>
        <v>-0.28410429340922561</v>
      </c>
      <c r="K186" s="76">
        <f t="shared" si="76"/>
        <v>-0.64085638205578854</v>
      </c>
      <c r="L186" s="77">
        <f t="shared" si="77"/>
        <v>-0.39545965478167699</v>
      </c>
      <c r="M186" s="76">
        <f t="shared" si="78"/>
        <v>-0.29883623873011983</v>
      </c>
      <c r="N186" s="77">
        <f t="shared" si="79"/>
        <v>7.4386655611276914E-2</v>
      </c>
      <c r="O186" s="76">
        <f t="shared" si="80"/>
        <v>-0.64085638205578854</v>
      </c>
      <c r="P186" s="77">
        <f t="shared" si="81"/>
        <v>-0.39545965478167699</v>
      </c>
      <c r="Q186" s="76">
        <f t="shared" si="82"/>
        <v>-0.64085638205578865</v>
      </c>
      <c r="R186" s="75">
        <f t="shared" si="83"/>
        <v>-0.58243082125727907</v>
      </c>
    </row>
    <row r="187" spans="2:18">
      <c r="B187" s="81"/>
      <c r="C187">
        <v>22</v>
      </c>
      <c r="D187">
        <v>64</v>
      </c>
      <c r="E187">
        <v>1.73116475</v>
      </c>
      <c r="F187" s="78"/>
      <c r="G187" s="75">
        <f t="shared" si="72"/>
        <v>0.39892220033272441</v>
      </c>
      <c r="H187" s="76">
        <f t="shared" si="73"/>
        <v>0.5</v>
      </c>
      <c r="I187" s="75">
        <f t="shared" si="74"/>
        <v>-0.467741935483871</v>
      </c>
      <c r="J187" s="75">
        <f t="shared" si="75"/>
        <v>-3.93643205043675E-2</v>
      </c>
      <c r="K187" s="76">
        <f t="shared" si="76"/>
        <v>-0.61054371686914644</v>
      </c>
      <c r="L187" s="77">
        <f t="shared" si="77"/>
        <v>-0.1890250748491622</v>
      </c>
      <c r="M187" s="76">
        <f t="shared" si="78"/>
        <v>-0.26852357354347756</v>
      </c>
      <c r="N187" s="77">
        <f t="shared" si="79"/>
        <v>0.28082123554379163</v>
      </c>
      <c r="O187" s="76">
        <f t="shared" si="80"/>
        <v>-0.64085638205578854</v>
      </c>
      <c r="P187" s="77">
        <f t="shared" si="81"/>
        <v>-0.18350862092455464</v>
      </c>
      <c r="Q187" s="76">
        <f t="shared" si="82"/>
        <v>-0.61054371686914655</v>
      </c>
      <c r="R187" s="75">
        <f t="shared" si="83"/>
        <v>-0.58794727518188661</v>
      </c>
    </row>
    <row r="188" spans="2:18">
      <c r="B188" s="81"/>
      <c r="C188">
        <v>22</v>
      </c>
      <c r="D188">
        <v>96</v>
      </c>
      <c r="E188">
        <v>1.96179825</v>
      </c>
      <c r="F188" s="78"/>
      <c r="G188" s="75">
        <f t="shared" si="72"/>
        <v>0.48683373089298032</v>
      </c>
      <c r="H188" s="76">
        <f t="shared" si="73"/>
        <v>0.5</v>
      </c>
      <c r="I188" s="75">
        <f t="shared" si="74"/>
        <v>-0.43548387096774194</v>
      </c>
      <c r="J188" s="75">
        <f t="shared" si="75"/>
        <v>6.2147171163304038E-2</v>
      </c>
      <c r="K188" s="76">
        <f t="shared" si="76"/>
        <v>-0.58023105168250422</v>
      </c>
      <c r="L188" s="77">
        <f t="shared" si="77"/>
        <v>-0.10662999821351385</v>
      </c>
      <c r="M188" s="76">
        <f t="shared" si="78"/>
        <v>-0.23821090835683537</v>
      </c>
      <c r="N188" s="77">
        <f t="shared" si="79"/>
        <v>0.36321631217944006</v>
      </c>
      <c r="O188" s="76">
        <f t="shared" si="80"/>
        <v>-0.64085638205578854</v>
      </c>
      <c r="P188" s="77">
        <f t="shared" si="81"/>
        <v>-9.5597090364298726E-2</v>
      </c>
      <c r="Q188" s="76">
        <f t="shared" si="82"/>
        <v>-0.58023105168250433</v>
      </c>
      <c r="R188" s="75">
        <f t="shared" si="83"/>
        <v>-0.59346372910649414</v>
      </c>
    </row>
    <row r="189" spans="2:18">
      <c r="B189" s="81"/>
      <c r="C189">
        <v>22</v>
      </c>
      <c r="D189">
        <v>128</v>
      </c>
      <c r="E189">
        <v>2.2663082499999998</v>
      </c>
      <c r="F189" s="78"/>
      <c r="G189" s="75">
        <f t="shared" si="72"/>
        <v>0.60290507426202067</v>
      </c>
      <c r="H189" s="76">
        <f t="shared" si="73"/>
        <v>0.5</v>
      </c>
      <c r="I189" s="75">
        <f t="shared" si="74"/>
        <v>-0.40322580645161288</v>
      </c>
      <c r="J189" s="75">
        <f t="shared" si="75"/>
        <v>0.1961748138419378</v>
      </c>
      <c r="K189" s="76">
        <f t="shared" si="76"/>
        <v>-0.54991838649586189</v>
      </c>
      <c r="L189" s="77">
        <f t="shared" si="77"/>
        <v>3.9248912309188533E-3</v>
      </c>
      <c r="M189" s="76">
        <f t="shared" si="78"/>
        <v>-0.20789824317019306</v>
      </c>
      <c r="N189" s="77">
        <f t="shared" si="79"/>
        <v>0.47377120162387276</v>
      </c>
      <c r="O189" s="76">
        <f t="shared" si="80"/>
        <v>-0.64085638205578854</v>
      </c>
      <c r="P189" s="77">
        <f t="shared" si="81"/>
        <v>2.0474253004741566E-2</v>
      </c>
      <c r="Q189" s="76">
        <f t="shared" si="82"/>
        <v>-0.549918386495862</v>
      </c>
      <c r="R189" s="75">
        <f t="shared" si="83"/>
        <v>-0.59898018303110179</v>
      </c>
    </row>
    <row r="190" spans="2:18">
      <c r="B190" s="83"/>
      <c r="C190" s="84">
        <v>22</v>
      </c>
      <c r="D190" s="84">
        <v>160</v>
      </c>
      <c r="E190" s="84">
        <v>2.6291495</v>
      </c>
      <c r="F190" s="78"/>
      <c r="G190" s="85">
        <f t="shared" ref="G190:G221" si="84">D$19*(L190-R190)</f>
        <v>0.74121078283383057</v>
      </c>
      <c r="H190" s="86">
        <f t="shared" ref="H190:H221" si="85">(C190-H$16)/H$17-0.5</f>
        <v>-0.34126984126984128</v>
      </c>
      <c r="I190" s="85">
        <f t="shared" ref="I190:I221" si="86">(D190-I$16)/I$17-0.5</f>
        <v>-0.37096774193548387</v>
      </c>
      <c r="J190" s="85">
        <f t="shared" ref="J190:J221" si="87">(E190-J$16)/J$17-0.5</f>
        <v>0.35587648999073052</v>
      </c>
      <c r="K190" s="86">
        <f t="shared" ref="K190:K221" si="88">(H190*$H$13+I190*$I$13+J190*$J$13+$D$27)*$C$27</f>
        <v>-0.23187448962254592</v>
      </c>
      <c r="L190" s="87">
        <f t="shared" ref="L190:L221" si="89">(H190*$H$14+I190*$I$14+J190*$J$14+$E$27)*$C$27</f>
        <v>0.53198167684362208</v>
      </c>
      <c r="M190" s="86">
        <f t="shared" ref="M190:M221" si="90">(H$27*$H$13+I190*$I$13+J190*$J$13+$D$27)*$C$27</f>
        <v>-0.17758557798355087</v>
      </c>
      <c r="N190" s="87">
        <f t="shared" ref="N190:N221" si="91">(H$27*$H$14+I190*$I$14+J190*$J$14+$E$27)*$C$27</f>
        <v>0.60656045627107513</v>
      </c>
      <c r="O190" s="86">
        <f t="shared" ref="O190:O221" si="92">(H190*$H$13+I$27*$I$13+J190*$J$13+$D$27)*$C$27</f>
        <v>-0.35312515036911474</v>
      </c>
      <c r="P190" s="87">
        <f t="shared" ref="P190:P221" si="93">(H190*$H$14+I$27*$I$14+J190*$J$14+$E$27)*$C$27</f>
        <v>0.55404749254205232</v>
      </c>
      <c r="Q190" s="86">
        <f t="shared" ref="Q190:Q221" si="94">(H190*$H$13+I190*$I$13+J$27*$J$13+$D$27)*$C$27</f>
        <v>-0.23187448962254603</v>
      </c>
      <c r="R190" s="85">
        <f t="shared" ref="R190:R221" si="95">(H190*$H$14+I190*$I$14+J$27*$J$14+$E$27)*$C$27</f>
        <v>-0.20922910599020844</v>
      </c>
    </row>
    <row r="191" spans="2:18">
      <c r="B191" s="83"/>
      <c r="C191" s="84">
        <v>24</v>
      </c>
      <c r="D191" s="84">
        <v>32</v>
      </c>
      <c r="E191" s="84">
        <v>1.2724715</v>
      </c>
      <c r="F191" s="78"/>
      <c r="G191" s="85">
        <f t="shared" si="84"/>
        <v>0.22408018620572998</v>
      </c>
      <c r="H191" s="86">
        <f t="shared" si="85"/>
        <v>-0.32539682539682541</v>
      </c>
      <c r="I191" s="85">
        <f t="shared" si="86"/>
        <v>-0.5</v>
      </c>
      <c r="J191" s="85">
        <f t="shared" si="87"/>
        <v>-0.24125448834812069</v>
      </c>
      <c r="K191" s="86">
        <f t="shared" si="88"/>
        <v>-0.35855404153301434</v>
      </c>
      <c r="L191" s="87">
        <f t="shared" si="89"/>
        <v>2.945901797120648E-2</v>
      </c>
      <c r="M191" s="86">
        <f t="shared" si="90"/>
        <v>-0.29883623873011983</v>
      </c>
      <c r="N191" s="87">
        <f t="shared" si="91"/>
        <v>0.11149567534140478</v>
      </c>
      <c r="O191" s="86">
        <f t="shared" si="92"/>
        <v>-0.35855404153301434</v>
      </c>
      <c r="P191" s="87">
        <f t="shared" si="93"/>
        <v>2.945901797120648E-2</v>
      </c>
      <c r="Q191" s="86">
        <f t="shared" si="94"/>
        <v>-0.35855404153301434</v>
      </c>
      <c r="R191" s="85">
        <f t="shared" si="95"/>
        <v>-0.1946211682345235</v>
      </c>
    </row>
    <row r="192" spans="2:18">
      <c r="B192" s="83"/>
      <c r="C192" s="84">
        <v>24</v>
      </c>
      <c r="D192" s="84">
        <v>64</v>
      </c>
      <c r="E192" s="84">
        <v>1.7700042499999999</v>
      </c>
      <c r="F192" s="78"/>
      <c r="G192" s="85">
        <f t="shared" si="84"/>
        <v>0.41372681410823864</v>
      </c>
      <c r="H192" s="86">
        <f t="shared" si="85"/>
        <v>-0.32539682539682541</v>
      </c>
      <c r="I192" s="85">
        <f t="shared" si="86"/>
        <v>-0.467741935483871</v>
      </c>
      <c r="J192" s="85">
        <f t="shared" si="87"/>
        <v>-2.2269425007284405E-2</v>
      </c>
      <c r="K192" s="86">
        <f t="shared" si="88"/>
        <v>-0.32824137634637213</v>
      </c>
      <c r="L192" s="87">
        <f t="shared" si="89"/>
        <v>0.21358919194910755</v>
      </c>
      <c r="M192" s="86">
        <f t="shared" si="90"/>
        <v>-0.26852357354347756</v>
      </c>
      <c r="N192" s="87">
        <f t="shared" si="91"/>
        <v>0.2956258493193058</v>
      </c>
      <c r="O192" s="86">
        <f t="shared" si="92"/>
        <v>-0.35855404153301429</v>
      </c>
      <c r="P192" s="87">
        <f t="shared" si="93"/>
        <v>0.21910564587371512</v>
      </c>
      <c r="Q192" s="86">
        <f t="shared" si="94"/>
        <v>-0.32824137634637218</v>
      </c>
      <c r="R192" s="85">
        <f t="shared" si="95"/>
        <v>-0.20013762215913106</v>
      </c>
    </row>
    <row r="193" spans="2:18">
      <c r="B193" s="83"/>
      <c r="C193" s="84">
        <v>24</v>
      </c>
      <c r="D193" s="84">
        <v>96</v>
      </c>
      <c r="E193" s="84">
        <v>2.0496697500000001</v>
      </c>
      <c r="F193" s="78"/>
      <c r="G193" s="85">
        <f t="shared" si="84"/>
        <v>0.52032807606671083</v>
      </c>
      <c r="H193" s="86">
        <f t="shared" si="85"/>
        <v>-0.32539682539682541</v>
      </c>
      <c r="I193" s="85">
        <f t="shared" si="86"/>
        <v>-0.43548387096774194</v>
      </c>
      <c r="J193" s="85">
        <f t="shared" si="87"/>
        <v>0.10082310956807106</v>
      </c>
      <c r="K193" s="86">
        <f t="shared" si="88"/>
        <v>-0.29792871115972991</v>
      </c>
      <c r="L193" s="87">
        <f t="shared" si="89"/>
        <v>0.31467399998297219</v>
      </c>
      <c r="M193" s="86">
        <f t="shared" si="90"/>
        <v>-0.23821090835683537</v>
      </c>
      <c r="N193" s="87">
        <f t="shared" si="91"/>
        <v>0.39671065735317046</v>
      </c>
      <c r="O193" s="86">
        <f t="shared" si="92"/>
        <v>-0.35855404153301429</v>
      </c>
      <c r="P193" s="87">
        <f t="shared" si="93"/>
        <v>0.32570690783218731</v>
      </c>
      <c r="Q193" s="86">
        <f t="shared" si="94"/>
        <v>-0.29792871115972996</v>
      </c>
      <c r="R193" s="85">
        <f t="shared" si="95"/>
        <v>-0.20565407608373862</v>
      </c>
    </row>
    <row r="194" spans="2:18">
      <c r="B194" s="83"/>
      <c r="C194" s="84">
        <v>24</v>
      </c>
      <c r="D194" s="84">
        <v>128</v>
      </c>
      <c r="E194" s="84">
        <v>2.3949142499999998</v>
      </c>
      <c r="F194" s="78"/>
      <c r="G194" s="85">
        <f t="shared" si="84"/>
        <v>0.65192635824388923</v>
      </c>
      <c r="H194" s="86">
        <f t="shared" si="85"/>
        <v>-0.32539682539682541</v>
      </c>
      <c r="I194" s="85">
        <f t="shared" si="86"/>
        <v>-0.40322580645161288</v>
      </c>
      <c r="J194" s="85">
        <f t="shared" si="87"/>
        <v>0.25277971684784362</v>
      </c>
      <c r="K194" s="86">
        <f t="shared" si="88"/>
        <v>-0.26761604597308758</v>
      </c>
      <c r="L194" s="87">
        <f t="shared" si="89"/>
        <v>0.44075582823554305</v>
      </c>
      <c r="M194" s="86">
        <f t="shared" si="90"/>
        <v>-0.20789824317019306</v>
      </c>
      <c r="N194" s="87">
        <f t="shared" si="91"/>
        <v>0.52279248560574132</v>
      </c>
      <c r="O194" s="86">
        <f t="shared" si="92"/>
        <v>-0.35855404153301423</v>
      </c>
      <c r="P194" s="87">
        <f t="shared" si="93"/>
        <v>0.4573051900093657</v>
      </c>
      <c r="Q194" s="86">
        <f t="shared" si="94"/>
        <v>-0.26761604597308769</v>
      </c>
      <c r="R194" s="85">
        <f t="shared" si="95"/>
        <v>-0.21117053000834618</v>
      </c>
    </row>
    <row r="195" spans="2:18">
      <c r="B195" s="83"/>
      <c r="C195" s="84">
        <v>24</v>
      </c>
      <c r="D195" s="84">
        <v>160</v>
      </c>
      <c r="E195" s="84">
        <v>2.81006</v>
      </c>
      <c r="F195" s="78"/>
      <c r="G195" s="85">
        <f t="shared" si="84"/>
        <v>0.81016919065152049</v>
      </c>
      <c r="H195" s="86">
        <f t="shared" si="85"/>
        <v>-0.32539682539682541</v>
      </c>
      <c r="I195" s="85">
        <f t="shared" si="86"/>
        <v>-0.37096774193548387</v>
      </c>
      <c r="J195" s="85">
        <f t="shared" si="87"/>
        <v>0.43550280062359314</v>
      </c>
      <c r="K195" s="86">
        <f t="shared" si="88"/>
        <v>-0.23730338078644542</v>
      </c>
      <c r="L195" s="87">
        <f t="shared" si="89"/>
        <v>0.59348220671856677</v>
      </c>
      <c r="M195" s="86">
        <f t="shared" si="90"/>
        <v>-0.17758557798355087</v>
      </c>
      <c r="N195" s="87">
        <f t="shared" si="91"/>
        <v>0.67551886408876505</v>
      </c>
      <c r="O195" s="86">
        <f t="shared" si="92"/>
        <v>-0.35855404153301423</v>
      </c>
      <c r="P195" s="87">
        <f t="shared" si="93"/>
        <v>0.61554802241699702</v>
      </c>
      <c r="Q195" s="86">
        <f t="shared" si="94"/>
        <v>-0.23730338078644553</v>
      </c>
      <c r="R195" s="85">
        <f t="shared" si="95"/>
        <v>-0.21668698393295374</v>
      </c>
    </row>
    <row r="196" spans="2:18">
      <c r="B196" s="83"/>
      <c r="C196" s="84">
        <v>26</v>
      </c>
      <c r="D196" s="84">
        <v>32</v>
      </c>
      <c r="E196" s="84">
        <v>1.363718</v>
      </c>
      <c r="F196" s="78"/>
      <c r="G196" s="85">
        <f t="shared" si="84"/>
        <v>0.25886099416843444</v>
      </c>
      <c r="H196" s="86">
        <f t="shared" si="85"/>
        <v>-0.30952380952380953</v>
      </c>
      <c r="I196" s="85">
        <f t="shared" si="86"/>
        <v>-0.5</v>
      </c>
      <c r="J196" s="85">
        <f t="shared" si="87"/>
        <v>-0.20109307066832049</v>
      </c>
      <c r="K196" s="86">
        <f t="shared" si="88"/>
        <v>-0.36398293269691379</v>
      </c>
      <c r="L196" s="87">
        <f t="shared" si="89"/>
        <v>5.6781947991165621E-2</v>
      </c>
      <c r="M196" s="86">
        <f t="shared" si="90"/>
        <v>-0.29883623873011977</v>
      </c>
      <c r="N196" s="87">
        <f t="shared" si="91"/>
        <v>0.14627648330410922</v>
      </c>
      <c r="O196" s="86">
        <f t="shared" si="92"/>
        <v>-0.36398293269691379</v>
      </c>
      <c r="P196" s="87">
        <f t="shared" si="93"/>
        <v>5.6781947991165621E-2</v>
      </c>
      <c r="Q196" s="86">
        <f t="shared" si="94"/>
        <v>-0.36398293269691384</v>
      </c>
      <c r="R196" s="85">
        <f t="shared" si="95"/>
        <v>-0.2020790461772688</v>
      </c>
    </row>
    <row r="197" spans="2:18">
      <c r="B197" s="83"/>
      <c r="C197" s="84">
        <v>26</v>
      </c>
      <c r="D197" s="84">
        <v>64</v>
      </c>
      <c r="E197" s="84">
        <v>1.8136447499999999</v>
      </c>
      <c r="F197" s="78"/>
      <c r="G197" s="85">
        <f t="shared" si="84"/>
        <v>0.4303614450244535</v>
      </c>
      <c r="H197" s="86">
        <f t="shared" si="85"/>
        <v>-0.30952380952380953</v>
      </c>
      <c r="I197" s="85">
        <f t="shared" si="86"/>
        <v>-0.467741935483871</v>
      </c>
      <c r="J197" s="85">
        <f t="shared" si="87"/>
        <v>-3.0614077325908928E-3</v>
      </c>
      <c r="K197" s="86">
        <f t="shared" si="88"/>
        <v>-0.33367026751027162</v>
      </c>
      <c r="L197" s="87">
        <f t="shared" si="89"/>
        <v>0.22276594492257717</v>
      </c>
      <c r="M197" s="86">
        <f t="shared" si="90"/>
        <v>-0.26852357354347756</v>
      </c>
      <c r="N197" s="87">
        <f t="shared" si="91"/>
        <v>0.31226048023552072</v>
      </c>
      <c r="O197" s="86">
        <f t="shared" si="92"/>
        <v>-0.36398293269691379</v>
      </c>
      <c r="P197" s="87">
        <f t="shared" si="93"/>
        <v>0.22828239884718474</v>
      </c>
      <c r="Q197" s="86">
        <f t="shared" si="94"/>
        <v>-0.33367026751027168</v>
      </c>
      <c r="R197" s="85">
        <f t="shared" si="95"/>
        <v>-0.20759550010187636</v>
      </c>
    </row>
    <row r="198" spans="2:18">
      <c r="B198" s="83"/>
      <c r="C198" s="84">
        <v>26</v>
      </c>
      <c r="D198" s="84">
        <v>96</v>
      </c>
      <c r="E198" s="84">
        <v>2.1229132499999999</v>
      </c>
      <c r="F198" s="78"/>
      <c r="G198" s="85">
        <f t="shared" si="84"/>
        <v>0.54824660563240735</v>
      </c>
      <c r="H198" s="86">
        <f t="shared" si="85"/>
        <v>-0.30952380952380953</v>
      </c>
      <c r="I198" s="85">
        <f t="shared" si="86"/>
        <v>-0.43548387096774194</v>
      </c>
      <c r="J198" s="85">
        <f t="shared" si="87"/>
        <v>0.13306065068833794</v>
      </c>
      <c r="K198" s="86">
        <f t="shared" si="88"/>
        <v>-0.30335760232362941</v>
      </c>
      <c r="L198" s="87">
        <f t="shared" si="89"/>
        <v>0.33513465160592348</v>
      </c>
      <c r="M198" s="86">
        <f t="shared" si="90"/>
        <v>-0.23821090835683534</v>
      </c>
      <c r="N198" s="87">
        <f t="shared" si="91"/>
        <v>0.42462918691886709</v>
      </c>
      <c r="O198" s="86">
        <f t="shared" si="92"/>
        <v>-0.36398293269691379</v>
      </c>
      <c r="P198" s="87">
        <f t="shared" si="93"/>
        <v>0.34616755945513855</v>
      </c>
      <c r="Q198" s="86">
        <f t="shared" si="94"/>
        <v>-0.30335760232362946</v>
      </c>
      <c r="R198" s="85">
        <f t="shared" si="95"/>
        <v>-0.21311195402648392</v>
      </c>
    </row>
    <row r="199" spans="2:18">
      <c r="B199" s="83"/>
      <c r="C199" s="84">
        <v>26</v>
      </c>
      <c r="D199" s="84">
        <v>128</v>
      </c>
      <c r="E199" s="84">
        <v>2.52260325</v>
      </c>
      <c r="F199" s="78"/>
      <c r="G199" s="85">
        <f t="shared" si="84"/>
        <v>0.70059810552131663</v>
      </c>
      <c r="H199" s="86">
        <f t="shared" si="85"/>
        <v>-0.30952380952380953</v>
      </c>
      <c r="I199" s="85">
        <f t="shared" si="86"/>
        <v>-0.40322580645161288</v>
      </c>
      <c r="J199" s="85">
        <f t="shared" si="87"/>
        <v>0.30898100963294794</v>
      </c>
      <c r="K199" s="86">
        <f t="shared" si="88"/>
        <v>-0.27304493713698708</v>
      </c>
      <c r="L199" s="87">
        <f t="shared" si="89"/>
        <v>0.48196969757022512</v>
      </c>
      <c r="M199" s="86">
        <f t="shared" si="90"/>
        <v>-0.20789824317019306</v>
      </c>
      <c r="N199" s="87">
        <f t="shared" si="91"/>
        <v>0.57146423288316872</v>
      </c>
      <c r="O199" s="86">
        <f t="shared" si="92"/>
        <v>-0.36398293269691373</v>
      </c>
      <c r="P199" s="87">
        <f t="shared" si="93"/>
        <v>0.49851905934404783</v>
      </c>
      <c r="Q199" s="86">
        <f t="shared" si="94"/>
        <v>-0.27304493713698719</v>
      </c>
      <c r="R199" s="85">
        <f t="shared" si="95"/>
        <v>-0.21862840795109151</v>
      </c>
    </row>
    <row r="200" spans="2:18">
      <c r="B200" s="83"/>
      <c r="C200" s="84">
        <v>28</v>
      </c>
      <c r="D200" s="84">
        <v>32</v>
      </c>
      <c r="E200" s="84">
        <v>1.4326099999999999</v>
      </c>
      <c r="F200" s="78"/>
      <c r="G200" s="85">
        <f t="shared" si="84"/>
        <v>0.28512084437821383</v>
      </c>
      <c r="H200" s="86">
        <f t="shared" si="85"/>
        <v>-0.29365079365079366</v>
      </c>
      <c r="I200" s="85">
        <f t="shared" si="86"/>
        <v>-0.5</v>
      </c>
      <c r="J200" s="85">
        <f t="shared" si="87"/>
        <v>-0.17077080749332973</v>
      </c>
      <c r="K200" s="86">
        <f t="shared" si="88"/>
        <v>-0.36941182386081328</v>
      </c>
      <c r="L200" s="87">
        <f t="shared" si="89"/>
        <v>7.558392025819971E-2</v>
      </c>
      <c r="M200" s="86">
        <f t="shared" si="90"/>
        <v>-0.29883623873011977</v>
      </c>
      <c r="N200" s="87">
        <f t="shared" si="91"/>
        <v>0.17253633351388861</v>
      </c>
      <c r="O200" s="86">
        <f t="shared" si="92"/>
        <v>-0.36941182386081328</v>
      </c>
      <c r="P200" s="87">
        <f t="shared" si="93"/>
        <v>7.558392025819971E-2</v>
      </c>
      <c r="Q200" s="86">
        <f t="shared" si="94"/>
        <v>-0.36941182386081334</v>
      </c>
      <c r="R200" s="85">
        <f t="shared" si="95"/>
        <v>-0.2095369241200141</v>
      </c>
    </row>
    <row r="201" spans="2:18">
      <c r="B201" s="83"/>
      <c r="C201" s="84">
        <v>28</v>
      </c>
      <c r="D201" s="84">
        <v>64</v>
      </c>
      <c r="E201" s="84">
        <v>1.8556092500000001</v>
      </c>
      <c r="F201" s="78"/>
      <c r="G201" s="85">
        <f t="shared" si="84"/>
        <v>0.4463572280490179</v>
      </c>
      <c r="H201" s="86">
        <f t="shared" si="85"/>
        <v>-0.29365079365079366</v>
      </c>
      <c r="I201" s="85">
        <f t="shared" si="86"/>
        <v>-0.467741935483871</v>
      </c>
      <c r="J201" s="85">
        <f t="shared" si="87"/>
        <v>1.5408931537671311E-2</v>
      </c>
      <c r="K201" s="86">
        <f t="shared" si="88"/>
        <v>-0.33909915867417117</v>
      </c>
      <c r="L201" s="87">
        <f t="shared" si="89"/>
        <v>0.23130385000439627</v>
      </c>
      <c r="M201" s="86">
        <f t="shared" si="90"/>
        <v>-0.26852357354347756</v>
      </c>
      <c r="N201" s="87">
        <f t="shared" si="91"/>
        <v>0.32825626326008517</v>
      </c>
      <c r="O201" s="86">
        <f t="shared" si="92"/>
        <v>-0.36941182386081328</v>
      </c>
      <c r="P201" s="87">
        <f t="shared" si="93"/>
        <v>0.23682030392900383</v>
      </c>
      <c r="Q201" s="86">
        <f t="shared" si="94"/>
        <v>-0.33909915867417123</v>
      </c>
      <c r="R201" s="85">
        <f t="shared" si="95"/>
        <v>-0.21505337804462166</v>
      </c>
    </row>
    <row r="202" spans="2:18">
      <c r="B202" s="83"/>
      <c r="C202" s="84">
        <v>28</v>
      </c>
      <c r="D202" s="84">
        <v>96</v>
      </c>
      <c r="E202" s="84">
        <v>2.202928</v>
      </c>
      <c r="F202" s="78"/>
      <c r="G202" s="85">
        <f t="shared" si="84"/>
        <v>0.57874616072694596</v>
      </c>
      <c r="H202" s="86">
        <f t="shared" si="85"/>
        <v>-0.29365079365079366</v>
      </c>
      <c r="I202" s="85">
        <f t="shared" si="86"/>
        <v>-0.43548387096774194</v>
      </c>
      <c r="J202" s="85">
        <f t="shared" si="87"/>
        <v>0.16827850337632932</v>
      </c>
      <c r="K202" s="86">
        <f t="shared" si="88"/>
        <v>-0.30878649348752896</v>
      </c>
      <c r="L202" s="87">
        <f t="shared" si="89"/>
        <v>0.35817632875771677</v>
      </c>
      <c r="M202" s="86">
        <f t="shared" si="90"/>
        <v>-0.23821090835683534</v>
      </c>
      <c r="N202" s="87">
        <f t="shared" si="91"/>
        <v>0.4551287420134057</v>
      </c>
      <c r="O202" s="86">
        <f t="shared" si="92"/>
        <v>-0.36941182386081328</v>
      </c>
      <c r="P202" s="87">
        <f t="shared" si="93"/>
        <v>0.36920923660693189</v>
      </c>
      <c r="Q202" s="86">
        <f t="shared" si="94"/>
        <v>-0.30878649348752901</v>
      </c>
      <c r="R202" s="85">
        <f t="shared" si="95"/>
        <v>-0.22056983196922922</v>
      </c>
    </row>
    <row r="203" spans="2:18">
      <c r="B203" s="83"/>
      <c r="C203" s="84">
        <v>28</v>
      </c>
      <c r="D203" s="84">
        <v>128</v>
      </c>
      <c r="E203" s="84">
        <v>2.6668717499999999</v>
      </c>
      <c r="F203" s="78"/>
      <c r="G203" s="85">
        <f t="shared" si="84"/>
        <v>0.7555895297794244</v>
      </c>
      <c r="H203" s="86">
        <f t="shared" si="85"/>
        <v>-0.29365079365079366</v>
      </c>
      <c r="I203" s="85">
        <f t="shared" si="86"/>
        <v>-0.40322580645161288</v>
      </c>
      <c r="J203" s="85">
        <f t="shared" si="87"/>
        <v>0.37247963683002672</v>
      </c>
      <c r="K203" s="86">
        <f t="shared" si="88"/>
        <v>-0.27847382830088657</v>
      </c>
      <c r="L203" s="87">
        <f t="shared" si="89"/>
        <v>0.52950324388558756</v>
      </c>
      <c r="M203" s="86">
        <f t="shared" si="90"/>
        <v>-0.20789824317019304</v>
      </c>
      <c r="N203" s="87">
        <f t="shared" si="91"/>
        <v>0.62645565714127649</v>
      </c>
      <c r="O203" s="86">
        <f t="shared" si="92"/>
        <v>-0.36941182386081323</v>
      </c>
      <c r="P203" s="87">
        <f t="shared" si="93"/>
        <v>0.54605260565941027</v>
      </c>
      <c r="Q203" s="86">
        <f t="shared" si="94"/>
        <v>-0.27847382830088668</v>
      </c>
      <c r="R203" s="85">
        <f t="shared" si="95"/>
        <v>-0.22608628589383678</v>
      </c>
    </row>
    <row r="204" spans="2:18">
      <c r="B204" s="83"/>
      <c r="C204" s="84">
        <v>30</v>
      </c>
      <c r="D204" s="84">
        <v>32</v>
      </c>
      <c r="E204" s="84">
        <v>1.57059675</v>
      </c>
      <c r="F204" s="78"/>
      <c r="G204" s="85">
        <f t="shared" si="84"/>
        <v>0.33771782785865101</v>
      </c>
      <c r="H204" s="86">
        <f t="shared" si="85"/>
        <v>-0.27777777777777779</v>
      </c>
      <c r="I204" s="85">
        <f t="shared" si="86"/>
        <v>-0.5</v>
      </c>
      <c r="J204" s="85">
        <f t="shared" si="87"/>
        <v>-0.11003704235134432</v>
      </c>
      <c r="K204" s="86">
        <f t="shared" si="88"/>
        <v>-0.37484071502471283</v>
      </c>
      <c r="L204" s="87">
        <f t="shared" si="89"/>
        <v>0.12072302579589161</v>
      </c>
      <c r="M204" s="86">
        <f t="shared" si="90"/>
        <v>-0.29883623873011977</v>
      </c>
      <c r="N204" s="87">
        <f t="shared" si="91"/>
        <v>0.22513331699432582</v>
      </c>
      <c r="O204" s="86">
        <f t="shared" si="92"/>
        <v>-0.37484071502471283</v>
      </c>
      <c r="P204" s="87">
        <f t="shared" si="93"/>
        <v>0.12072302579589161</v>
      </c>
      <c r="Q204" s="86">
        <f t="shared" si="94"/>
        <v>-0.37484071502471289</v>
      </c>
      <c r="R204" s="85">
        <f t="shared" si="95"/>
        <v>-0.2169948020627594</v>
      </c>
    </row>
    <row r="205" spans="2:18">
      <c r="B205" s="83"/>
      <c r="C205" s="84">
        <v>30</v>
      </c>
      <c r="D205" s="84">
        <v>64</v>
      </c>
      <c r="E205" s="84">
        <v>1.90491225</v>
      </c>
      <c r="F205" s="78"/>
      <c r="G205" s="85">
        <f t="shared" si="84"/>
        <v>0.46515025764451151</v>
      </c>
      <c r="H205" s="86">
        <f t="shared" si="85"/>
        <v>-0.27777777777777779</v>
      </c>
      <c r="I205" s="85">
        <f t="shared" si="86"/>
        <v>-0.467741935483871</v>
      </c>
      <c r="J205" s="85">
        <f t="shared" si="87"/>
        <v>3.7109252929364955E-2</v>
      </c>
      <c r="K205" s="86">
        <f t="shared" si="88"/>
        <v>-0.34452804983807067</v>
      </c>
      <c r="L205" s="87">
        <f t="shared" si="89"/>
        <v>0.24263900165714455</v>
      </c>
      <c r="M205" s="86">
        <f t="shared" si="90"/>
        <v>-0.26852357354347756</v>
      </c>
      <c r="N205" s="87">
        <f t="shared" si="91"/>
        <v>0.34704929285557873</v>
      </c>
      <c r="O205" s="86">
        <f t="shared" si="92"/>
        <v>-0.37484071502471283</v>
      </c>
      <c r="P205" s="87">
        <f t="shared" si="93"/>
        <v>0.24815545558175212</v>
      </c>
      <c r="Q205" s="86">
        <f t="shared" si="94"/>
        <v>-0.34452804983807073</v>
      </c>
      <c r="R205" s="85">
        <f t="shared" si="95"/>
        <v>-0.22251125598736696</v>
      </c>
    </row>
    <row r="206" spans="2:18">
      <c r="B206" s="83"/>
      <c r="C206" s="84">
        <v>30</v>
      </c>
      <c r="D206" s="84">
        <v>96</v>
      </c>
      <c r="E206" s="84">
        <v>2.2944710000000001</v>
      </c>
      <c r="F206" s="78"/>
      <c r="G206" s="85">
        <f t="shared" si="84"/>
        <v>0.61363998682800036</v>
      </c>
      <c r="H206" s="86">
        <f t="shared" si="85"/>
        <v>-0.27777777777777779</v>
      </c>
      <c r="I206" s="85">
        <f t="shared" si="86"/>
        <v>-0.43548387096774194</v>
      </c>
      <c r="J206" s="85">
        <f t="shared" si="87"/>
        <v>0.20857042316132879</v>
      </c>
      <c r="K206" s="86">
        <f t="shared" si="88"/>
        <v>-0.31421538465142845</v>
      </c>
      <c r="L206" s="87">
        <f t="shared" si="89"/>
        <v>0.38561227691602584</v>
      </c>
      <c r="M206" s="86">
        <f t="shared" si="90"/>
        <v>-0.23821090835683534</v>
      </c>
      <c r="N206" s="87">
        <f t="shared" si="91"/>
        <v>0.49002256811446004</v>
      </c>
      <c r="O206" s="86">
        <f t="shared" si="92"/>
        <v>-0.37484071502471283</v>
      </c>
      <c r="P206" s="87">
        <f t="shared" si="93"/>
        <v>0.39664518476524097</v>
      </c>
      <c r="Q206" s="86">
        <f t="shared" si="94"/>
        <v>-0.31421538465142851</v>
      </c>
      <c r="R206" s="85">
        <f t="shared" si="95"/>
        <v>-0.22802770991197452</v>
      </c>
    </row>
    <row r="207" spans="2:18">
      <c r="B207" s="83"/>
      <c r="C207" s="84">
        <v>30</v>
      </c>
      <c r="D207" s="84">
        <v>128</v>
      </c>
      <c r="E207" s="84">
        <v>2.8109367500000002</v>
      </c>
      <c r="F207" s="78"/>
      <c r="G207" s="85">
        <f t="shared" si="84"/>
        <v>0.81050338509603392</v>
      </c>
      <c r="H207" s="86">
        <f t="shared" si="85"/>
        <v>-0.27777777777777779</v>
      </c>
      <c r="I207" s="85">
        <f t="shared" si="86"/>
        <v>-0.40322580645161288</v>
      </c>
      <c r="J207" s="85">
        <f t="shared" si="87"/>
        <v>0.43588869512859629</v>
      </c>
      <c r="K207" s="86">
        <f t="shared" si="88"/>
        <v>-0.28390271946478612</v>
      </c>
      <c r="L207" s="87">
        <f t="shared" si="89"/>
        <v>0.57695922125945187</v>
      </c>
      <c r="M207" s="86">
        <f t="shared" si="90"/>
        <v>-0.20789824317019304</v>
      </c>
      <c r="N207" s="87">
        <f t="shared" si="91"/>
        <v>0.68136951245788613</v>
      </c>
      <c r="O207" s="86">
        <f t="shared" si="92"/>
        <v>-0.37484071502471278</v>
      </c>
      <c r="P207" s="87">
        <f t="shared" si="93"/>
        <v>0.59350858303327469</v>
      </c>
      <c r="Q207" s="86">
        <f t="shared" si="94"/>
        <v>-0.28390271946478624</v>
      </c>
      <c r="R207" s="85">
        <f t="shared" si="95"/>
        <v>-0.23354416383658211</v>
      </c>
    </row>
    <row r="208" spans="2:18">
      <c r="B208" s="83"/>
      <c r="C208" s="84">
        <v>32</v>
      </c>
      <c r="D208" s="84">
        <v>32</v>
      </c>
      <c r="E208" s="84">
        <v>1.633775</v>
      </c>
      <c r="F208" s="78"/>
      <c r="G208" s="85">
        <f t="shared" si="84"/>
        <v>0.36179974421346722</v>
      </c>
      <c r="H208" s="86">
        <f t="shared" si="85"/>
        <v>-0.26190476190476192</v>
      </c>
      <c r="I208" s="85">
        <f t="shared" si="86"/>
        <v>-0.5</v>
      </c>
      <c r="J208" s="85">
        <f t="shared" si="87"/>
        <v>-8.2229640571233942E-2</v>
      </c>
      <c r="K208" s="86">
        <f t="shared" si="88"/>
        <v>-0.38026960618861233</v>
      </c>
      <c r="L208" s="87">
        <f t="shared" si="89"/>
        <v>0.13734706420796255</v>
      </c>
      <c r="M208" s="86">
        <f t="shared" si="90"/>
        <v>-0.29883623873011977</v>
      </c>
      <c r="N208" s="87">
        <f t="shared" si="91"/>
        <v>0.24921523334914203</v>
      </c>
      <c r="O208" s="86">
        <f t="shared" si="92"/>
        <v>-0.38026960618861233</v>
      </c>
      <c r="P208" s="87">
        <f t="shared" si="93"/>
        <v>0.13734706420796255</v>
      </c>
      <c r="Q208" s="86">
        <f t="shared" si="94"/>
        <v>-0.38026960618861239</v>
      </c>
      <c r="R208" s="85">
        <f t="shared" si="95"/>
        <v>-0.22445268000550467</v>
      </c>
    </row>
    <row r="209" spans="2:18">
      <c r="B209" s="83"/>
      <c r="C209" s="84">
        <v>32</v>
      </c>
      <c r="D209" s="84">
        <v>64</v>
      </c>
      <c r="E209" s="84">
        <v>1.9392897499999999</v>
      </c>
      <c r="F209" s="78"/>
      <c r="G209" s="85">
        <f t="shared" si="84"/>
        <v>0.4782540723194621</v>
      </c>
      <c r="H209" s="86">
        <f t="shared" si="85"/>
        <v>-0.26190476190476192</v>
      </c>
      <c r="I209" s="85">
        <f t="shared" si="86"/>
        <v>-0.467741935483871</v>
      </c>
      <c r="J209" s="85">
        <f t="shared" si="87"/>
        <v>5.2240234789352358E-2</v>
      </c>
      <c r="K209" s="86">
        <f t="shared" si="88"/>
        <v>-0.34995694100197017</v>
      </c>
      <c r="L209" s="87">
        <f t="shared" si="89"/>
        <v>0.24828493838934984</v>
      </c>
      <c r="M209" s="86">
        <f t="shared" si="90"/>
        <v>-0.26852357354347756</v>
      </c>
      <c r="N209" s="87">
        <f t="shared" si="91"/>
        <v>0.36015310753052932</v>
      </c>
      <c r="O209" s="86">
        <f t="shared" si="92"/>
        <v>-0.38026960618861233</v>
      </c>
      <c r="P209" s="87">
        <f t="shared" si="93"/>
        <v>0.25380139231395743</v>
      </c>
      <c r="Q209" s="86">
        <f t="shared" si="94"/>
        <v>-0.34995694100197022</v>
      </c>
      <c r="R209" s="85">
        <f t="shared" si="95"/>
        <v>-0.22996913393011226</v>
      </c>
    </row>
    <row r="210" spans="2:18">
      <c r="B210" s="83"/>
      <c r="C210" s="84">
        <v>32</v>
      </c>
      <c r="D210" s="84">
        <v>96</v>
      </c>
      <c r="E210" s="84">
        <v>2.3949692499999999</v>
      </c>
      <c r="F210" s="78"/>
      <c r="G210" s="85">
        <f t="shared" si="84"/>
        <v>0.65194732282267254</v>
      </c>
      <c r="H210" s="86">
        <f t="shared" si="85"/>
        <v>-0.26190476190476192</v>
      </c>
      <c r="I210" s="85">
        <f t="shared" si="86"/>
        <v>-0.43548387096774194</v>
      </c>
      <c r="J210" s="85">
        <f t="shared" si="87"/>
        <v>0.25280392465825163</v>
      </c>
      <c r="K210" s="86">
        <f t="shared" si="88"/>
        <v>-0.31964427581532789</v>
      </c>
      <c r="L210" s="87">
        <f t="shared" si="89"/>
        <v>0.41646173496795275</v>
      </c>
      <c r="M210" s="86">
        <f t="shared" si="90"/>
        <v>-0.23821090835683534</v>
      </c>
      <c r="N210" s="87">
        <f t="shared" si="91"/>
        <v>0.52832990410913228</v>
      </c>
      <c r="O210" s="86">
        <f t="shared" si="92"/>
        <v>-0.38026960618861227</v>
      </c>
      <c r="P210" s="87">
        <f t="shared" si="93"/>
        <v>0.42749464281716787</v>
      </c>
      <c r="Q210" s="86">
        <f t="shared" si="94"/>
        <v>-0.31964427581532801</v>
      </c>
      <c r="R210" s="85">
        <f t="shared" si="95"/>
        <v>-0.23548558785471979</v>
      </c>
    </row>
    <row r="211" spans="2:18">
      <c r="B211" s="83"/>
      <c r="C211" s="84">
        <v>32</v>
      </c>
      <c r="D211" s="84">
        <v>128</v>
      </c>
      <c r="E211" s="84">
        <v>2.9565972500000002</v>
      </c>
      <c r="F211" s="78"/>
      <c r="G211" s="85">
        <f t="shared" si="84"/>
        <v>0.86602540378443871</v>
      </c>
      <c r="H211" s="86">
        <f t="shared" si="85"/>
        <v>-0.26190476190476192</v>
      </c>
      <c r="I211" s="85">
        <f t="shared" si="86"/>
        <v>-0.40322580645161288</v>
      </c>
      <c r="J211" s="85">
        <f t="shared" si="87"/>
        <v>0.5</v>
      </c>
      <c r="K211" s="86">
        <f t="shared" si="88"/>
        <v>-0.28933161062868562</v>
      </c>
      <c r="L211" s="87">
        <f t="shared" si="89"/>
        <v>0.62502336200511133</v>
      </c>
      <c r="M211" s="86">
        <f t="shared" si="90"/>
        <v>-0.20789824317019304</v>
      </c>
      <c r="N211" s="87">
        <f t="shared" si="91"/>
        <v>0.7368915311462908</v>
      </c>
      <c r="O211" s="86">
        <f t="shared" si="92"/>
        <v>-0.38026960618861227</v>
      </c>
      <c r="P211" s="87">
        <f t="shared" si="93"/>
        <v>0.64157272377893404</v>
      </c>
      <c r="Q211" s="86">
        <f t="shared" si="94"/>
        <v>-0.28933161062868573</v>
      </c>
      <c r="R211" s="85">
        <f t="shared" si="95"/>
        <v>-0.24100204177932738</v>
      </c>
    </row>
    <row r="212" spans="2:18">
      <c r="B212" s="83"/>
      <c r="C212" s="84">
        <v>34</v>
      </c>
      <c r="D212" s="84">
        <v>32</v>
      </c>
      <c r="E212" s="84">
        <v>1.6527485</v>
      </c>
      <c r="F212" s="78"/>
      <c r="G212" s="85">
        <f t="shared" si="84"/>
        <v>0.36903195213245998</v>
      </c>
      <c r="H212" s="86">
        <f t="shared" si="85"/>
        <v>-0.24603174603174605</v>
      </c>
      <c r="I212" s="85">
        <f t="shared" si="86"/>
        <v>-0.5</v>
      </c>
      <c r="J212" s="85">
        <f t="shared" si="87"/>
        <v>-7.3878606193502339E-2</v>
      </c>
      <c r="K212" s="86">
        <f t="shared" si="88"/>
        <v>-0.38569849735251183</v>
      </c>
      <c r="L212" s="87">
        <f t="shared" si="89"/>
        <v>0.13712139418420996</v>
      </c>
      <c r="M212" s="86">
        <f t="shared" si="90"/>
        <v>-0.29883623873011977</v>
      </c>
      <c r="N212" s="87">
        <f t="shared" si="91"/>
        <v>0.25644744126813479</v>
      </c>
      <c r="O212" s="86">
        <f t="shared" si="92"/>
        <v>-0.38569849735251183</v>
      </c>
      <c r="P212" s="87">
        <f t="shared" si="93"/>
        <v>0.13712139418420996</v>
      </c>
      <c r="Q212" s="86">
        <f t="shared" si="94"/>
        <v>-0.38569849735251188</v>
      </c>
      <c r="R212" s="85">
        <f t="shared" si="95"/>
        <v>-0.23191055794825</v>
      </c>
    </row>
    <row r="213" spans="2:18">
      <c r="B213" s="83"/>
      <c r="C213" s="84">
        <v>34</v>
      </c>
      <c r="D213" s="84">
        <v>64</v>
      </c>
      <c r="E213" s="84">
        <v>1.9941435000000001</v>
      </c>
      <c r="F213" s="78"/>
      <c r="G213" s="85">
        <f t="shared" si="84"/>
        <v>0.49916290438188865</v>
      </c>
      <c r="H213" s="86">
        <f t="shared" si="85"/>
        <v>-0.24603174603174605</v>
      </c>
      <c r="I213" s="85">
        <f t="shared" si="86"/>
        <v>-0.467741935483871</v>
      </c>
      <c r="J213" s="85">
        <f t="shared" si="87"/>
        <v>7.6383674428717629E-2</v>
      </c>
      <c r="K213" s="86">
        <f t="shared" si="88"/>
        <v>-0.35538583216586966</v>
      </c>
      <c r="L213" s="87">
        <f t="shared" si="89"/>
        <v>0.26173589250903112</v>
      </c>
      <c r="M213" s="86">
        <f t="shared" si="90"/>
        <v>-0.26852357354347756</v>
      </c>
      <c r="N213" s="87">
        <f t="shared" si="91"/>
        <v>0.38106193959295587</v>
      </c>
      <c r="O213" s="86">
        <f t="shared" si="92"/>
        <v>-0.38569849735251183</v>
      </c>
      <c r="P213" s="87">
        <f t="shared" si="93"/>
        <v>0.26725234643363865</v>
      </c>
      <c r="Q213" s="86">
        <f t="shared" si="94"/>
        <v>-0.35538583216586972</v>
      </c>
      <c r="R213" s="85">
        <f t="shared" si="95"/>
        <v>-0.23742701187285753</v>
      </c>
    </row>
    <row r="214" spans="2:18">
      <c r="B214" s="83"/>
      <c r="C214" s="84">
        <v>34</v>
      </c>
      <c r="D214" s="84">
        <v>96</v>
      </c>
      <c r="E214" s="84">
        <v>2.488178</v>
      </c>
      <c r="F214" s="78"/>
      <c r="G214" s="85">
        <f t="shared" si="84"/>
        <v>0.68747608978024055</v>
      </c>
      <c r="H214" s="86">
        <f t="shared" si="85"/>
        <v>-0.24603174603174605</v>
      </c>
      <c r="I214" s="85">
        <f t="shared" si="86"/>
        <v>-0.43548387096774194</v>
      </c>
      <c r="J214" s="85">
        <f t="shared" si="87"/>
        <v>0.29382901099210645</v>
      </c>
      <c r="K214" s="86">
        <f t="shared" si="88"/>
        <v>-0.32507316697922739</v>
      </c>
      <c r="L214" s="87">
        <f t="shared" si="89"/>
        <v>0.44453262398277549</v>
      </c>
      <c r="M214" s="86">
        <f t="shared" si="90"/>
        <v>-0.23821090835683534</v>
      </c>
      <c r="N214" s="87">
        <f t="shared" si="91"/>
        <v>0.56385867106670029</v>
      </c>
      <c r="O214" s="86">
        <f t="shared" si="92"/>
        <v>-0.38569849735251177</v>
      </c>
      <c r="P214" s="87">
        <f t="shared" si="93"/>
        <v>0.45556553183199061</v>
      </c>
      <c r="Q214" s="86">
        <f t="shared" si="94"/>
        <v>-0.3250731669792275</v>
      </c>
      <c r="R214" s="85">
        <f t="shared" si="95"/>
        <v>-0.24294346579746512</v>
      </c>
    </row>
    <row r="215" spans="2:18">
      <c r="B215" s="83"/>
      <c r="C215" s="84">
        <v>36</v>
      </c>
      <c r="D215" s="84">
        <v>32</v>
      </c>
      <c r="E215" s="84">
        <v>1.6690745</v>
      </c>
      <c r="F215" s="78"/>
      <c r="G215" s="85">
        <f t="shared" si="84"/>
        <v>0.37525500146365748</v>
      </c>
      <c r="H215" s="86">
        <f t="shared" si="85"/>
        <v>-0.23015873015873017</v>
      </c>
      <c r="I215" s="85">
        <f t="shared" si="86"/>
        <v>-0.5</v>
      </c>
      <c r="J215" s="85">
        <f t="shared" si="87"/>
        <v>-6.6692847780407905E-2</v>
      </c>
      <c r="K215" s="86">
        <f t="shared" si="88"/>
        <v>-0.39112738851641132</v>
      </c>
      <c r="L215" s="87">
        <f t="shared" si="89"/>
        <v>0.13588656557266221</v>
      </c>
      <c r="M215" s="86">
        <f t="shared" si="90"/>
        <v>-0.29883623873011977</v>
      </c>
      <c r="N215" s="87">
        <f t="shared" si="91"/>
        <v>0.26267049059933228</v>
      </c>
      <c r="O215" s="86">
        <f t="shared" si="92"/>
        <v>-0.39112738851641132</v>
      </c>
      <c r="P215" s="87">
        <f t="shared" si="93"/>
        <v>0.13588656557266221</v>
      </c>
      <c r="Q215" s="86">
        <f t="shared" si="94"/>
        <v>-0.39112738851641138</v>
      </c>
      <c r="R215" s="85">
        <f t="shared" si="95"/>
        <v>-0.23936843589099527</v>
      </c>
    </row>
    <row r="216" spans="2:18">
      <c r="B216" s="83"/>
      <c r="C216" s="84">
        <v>36</v>
      </c>
      <c r="D216" s="84">
        <v>64</v>
      </c>
      <c r="E216" s="84">
        <v>2.0515187500000001</v>
      </c>
      <c r="F216" s="78"/>
      <c r="G216" s="85">
        <f t="shared" si="84"/>
        <v>0.52103286708798868</v>
      </c>
      <c r="H216" s="86">
        <f t="shared" si="85"/>
        <v>-0.23015873015873017</v>
      </c>
      <c r="I216" s="85">
        <f t="shared" si="86"/>
        <v>-0.467741935483871</v>
      </c>
      <c r="J216" s="85">
        <f t="shared" si="87"/>
        <v>0.10163693213978553</v>
      </c>
      <c r="K216" s="86">
        <f t="shared" si="88"/>
        <v>-0.36081472332976916</v>
      </c>
      <c r="L216" s="87">
        <f t="shared" si="89"/>
        <v>0.27614797727238583</v>
      </c>
      <c r="M216" s="86">
        <f t="shared" si="90"/>
        <v>-0.26852357354347756</v>
      </c>
      <c r="N216" s="87">
        <f t="shared" si="91"/>
        <v>0.40293190229905596</v>
      </c>
      <c r="O216" s="86">
        <f t="shared" si="92"/>
        <v>-0.39112738851641132</v>
      </c>
      <c r="P216" s="87">
        <f t="shared" si="93"/>
        <v>0.28166443119699347</v>
      </c>
      <c r="Q216" s="86">
        <f t="shared" si="94"/>
        <v>-0.36081472332976922</v>
      </c>
      <c r="R216" s="85">
        <f t="shared" si="95"/>
        <v>-0.24488488981560286</v>
      </c>
    </row>
    <row r="217" spans="2:18">
      <c r="B217" s="83"/>
      <c r="C217" s="84">
        <v>36</v>
      </c>
      <c r="D217" s="84">
        <v>96</v>
      </c>
      <c r="E217" s="84">
        <v>2.5899295000000002</v>
      </c>
      <c r="F217" s="78"/>
      <c r="G217" s="85">
        <f t="shared" si="84"/>
        <v>0.72626113229055211</v>
      </c>
      <c r="H217" s="86">
        <f t="shared" si="85"/>
        <v>-0.23015873015873017</v>
      </c>
      <c r="I217" s="85">
        <f t="shared" si="86"/>
        <v>-0.43548387096774194</v>
      </c>
      <c r="J217" s="85">
        <f t="shared" si="87"/>
        <v>0.3386141204598252</v>
      </c>
      <c r="K217" s="86">
        <f t="shared" si="88"/>
        <v>-0.33050205814312689</v>
      </c>
      <c r="L217" s="87">
        <f t="shared" si="89"/>
        <v>0.47585978855034167</v>
      </c>
      <c r="M217" s="86">
        <f t="shared" si="90"/>
        <v>-0.23821090835683534</v>
      </c>
      <c r="N217" s="87">
        <f t="shared" si="91"/>
        <v>0.60264371357701174</v>
      </c>
      <c r="O217" s="86">
        <f t="shared" si="92"/>
        <v>-0.39112738851641127</v>
      </c>
      <c r="P217" s="87">
        <f t="shared" si="93"/>
        <v>0.48689269639955679</v>
      </c>
      <c r="Q217" s="86">
        <f t="shared" si="94"/>
        <v>-0.330502058143127</v>
      </c>
      <c r="R217" s="85">
        <f t="shared" si="95"/>
        <v>-0.25040134374021039</v>
      </c>
    </row>
    <row r="218" spans="2:18">
      <c r="B218" s="83"/>
      <c r="C218" s="84">
        <v>38</v>
      </c>
      <c r="D218" s="84">
        <v>32</v>
      </c>
      <c r="E218" s="84">
        <v>1.6826430000000001</v>
      </c>
      <c r="F218" s="78"/>
      <c r="G218" s="85">
        <f t="shared" si="84"/>
        <v>0.38042696304949319</v>
      </c>
      <c r="H218" s="86">
        <f t="shared" si="85"/>
        <v>-0.2142857142857143</v>
      </c>
      <c r="I218" s="85">
        <f t="shared" si="86"/>
        <v>-0.5</v>
      </c>
      <c r="J218" s="85">
        <f t="shared" si="87"/>
        <v>-6.0720780952766618E-2</v>
      </c>
      <c r="K218" s="86">
        <f t="shared" si="88"/>
        <v>-0.39655627968031082</v>
      </c>
      <c r="L218" s="87">
        <f t="shared" si="89"/>
        <v>0.1336006492157526</v>
      </c>
      <c r="M218" s="86">
        <f t="shared" si="90"/>
        <v>-0.29883623873011977</v>
      </c>
      <c r="N218" s="87">
        <f t="shared" si="91"/>
        <v>0.267842452185168</v>
      </c>
      <c r="O218" s="86">
        <f t="shared" si="92"/>
        <v>-0.39655627968031082</v>
      </c>
      <c r="P218" s="87">
        <f t="shared" si="93"/>
        <v>0.1336006492157526</v>
      </c>
      <c r="Q218" s="86">
        <f t="shared" si="94"/>
        <v>-0.39655627968031087</v>
      </c>
      <c r="R218" s="85">
        <f t="shared" si="95"/>
        <v>-0.2468263138337406</v>
      </c>
    </row>
    <row r="219" spans="2:18">
      <c r="B219" s="83"/>
      <c r="C219" s="84">
        <v>38</v>
      </c>
      <c r="D219" s="84">
        <v>64</v>
      </c>
      <c r="E219" s="84">
        <v>2.0997180000000002</v>
      </c>
      <c r="F219" s="78"/>
      <c r="G219" s="85">
        <f t="shared" si="84"/>
        <v>0.53940517570471802</v>
      </c>
      <c r="H219" s="86">
        <f t="shared" si="85"/>
        <v>-0.2142857142857143</v>
      </c>
      <c r="I219" s="85">
        <f t="shared" si="86"/>
        <v>-0.467741935483871</v>
      </c>
      <c r="J219" s="85">
        <f t="shared" si="87"/>
        <v>0.12285144679079263</v>
      </c>
      <c r="K219" s="86">
        <f t="shared" si="88"/>
        <v>-0.36624361449366866</v>
      </c>
      <c r="L219" s="87">
        <f t="shared" si="89"/>
        <v>0.28706240794636989</v>
      </c>
      <c r="M219" s="86">
        <f t="shared" si="90"/>
        <v>-0.26852357354347756</v>
      </c>
      <c r="N219" s="87">
        <f t="shared" si="91"/>
        <v>0.42130421091578524</v>
      </c>
      <c r="O219" s="86">
        <f t="shared" si="92"/>
        <v>-0.39655627968031082</v>
      </c>
      <c r="P219" s="87">
        <f t="shared" si="93"/>
        <v>0.29257886187097742</v>
      </c>
      <c r="Q219" s="86">
        <f t="shared" si="94"/>
        <v>-0.36624361449366871</v>
      </c>
      <c r="R219" s="85">
        <f t="shared" si="95"/>
        <v>-0.25234276775834813</v>
      </c>
    </row>
    <row r="220" spans="2:18">
      <c r="B220" s="83"/>
      <c r="C220" s="84">
        <v>38</v>
      </c>
      <c r="D220" s="84">
        <v>96</v>
      </c>
      <c r="E220" s="84">
        <v>2.70377125</v>
      </c>
      <c r="F220" s="78"/>
      <c r="G220" s="85">
        <f t="shared" si="84"/>
        <v>0.7696546656851283</v>
      </c>
      <c r="H220" s="86">
        <f t="shared" si="85"/>
        <v>-0.2142857142857143</v>
      </c>
      <c r="I220" s="85">
        <f t="shared" si="86"/>
        <v>-0.43548387096774194</v>
      </c>
      <c r="J220" s="85">
        <f t="shared" si="87"/>
        <v>0.38872065683272039</v>
      </c>
      <c r="K220" s="86">
        <f t="shared" si="88"/>
        <v>-0.33593094930702638</v>
      </c>
      <c r="L220" s="87">
        <f t="shared" si="89"/>
        <v>0.51179544400217258</v>
      </c>
      <c r="M220" s="86">
        <f t="shared" si="90"/>
        <v>-0.23821090835683531</v>
      </c>
      <c r="N220" s="87">
        <f t="shared" si="91"/>
        <v>0.64603724697158793</v>
      </c>
      <c r="O220" s="86">
        <f t="shared" si="92"/>
        <v>-0.39655627968031076</v>
      </c>
      <c r="P220" s="87">
        <f t="shared" si="93"/>
        <v>0.52282835185138765</v>
      </c>
      <c r="Q220" s="86">
        <f t="shared" si="94"/>
        <v>-0.33593094930702649</v>
      </c>
      <c r="R220" s="85">
        <f t="shared" si="95"/>
        <v>-0.25785922168295572</v>
      </c>
    </row>
    <row r="221" spans="2:18">
      <c r="B221" s="83"/>
      <c r="C221" s="84">
        <v>40</v>
      </c>
      <c r="D221" s="84">
        <v>32</v>
      </c>
      <c r="E221" s="84">
        <v>1.7016642500000001</v>
      </c>
      <c r="F221" s="78"/>
      <c r="G221" s="85">
        <f t="shared" si="84"/>
        <v>0.38767737203461139</v>
      </c>
      <c r="H221" s="86">
        <f t="shared" si="85"/>
        <v>-0.19841269841269843</v>
      </c>
      <c r="I221" s="85">
        <f t="shared" si="86"/>
        <v>-0.5</v>
      </c>
      <c r="J221" s="85">
        <f t="shared" si="87"/>
        <v>-5.234872979418087E-2</v>
      </c>
      <c r="K221" s="86">
        <f t="shared" si="88"/>
        <v>-0.40198517084421037</v>
      </c>
      <c r="L221" s="87">
        <f t="shared" si="89"/>
        <v>0.13339318025812552</v>
      </c>
      <c r="M221" s="86">
        <f t="shared" si="90"/>
        <v>-0.29883623873011977</v>
      </c>
      <c r="N221" s="87">
        <f t="shared" si="91"/>
        <v>0.2750928611702862</v>
      </c>
      <c r="O221" s="86">
        <f t="shared" si="92"/>
        <v>-0.40198517084421037</v>
      </c>
      <c r="P221" s="87">
        <f t="shared" si="93"/>
        <v>0.13339318025812552</v>
      </c>
      <c r="Q221" s="86">
        <f t="shared" si="94"/>
        <v>-0.40198517084421043</v>
      </c>
      <c r="R221" s="85">
        <f t="shared" si="95"/>
        <v>-0.25428419177648587</v>
      </c>
    </row>
    <row r="222" spans="2:18">
      <c r="B222" s="83"/>
      <c r="C222" s="84">
        <v>40</v>
      </c>
      <c r="D222" s="84">
        <v>64</v>
      </c>
      <c r="E222" s="84">
        <v>2.1522329999999998</v>
      </c>
      <c r="F222" s="78"/>
      <c r="G222" s="85">
        <f t="shared" ref="G222:G253" si="96">D$19*(L222-R222)</f>
        <v>0.55942253670115516</v>
      </c>
      <c r="H222" s="86">
        <f t="shared" ref="H222:H253" si="97">(C222-H$16)/H$17-0.5</f>
        <v>-0.19841269841269843</v>
      </c>
      <c r="I222" s="85">
        <f t="shared" ref="I222:I253" si="98">(D222-I$16)/I$17-0.5</f>
        <v>-0.467741935483871</v>
      </c>
      <c r="J222" s="85">
        <f t="shared" ref="J222:J253" si="99">(E222-J$16)/J$17-0.5</f>
        <v>0.14596550431031052</v>
      </c>
      <c r="K222" s="86">
        <f t="shared" ref="K222:K253" si="100">(H222*$H$13+I222*$I$13+J222*$J$13+$D$27)*$C$27</f>
        <v>-0.37167250565756815</v>
      </c>
      <c r="L222" s="87">
        <f t="shared" ref="L222:L253" si="101">(H222*$H$14+I222*$I$14+J222*$J$14+$E$27)*$C$27</f>
        <v>0.29962189100006176</v>
      </c>
      <c r="M222" s="86">
        <f t="shared" ref="M222:M253" si="102">(H$27*$H$13+I222*$I$13+J222*$J$13+$D$27)*$C$27</f>
        <v>-0.26852357354347756</v>
      </c>
      <c r="N222" s="87">
        <f t="shared" ref="N222:N253" si="103">(H$27*$H$14+I222*$I$14+J222*$J$14+$E$27)*$C$27</f>
        <v>0.44132157191222243</v>
      </c>
      <c r="O222" s="86">
        <f t="shared" ref="O222:O253" si="104">(H222*$H$13+I$27*$I$13+J222*$J$13+$D$27)*$C$27</f>
        <v>-0.40198517084421037</v>
      </c>
      <c r="P222" s="87">
        <f t="shared" ref="P222:P253" si="105">(H222*$H$14+I$27*$I$14+J222*$J$14+$E$27)*$C$27</f>
        <v>0.3051383449246694</v>
      </c>
      <c r="Q222" s="86">
        <f t="shared" ref="Q222:Q253" si="106">(H222*$H$13+I222*$I$13+J$27*$J$13+$D$27)*$C$27</f>
        <v>-0.37167250565756821</v>
      </c>
      <c r="R222" s="85">
        <f t="shared" ref="R222:R253" si="107">(H222*$H$14+I222*$I$14+J$27*$J$14+$E$27)*$C$27</f>
        <v>-0.25980064570109346</v>
      </c>
    </row>
    <row r="223" spans="2:18">
      <c r="B223" s="83"/>
      <c r="C223" s="84">
        <v>40</v>
      </c>
      <c r="D223" s="84">
        <v>96</v>
      </c>
      <c r="E223" s="84">
        <v>2.8119550000000002</v>
      </c>
      <c r="F223" s="78"/>
      <c r="G223" s="85">
        <f t="shared" si="96"/>
        <v>0.81089151568414453</v>
      </c>
      <c r="H223" s="86">
        <f t="shared" si="97"/>
        <v>-0.19841269841269843</v>
      </c>
      <c r="I223" s="85">
        <f t="shared" si="98"/>
        <v>-0.43548387096774194</v>
      </c>
      <c r="J223" s="85">
        <f t="shared" si="99"/>
        <v>0.43633686972764896</v>
      </c>
      <c r="K223" s="86">
        <f t="shared" si="100"/>
        <v>-0.34135984047092588</v>
      </c>
      <c r="L223" s="87">
        <f t="shared" si="101"/>
        <v>0.54557441605844359</v>
      </c>
      <c r="M223" s="86">
        <f t="shared" si="102"/>
        <v>-0.23821090835683531</v>
      </c>
      <c r="N223" s="87">
        <f t="shared" si="103"/>
        <v>0.68727409697060426</v>
      </c>
      <c r="O223" s="86">
        <f t="shared" si="104"/>
        <v>-0.40198517084421032</v>
      </c>
      <c r="P223" s="87">
        <f t="shared" si="105"/>
        <v>0.55660732390765877</v>
      </c>
      <c r="Q223" s="86">
        <f t="shared" si="106"/>
        <v>-0.34135984047092599</v>
      </c>
      <c r="R223" s="85">
        <f t="shared" si="107"/>
        <v>-0.26531709962570099</v>
      </c>
    </row>
    <row r="224" spans="2:18">
      <c r="B224" s="83"/>
      <c r="C224" s="84">
        <v>42</v>
      </c>
      <c r="D224" s="84">
        <v>32</v>
      </c>
      <c r="E224" s="84">
        <v>1.71153775</v>
      </c>
      <c r="F224" s="78"/>
      <c r="G224" s="85">
        <f t="shared" si="96"/>
        <v>0.39144089510037017</v>
      </c>
      <c r="H224" s="86">
        <f t="shared" si="97"/>
        <v>-0.18253968253968256</v>
      </c>
      <c r="I224" s="85">
        <f t="shared" si="98"/>
        <v>-0.5</v>
      </c>
      <c r="J224" s="85">
        <f t="shared" si="99"/>
        <v>-4.8002987683946452E-2</v>
      </c>
      <c r="K224" s="86">
        <f t="shared" si="100"/>
        <v>-0.40741406200810987</v>
      </c>
      <c r="L224" s="87">
        <f t="shared" si="101"/>
        <v>0.129698825381139</v>
      </c>
      <c r="M224" s="86">
        <f t="shared" si="102"/>
        <v>-0.29883623873011977</v>
      </c>
      <c r="N224" s="87">
        <f t="shared" si="103"/>
        <v>0.27885638423604497</v>
      </c>
      <c r="O224" s="86">
        <f t="shared" si="104"/>
        <v>-0.40741406200810987</v>
      </c>
      <c r="P224" s="87">
        <f t="shared" si="105"/>
        <v>0.129698825381139</v>
      </c>
      <c r="Q224" s="86">
        <f t="shared" si="106"/>
        <v>-0.40741406200810992</v>
      </c>
      <c r="R224" s="85">
        <f t="shared" si="107"/>
        <v>-0.2617420697192312</v>
      </c>
    </row>
    <row r="225" spans="2:18">
      <c r="B225" s="83"/>
      <c r="C225" s="84">
        <v>42</v>
      </c>
      <c r="D225" s="84">
        <v>64</v>
      </c>
      <c r="E225" s="84">
        <v>2.2006484999999998</v>
      </c>
      <c r="F225" s="78"/>
      <c r="G225" s="85">
        <f t="shared" si="96"/>
        <v>0.57787727422991875</v>
      </c>
      <c r="H225" s="86">
        <f t="shared" si="97"/>
        <v>-0.18253968253968256</v>
      </c>
      <c r="I225" s="85">
        <f t="shared" si="98"/>
        <v>-0.467741935483871</v>
      </c>
      <c r="J225" s="85">
        <f t="shared" si="99"/>
        <v>0.16727519967042148</v>
      </c>
      <c r="K225" s="86">
        <f t="shared" si="100"/>
        <v>-0.3771013968214677</v>
      </c>
      <c r="L225" s="87">
        <f t="shared" si="101"/>
        <v>0.31061875058608002</v>
      </c>
      <c r="M225" s="86">
        <f t="shared" si="102"/>
        <v>-0.26852357354347756</v>
      </c>
      <c r="N225" s="87">
        <f t="shared" si="103"/>
        <v>0.45977630944098591</v>
      </c>
      <c r="O225" s="86">
        <f t="shared" si="104"/>
        <v>-0.40741406200810987</v>
      </c>
      <c r="P225" s="87">
        <f t="shared" si="105"/>
        <v>0.31613520451068755</v>
      </c>
      <c r="Q225" s="86">
        <f t="shared" si="106"/>
        <v>-0.37710139682146776</v>
      </c>
      <c r="R225" s="85">
        <f t="shared" si="107"/>
        <v>-0.26725852364383873</v>
      </c>
    </row>
    <row r="226" spans="2:18">
      <c r="B226" s="83"/>
      <c r="C226" s="84">
        <v>42</v>
      </c>
      <c r="D226" s="84">
        <v>96</v>
      </c>
      <c r="E226" s="84">
        <v>2.921135</v>
      </c>
      <c r="F226" s="78"/>
      <c r="G226" s="85">
        <f t="shared" si="96"/>
        <v>0.85250811043975783</v>
      </c>
      <c r="H226" s="86">
        <f t="shared" si="97"/>
        <v>-0.18253968253968256</v>
      </c>
      <c r="I226" s="85">
        <f t="shared" si="98"/>
        <v>-0.43548387096774194</v>
      </c>
      <c r="J226" s="85">
        <f t="shared" si="99"/>
        <v>0.48439157409746669</v>
      </c>
      <c r="K226" s="86">
        <f t="shared" si="100"/>
        <v>-0.34678873163482543</v>
      </c>
      <c r="L226" s="87">
        <f t="shared" si="101"/>
        <v>0.57973313287131156</v>
      </c>
      <c r="M226" s="86">
        <f t="shared" si="102"/>
        <v>-0.23821090835683531</v>
      </c>
      <c r="N226" s="87">
        <f t="shared" si="103"/>
        <v>0.72889069172621745</v>
      </c>
      <c r="O226" s="86">
        <f t="shared" si="104"/>
        <v>-0.40741406200810981</v>
      </c>
      <c r="P226" s="87">
        <f t="shared" si="105"/>
        <v>0.59076604072052663</v>
      </c>
      <c r="Q226" s="86">
        <f t="shared" si="106"/>
        <v>-0.34678873163482554</v>
      </c>
      <c r="R226" s="85">
        <f t="shared" si="107"/>
        <v>-0.27277497756844632</v>
      </c>
    </row>
    <row r="227" spans="2:18">
      <c r="B227" s="83"/>
      <c r="C227" s="84">
        <v>44</v>
      </c>
      <c r="D227" s="84">
        <v>32</v>
      </c>
      <c r="E227" s="84">
        <v>1.73210525</v>
      </c>
      <c r="F227" s="78"/>
      <c r="G227" s="85">
        <f t="shared" si="96"/>
        <v>0.39928069462991855</v>
      </c>
      <c r="H227" s="86">
        <f t="shared" si="97"/>
        <v>-0.16666666666666669</v>
      </c>
      <c r="I227" s="85">
        <f t="shared" si="98"/>
        <v>-0.5</v>
      </c>
      <c r="J227" s="85">
        <f t="shared" si="99"/>
        <v>-3.895036694639159E-2</v>
      </c>
      <c r="K227" s="86">
        <f t="shared" si="100"/>
        <v>-0.41284295317200936</v>
      </c>
      <c r="L227" s="87">
        <f t="shared" si="101"/>
        <v>0.13008074696794206</v>
      </c>
      <c r="M227" s="86">
        <f t="shared" si="102"/>
        <v>-0.29883623873011977</v>
      </c>
      <c r="N227" s="87">
        <f t="shared" si="103"/>
        <v>0.2866961837655933</v>
      </c>
      <c r="O227" s="86">
        <f t="shared" si="104"/>
        <v>-0.41284295317200936</v>
      </c>
      <c r="P227" s="87">
        <f t="shared" si="105"/>
        <v>0.13008074696794206</v>
      </c>
      <c r="Q227" s="86">
        <f t="shared" si="106"/>
        <v>-0.41284295317200942</v>
      </c>
      <c r="R227" s="85">
        <f t="shared" si="107"/>
        <v>-0.26919994766197647</v>
      </c>
    </row>
    <row r="228" spans="2:18">
      <c r="B228" s="83"/>
      <c r="C228" s="84">
        <v>44</v>
      </c>
      <c r="D228" s="84">
        <v>64</v>
      </c>
      <c r="E228" s="84">
        <v>2.2607300000000001</v>
      </c>
      <c r="F228" s="78"/>
      <c r="G228" s="85">
        <f t="shared" si="96"/>
        <v>0.60077878950569641</v>
      </c>
      <c r="H228" s="86">
        <f t="shared" si="97"/>
        <v>-0.16666666666666669</v>
      </c>
      <c r="I228" s="85">
        <f t="shared" si="98"/>
        <v>-0.467741935483871</v>
      </c>
      <c r="J228" s="85">
        <f t="shared" si="99"/>
        <v>0.19371959168906261</v>
      </c>
      <c r="K228" s="86">
        <f t="shared" si="100"/>
        <v>-0.3825302879853672</v>
      </c>
      <c r="L228" s="87">
        <f t="shared" si="101"/>
        <v>0.32606238791911235</v>
      </c>
      <c r="M228" s="86">
        <f t="shared" si="102"/>
        <v>-0.26852357354347756</v>
      </c>
      <c r="N228" s="87">
        <f t="shared" si="103"/>
        <v>0.48267782471676363</v>
      </c>
      <c r="O228" s="86">
        <f t="shared" si="104"/>
        <v>-0.41284295317200936</v>
      </c>
      <c r="P228" s="87">
        <f t="shared" si="105"/>
        <v>0.33157884184371994</v>
      </c>
      <c r="Q228" s="86">
        <f t="shared" si="106"/>
        <v>-0.38253028798536726</v>
      </c>
      <c r="R228" s="85">
        <f t="shared" si="107"/>
        <v>-0.27471640158658406</v>
      </c>
    </row>
    <row r="229" spans="2:18">
      <c r="B229" s="83"/>
      <c r="C229" s="84">
        <v>46</v>
      </c>
      <c r="D229" s="84">
        <v>32</v>
      </c>
      <c r="E229" s="84">
        <v>1.7494185</v>
      </c>
      <c r="F229" s="78"/>
      <c r="G229" s="85">
        <f t="shared" si="96"/>
        <v>0.40588005815027595</v>
      </c>
      <c r="H229" s="86">
        <f t="shared" si="97"/>
        <v>-0.15079365079365081</v>
      </c>
      <c r="I229" s="85">
        <f t="shared" si="98"/>
        <v>-0.5</v>
      </c>
      <c r="J229" s="85">
        <f t="shared" si="99"/>
        <v>-3.1330078336474498E-2</v>
      </c>
      <c r="K229" s="86">
        <f t="shared" si="100"/>
        <v>-0.41827184433590886</v>
      </c>
      <c r="L229" s="87">
        <f t="shared" si="101"/>
        <v>0.12922223254555412</v>
      </c>
      <c r="M229" s="86">
        <f t="shared" si="102"/>
        <v>-0.29883623873011977</v>
      </c>
      <c r="N229" s="87">
        <f t="shared" si="103"/>
        <v>0.29329554728595075</v>
      </c>
      <c r="O229" s="86">
        <f t="shared" si="104"/>
        <v>-0.41827184433590886</v>
      </c>
      <c r="P229" s="87">
        <f t="shared" si="105"/>
        <v>0.12922223254555412</v>
      </c>
      <c r="Q229" s="86">
        <f t="shared" si="106"/>
        <v>-0.41827184433590892</v>
      </c>
      <c r="R229" s="85">
        <f t="shared" si="107"/>
        <v>-0.2766578256047218</v>
      </c>
    </row>
    <row r="230" spans="2:18">
      <c r="B230" s="83"/>
      <c r="C230" s="84">
        <v>46</v>
      </c>
      <c r="D230" s="84">
        <v>64</v>
      </c>
      <c r="E230" s="84">
        <v>2.3211824999999999</v>
      </c>
      <c r="F230" s="78"/>
      <c r="G230" s="85">
        <f t="shared" si="96"/>
        <v>0.62382172039472095</v>
      </c>
      <c r="H230" s="86">
        <f t="shared" si="97"/>
        <v>-0.15079365079365081</v>
      </c>
      <c r="I230" s="85">
        <f t="shared" si="98"/>
        <v>-0.467741935483871</v>
      </c>
      <c r="J230" s="85">
        <f t="shared" si="99"/>
        <v>0.2203272763924552</v>
      </c>
      <c r="K230" s="86">
        <f t="shared" si="100"/>
        <v>-0.3879591791492667</v>
      </c>
      <c r="L230" s="87">
        <f t="shared" si="101"/>
        <v>0.34164744086539167</v>
      </c>
      <c r="M230" s="86">
        <f t="shared" si="102"/>
        <v>-0.26852357354347756</v>
      </c>
      <c r="N230" s="87">
        <f t="shared" si="103"/>
        <v>0.50572075560578822</v>
      </c>
      <c r="O230" s="86">
        <f t="shared" si="104"/>
        <v>-0.41827184433590886</v>
      </c>
      <c r="P230" s="87">
        <f t="shared" si="105"/>
        <v>0.34716389478999921</v>
      </c>
      <c r="Q230" s="86">
        <f t="shared" si="106"/>
        <v>-0.38795917914926675</v>
      </c>
      <c r="R230" s="85">
        <f t="shared" si="107"/>
        <v>-0.28217427952932933</v>
      </c>
    </row>
    <row r="231" spans="2:18">
      <c r="B231" s="83"/>
      <c r="C231" s="84">
        <v>48</v>
      </c>
      <c r="D231" s="84">
        <v>32</v>
      </c>
      <c r="E231" s="84">
        <v>1.7668174999999999</v>
      </c>
      <c r="F231" s="78"/>
      <c r="G231" s="85">
        <f t="shared" si="96"/>
        <v>0.41251210735482718</v>
      </c>
      <c r="H231" s="86">
        <f t="shared" si="97"/>
        <v>-0.13492063492063494</v>
      </c>
      <c r="I231" s="85">
        <f t="shared" si="98"/>
        <v>-0.5</v>
      </c>
      <c r="J231" s="85">
        <f t="shared" si="99"/>
        <v>-2.3672047549421482E-2</v>
      </c>
      <c r="K231" s="86">
        <f t="shared" si="100"/>
        <v>-0.42370073549980836</v>
      </c>
      <c r="L231" s="87">
        <f t="shared" si="101"/>
        <v>0.12839640380736012</v>
      </c>
      <c r="M231" s="86">
        <f t="shared" si="102"/>
        <v>-0.29883623873011977</v>
      </c>
      <c r="N231" s="87">
        <f t="shared" si="103"/>
        <v>0.29992759649050199</v>
      </c>
      <c r="O231" s="86">
        <f t="shared" si="104"/>
        <v>-0.42370073549980836</v>
      </c>
      <c r="P231" s="87">
        <f t="shared" si="105"/>
        <v>0.12839640380736012</v>
      </c>
      <c r="Q231" s="86">
        <f t="shared" si="106"/>
        <v>-0.42370073549980841</v>
      </c>
      <c r="R231" s="85">
        <f t="shared" si="107"/>
        <v>-0.28411570354746707</v>
      </c>
    </row>
    <row r="232" spans="2:18">
      <c r="B232" s="83"/>
      <c r="C232" s="84">
        <v>48</v>
      </c>
      <c r="D232" s="84">
        <v>64</v>
      </c>
      <c r="E232" s="84">
        <v>2.3926905000000001</v>
      </c>
      <c r="F232" s="78"/>
      <c r="G232" s="85">
        <f t="shared" si="96"/>
        <v>0.65107872220626528</v>
      </c>
      <c r="H232" s="86">
        <f t="shared" si="97"/>
        <v>-0.13492063492063494</v>
      </c>
      <c r="I232" s="85">
        <f t="shared" si="98"/>
        <v>-0.467741935483871</v>
      </c>
      <c r="J232" s="85">
        <f t="shared" si="99"/>
        <v>0.25180095105884959</v>
      </c>
      <c r="K232" s="86">
        <f t="shared" si="100"/>
        <v>-0.39338807031316614</v>
      </c>
      <c r="L232" s="87">
        <f t="shared" si="101"/>
        <v>0.36144656473419057</v>
      </c>
      <c r="M232" s="86">
        <f t="shared" si="102"/>
        <v>-0.2685235735434775</v>
      </c>
      <c r="N232" s="87">
        <f t="shared" si="103"/>
        <v>0.53297775741733244</v>
      </c>
      <c r="O232" s="86">
        <f t="shared" si="104"/>
        <v>-0.4237007354998083</v>
      </c>
      <c r="P232" s="87">
        <f t="shared" si="105"/>
        <v>0.36696301865879821</v>
      </c>
      <c r="Q232" s="86">
        <f t="shared" si="106"/>
        <v>-0.39338807031316625</v>
      </c>
      <c r="R232" s="85">
        <f t="shared" si="107"/>
        <v>-0.28963215747207466</v>
      </c>
    </row>
    <row r="233" spans="2:18">
      <c r="B233" s="83"/>
      <c r="C233" s="84">
        <v>50</v>
      </c>
      <c r="D233" s="84">
        <v>32</v>
      </c>
      <c r="E233" s="84">
        <v>1.7913939999999999</v>
      </c>
      <c r="F233" s="78"/>
      <c r="G233" s="85">
        <f t="shared" si="96"/>
        <v>0.42188003409059693</v>
      </c>
      <c r="H233" s="86">
        <f t="shared" si="97"/>
        <v>-0.11904761904761907</v>
      </c>
      <c r="I233" s="85">
        <f t="shared" si="98"/>
        <v>-0.5</v>
      </c>
      <c r="J233" s="85">
        <f t="shared" si="99"/>
        <v>-1.2854897504130769E-2</v>
      </c>
      <c r="K233" s="86">
        <f t="shared" si="100"/>
        <v>-0.42912962666370785</v>
      </c>
      <c r="L233" s="87">
        <f t="shared" si="101"/>
        <v>0.13030645260038456</v>
      </c>
      <c r="M233" s="86">
        <f t="shared" si="102"/>
        <v>-0.29883623873011977</v>
      </c>
      <c r="N233" s="87">
        <f t="shared" si="103"/>
        <v>0.30929552322627174</v>
      </c>
      <c r="O233" s="86">
        <f t="shared" si="104"/>
        <v>-0.42912962666370785</v>
      </c>
      <c r="P233" s="87">
        <f t="shared" si="105"/>
        <v>0.13030645260038456</v>
      </c>
      <c r="Q233" s="86">
        <f t="shared" si="106"/>
        <v>-0.42912962666370791</v>
      </c>
      <c r="R233" s="85">
        <f t="shared" si="107"/>
        <v>-0.2915735814902124</v>
      </c>
    </row>
    <row r="234" spans="2:18">
      <c r="B234" s="83"/>
      <c r="C234" s="84">
        <v>50</v>
      </c>
      <c r="D234" s="84">
        <v>64</v>
      </c>
      <c r="E234" s="84">
        <v>2.4612620000000001</v>
      </c>
      <c r="F234" s="78"/>
      <c r="G234" s="85">
        <f t="shared" si="96"/>
        <v>0.67721640609786204</v>
      </c>
      <c r="H234" s="86">
        <f t="shared" si="97"/>
        <v>-0.11904761904761907</v>
      </c>
      <c r="I234" s="85">
        <f t="shared" si="98"/>
        <v>-0.467741935483871</v>
      </c>
      <c r="J234" s="85">
        <f t="shared" si="99"/>
        <v>0.28198214872046312</v>
      </c>
      <c r="K234" s="86">
        <f t="shared" si="100"/>
        <v>-0.39881696147706563</v>
      </c>
      <c r="L234" s="87">
        <f t="shared" si="101"/>
        <v>0.38012637068304211</v>
      </c>
      <c r="M234" s="86">
        <f t="shared" si="102"/>
        <v>-0.2685235735434775</v>
      </c>
      <c r="N234" s="87">
        <f t="shared" si="103"/>
        <v>0.55911544130892932</v>
      </c>
      <c r="O234" s="86">
        <f t="shared" si="104"/>
        <v>-0.4291296266637078</v>
      </c>
      <c r="P234" s="87">
        <f t="shared" si="105"/>
        <v>0.3856428246076497</v>
      </c>
      <c r="Q234" s="86">
        <f t="shared" si="106"/>
        <v>-0.39881696147706575</v>
      </c>
      <c r="R234" s="85">
        <f t="shared" si="107"/>
        <v>-0.29709003541481993</v>
      </c>
    </row>
    <row r="235" spans="2:18">
      <c r="B235" s="83"/>
      <c r="C235" s="84">
        <v>52</v>
      </c>
      <c r="D235" s="84">
        <v>32</v>
      </c>
      <c r="E235" s="84">
        <v>1.809965</v>
      </c>
      <c r="F235" s="78"/>
      <c r="G235" s="85">
        <f t="shared" si="96"/>
        <v>0.42895881941031211</v>
      </c>
      <c r="H235" s="86">
        <f t="shared" si="97"/>
        <v>-0.1031746031746032</v>
      </c>
      <c r="I235" s="85">
        <f t="shared" si="98"/>
        <v>-0.5</v>
      </c>
      <c r="J235" s="85">
        <f t="shared" si="99"/>
        <v>-4.6810202843845516E-3</v>
      </c>
      <c r="K235" s="86">
        <f t="shared" si="100"/>
        <v>-0.43455851782760735</v>
      </c>
      <c r="L235" s="87">
        <f t="shared" si="101"/>
        <v>0.12992735997735441</v>
      </c>
      <c r="M235" s="86">
        <f t="shared" si="102"/>
        <v>-0.29883623873011977</v>
      </c>
      <c r="N235" s="87">
        <f t="shared" si="103"/>
        <v>0.31637430854598686</v>
      </c>
      <c r="O235" s="86">
        <f t="shared" si="104"/>
        <v>-0.43455851782760735</v>
      </c>
      <c r="P235" s="87">
        <f t="shared" si="105"/>
        <v>0.12992735997735441</v>
      </c>
      <c r="Q235" s="86">
        <f t="shared" si="106"/>
        <v>-0.4345585178276074</v>
      </c>
      <c r="R235" s="85">
        <f t="shared" si="107"/>
        <v>-0.29903145943295767</v>
      </c>
    </row>
    <row r="236" spans="2:18">
      <c r="B236" s="83"/>
      <c r="C236" s="84">
        <v>52</v>
      </c>
      <c r="D236" s="84">
        <v>64</v>
      </c>
      <c r="E236" s="84">
        <v>2.51854625</v>
      </c>
      <c r="F236" s="78"/>
      <c r="G236" s="85">
        <f t="shared" si="96"/>
        <v>0.69905168195542988</v>
      </c>
      <c r="H236" s="86">
        <f t="shared" si="97"/>
        <v>-0.1031746031746032</v>
      </c>
      <c r="I236" s="85">
        <f t="shared" si="98"/>
        <v>-0.467741935483871</v>
      </c>
      <c r="J236" s="85">
        <f t="shared" si="99"/>
        <v>0.30719535350885607</v>
      </c>
      <c r="K236" s="86">
        <f t="shared" si="100"/>
        <v>-0.40424585264096513</v>
      </c>
      <c r="L236" s="87">
        <f t="shared" si="101"/>
        <v>0.39450376859786462</v>
      </c>
      <c r="M236" s="86">
        <f t="shared" si="102"/>
        <v>-0.2685235735434775</v>
      </c>
      <c r="N236" s="87">
        <f t="shared" si="103"/>
        <v>0.58095071716649704</v>
      </c>
      <c r="O236" s="86">
        <f t="shared" si="104"/>
        <v>-0.43455851782760729</v>
      </c>
      <c r="P236" s="87">
        <f t="shared" si="105"/>
        <v>0.40002022252247216</v>
      </c>
      <c r="Q236" s="86">
        <f t="shared" si="106"/>
        <v>-0.40424585264096524</v>
      </c>
      <c r="R236" s="85">
        <f t="shared" si="107"/>
        <v>-0.30454791335756526</v>
      </c>
    </row>
    <row r="237" spans="2:18">
      <c r="B237" s="83"/>
      <c r="C237" s="84">
        <v>54</v>
      </c>
      <c r="D237" s="84">
        <v>32</v>
      </c>
      <c r="E237" s="84">
        <v>1.829245</v>
      </c>
      <c r="F237" s="78"/>
      <c r="G237" s="85">
        <f t="shared" si="96"/>
        <v>0.43630785720925153</v>
      </c>
      <c r="H237" s="86">
        <f t="shared" si="97"/>
        <v>-8.7301587301587324E-2</v>
      </c>
      <c r="I237" s="85">
        <f t="shared" si="98"/>
        <v>-0.5</v>
      </c>
      <c r="J237" s="85">
        <f t="shared" si="99"/>
        <v>3.8049176186203404E-3</v>
      </c>
      <c r="K237" s="86">
        <f t="shared" si="100"/>
        <v>-0.4399874089915069</v>
      </c>
      <c r="L237" s="87">
        <f t="shared" si="101"/>
        <v>0.12981851983354858</v>
      </c>
      <c r="M237" s="86">
        <f t="shared" si="102"/>
        <v>-0.29883623873011977</v>
      </c>
      <c r="N237" s="87">
        <f t="shared" si="103"/>
        <v>0.32372334634492639</v>
      </c>
      <c r="O237" s="86">
        <f t="shared" si="104"/>
        <v>-0.4399874089915069</v>
      </c>
      <c r="P237" s="87">
        <f t="shared" si="105"/>
        <v>0.12981851983354858</v>
      </c>
      <c r="Q237" s="86">
        <f t="shared" si="106"/>
        <v>-0.43998740899150696</v>
      </c>
      <c r="R237" s="85">
        <f t="shared" si="107"/>
        <v>-0.30648933737570294</v>
      </c>
    </row>
    <row r="238" spans="2:18">
      <c r="B238" s="83"/>
      <c r="C238" s="84">
        <v>54</v>
      </c>
      <c r="D238" s="84">
        <v>64</v>
      </c>
      <c r="E238" s="84">
        <v>2.5897830000000002</v>
      </c>
      <c r="F238" s="78"/>
      <c r="G238" s="85">
        <f t="shared" si="96"/>
        <v>0.72620529027615666</v>
      </c>
      <c r="H238" s="86">
        <f t="shared" si="97"/>
        <v>-8.7301587301587324E-2</v>
      </c>
      <c r="I238" s="85">
        <f t="shared" si="98"/>
        <v>-0.467741935483871</v>
      </c>
      <c r="J238" s="85">
        <f t="shared" si="99"/>
        <v>0.33854963965573859</v>
      </c>
      <c r="K238" s="86">
        <f t="shared" si="100"/>
        <v>-0.40967474380486463</v>
      </c>
      <c r="L238" s="87">
        <f t="shared" si="101"/>
        <v>0.41419949897584607</v>
      </c>
      <c r="M238" s="86">
        <f t="shared" si="102"/>
        <v>-0.2685235735434775</v>
      </c>
      <c r="N238" s="87">
        <f t="shared" si="103"/>
        <v>0.60810432548722382</v>
      </c>
      <c r="O238" s="86">
        <f t="shared" si="104"/>
        <v>-0.43998740899150685</v>
      </c>
      <c r="P238" s="87">
        <f t="shared" si="105"/>
        <v>0.4197159529004536</v>
      </c>
      <c r="Q238" s="86">
        <f t="shared" si="106"/>
        <v>-0.40967474380486474</v>
      </c>
      <c r="R238" s="85">
        <f t="shared" si="107"/>
        <v>-0.31200579130031053</v>
      </c>
    </row>
    <row r="239" spans="2:18">
      <c r="B239" s="83"/>
      <c r="C239" s="84">
        <v>56</v>
      </c>
      <c r="D239" s="84">
        <v>32</v>
      </c>
      <c r="E239" s="84">
        <v>1.8570605</v>
      </c>
      <c r="F239" s="78"/>
      <c r="G239" s="85">
        <f t="shared" si="96"/>
        <v>0.44691040704827673</v>
      </c>
      <c r="H239" s="86">
        <f t="shared" si="97"/>
        <v>-7.1428571428571452E-2</v>
      </c>
      <c r="I239" s="85">
        <f t="shared" si="98"/>
        <v>-0.5</v>
      </c>
      <c r="J239" s="85">
        <f t="shared" si="99"/>
        <v>1.6047687625935558E-2</v>
      </c>
      <c r="K239" s="86">
        <f t="shared" si="100"/>
        <v>-0.4454163001554064</v>
      </c>
      <c r="L239" s="87">
        <f t="shared" si="101"/>
        <v>0.13296319172982846</v>
      </c>
      <c r="M239" s="86">
        <f t="shared" si="102"/>
        <v>-0.29883623873011977</v>
      </c>
      <c r="N239" s="87">
        <f t="shared" si="103"/>
        <v>0.33432589618395153</v>
      </c>
      <c r="O239" s="86">
        <f t="shared" si="104"/>
        <v>-0.4454163001554064</v>
      </c>
      <c r="P239" s="87">
        <f t="shared" si="105"/>
        <v>0.13296319172982846</v>
      </c>
      <c r="Q239" s="86">
        <f t="shared" si="106"/>
        <v>-0.44541630015540645</v>
      </c>
      <c r="R239" s="85">
        <f t="shared" si="107"/>
        <v>-0.31394721531844827</v>
      </c>
    </row>
    <row r="240" spans="2:18">
      <c r="B240" s="83"/>
      <c r="C240" s="84">
        <v>56</v>
      </c>
      <c r="D240" s="84">
        <v>64</v>
      </c>
      <c r="E240" s="84">
        <v>2.5006202499999999</v>
      </c>
      <c r="F240" s="78"/>
      <c r="G240" s="85">
        <f t="shared" si="96"/>
        <v>0.69221875396871857</v>
      </c>
      <c r="H240" s="86">
        <f t="shared" si="97"/>
        <v>-7.1428571428571452E-2</v>
      </c>
      <c r="I240" s="85">
        <f t="shared" si="98"/>
        <v>-0.467741935483871</v>
      </c>
      <c r="J240" s="85">
        <f t="shared" si="99"/>
        <v>0.29930536788389395</v>
      </c>
      <c r="K240" s="86">
        <f t="shared" si="100"/>
        <v>-0.41510363496876418</v>
      </c>
      <c r="L240" s="87">
        <f t="shared" si="101"/>
        <v>0.37275508472566277</v>
      </c>
      <c r="M240" s="86">
        <f t="shared" si="102"/>
        <v>-0.2685235735434775</v>
      </c>
      <c r="N240" s="87">
        <f t="shared" si="103"/>
        <v>0.57411778917978573</v>
      </c>
      <c r="O240" s="86">
        <f t="shared" si="104"/>
        <v>-0.44541630015540634</v>
      </c>
      <c r="P240" s="87">
        <f t="shared" si="105"/>
        <v>0.3782715386502703</v>
      </c>
      <c r="Q240" s="86">
        <f t="shared" si="106"/>
        <v>-0.41510363496876429</v>
      </c>
      <c r="R240" s="85">
        <f t="shared" si="107"/>
        <v>-0.3194636692430558</v>
      </c>
    </row>
    <row r="241" spans="2:18">
      <c r="B241" s="83"/>
      <c r="C241" s="84">
        <v>58</v>
      </c>
      <c r="D241" s="84">
        <v>32</v>
      </c>
      <c r="E241" s="84">
        <v>1.87779925</v>
      </c>
      <c r="F241" s="78"/>
      <c r="G241" s="85">
        <f t="shared" si="96"/>
        <v>0.45481548265267302</v>
      </c>
      <c r="H241" s="86">
        <f t="shared" si="97"/>
        <v>-5.555555555555558E-2</v>
      </c>
      <c r="I241" s="85">
        <f t="shared" si="98"/>
        <v>-0.5</v>
      </c>
      <c r="J241" s="85">
        <f t="shared" si="99"/>
        <v>2.5175682682260558E-2</v>
      </c>
      <c r="K241" s="86">
        <f t="shared" si="100"/>
        <v>-0.45084519131930589</v>
      </c>
      <c r="L241" s="87">
        <f t="shared" si="101"/>
        <v>0.13341038939147939</v>
      </c>
      <c r="M241" s="86">
        <f t="shared" si="102"/>
        <v>-0.29883623873011977</v>
      </c>
      <c r="N241" s="87">
        <f t="shared" si="103"/>
        <v>0.34223097178834777</v>
      </c>
      <c r="O241" s="86">
        <f t="shared" si="104"/>
        <v>-0.45084519131930589</v>
      </c>
      <c r="P241" s="87">
        <f t="shared" si="105"/>
        <v>0.13341038939147939</v>
      </c>
      <c r="Q241" s="86">
        <f t="shared" si="106"/>
        <v>-0.45084519131930595</v>
      </c>
      <c r="R241" s="85">
        <f t="shared" si="107"/>
        <v>-0.3214050932611936</v>
      </c>
    </row>
    <row r="242" spans="2:18">
      <c r="B242" s="83"/>
      <c r="C242" s="84">
        <v>58</v>
      </c>
      <c r="D242" s="84">
        <v>64</v>
      </c>
      <c r="E242" s="84">
        <v>2.3063009999999999</v>
      </c>
      <c r="F242" s="78"/>
      <c r="G242" s="85">
        <f t="shared" si="96"/>
        <v>0.61814927713720436</v>
      </c>
      <c r="H242" s="86">
        <f t="shared" si="97"/>
        <v>-5.555555555555558E-2</v>
      </c>
      <c r="I242" s="85">
        <f t="shared" si="98"/>
        <v>-0.467741935483871</v>
      </c>
      <c r="J242" s="85">
        <f t="shared" si="99"/>
        <v>0.21377730310907506</v>
      </c>
      <c r="K242" s="86">
        <f t="shared" si="100"/>
        <v>-0.42053252613266373</v>
      </c>
      <c r="L242" s="87">
        <f t="shared" si="101"/>
        <v>0.29122772995140328</v>
      </c>
      <c r="M242" s="86">
        <f t="shared" si="102"/>
        <v>-0.26852357354347756</v>
      </c>
      <c r="N242" s="87">
        <f t="shared" si="103"/>
        <v>0.50004831234827163</v>
      </c>
      <c r="O242" s="86">
        <f t="shared" si="104"/>
        <v>-0.45084519131930589</v>
      </c>
      <c r="P242" s="87">
        <f t="shared" si="105"/>
        <v>0.29674418387601087</v>
      </c>
      <c r="Q242" s="86">
        <f t="shared" si="106"/>
        <v>-0.42053252613266379</v>
      </c>
      <c r="R242" s="85">
        <f t="shared" si="107"/>
        <v>-0.32692154718580113</v>
      </c>
    </row>
    <row r="243" spans="2:18">
      <c r="B243" s="83"/>
      <c r="C243" s="84">
        <v>60</v>
      </c>
      <c r="D243" s="84">
        <v>32</v>
      </c>
      <c r="E243" s="84">
        <v>1.9039997500000001</v>
      </c>
      <c r="F243" s="78"/>
      <c r="G243" s="85">
        <f t="shared" si="96"/>
        <v>0.46480243622378903</v>
      </c>
      <c r="H243" s="86">
        <f t="shared" si="97"/>
        <v>-3.9682539682539708E-2</v>
      </c>
      <c r="I243" s="85">
        <f t="shared" si="98"/>
        <v>-0.5</v>
      </c>
      <c r="J243" s="85">
        <f t="shared" si="99"/>
        <v>3.6707623347596918E-2</v>
      </c>
      <c r="K243" s="86">
        <f t="shared" si="100"/>
        <v>-0.45627408248320539</v>
      </c>
      <c r="L243" s="87">
        <f t="shared" si="101"/>
        <v>0.13593946501985019</v>
      </c>
      <c r="M243" s="86">
        <f t="shared" si="102"/>
        <v>-0.29883623873011977</v>
      </c>
      <c r="N243" s="87">
        <f t="shared" si="103"/>
        <v>0.35221792535946389</v>
      </c>
      <c r="O243" s="86">
        <f t="shared" si="104"/>
        <v>-0.45627408248320539</v>
      </c>
      <c r="P243" s="87">
        <f t="shared" si="105"/>
        <v>0.13593946501985019</v>
      </c>
      <c r="Q243" s="86">
        <f t="shared" si="106"/>
        <v>-0.45627408248320545</v>
      </c>
      <c r="R243" s="85">
        <f t="shared" si="107"/>
        <v>-0.32886297120393887</v>
      </c>
    </row>
    <row r="244" spans="2:18">
      <c r="B244" s="83"/>
      <c r="C244" s="84">
        <v>60</v>
      </c>
      <c r="D244" s="84">
        <v>64</v>
      </c>
      <c r="E244" s="84">
        <v>2.8124535000000002</v>
      </c>
      <c r="F244" s="78"/>
      <c r="G244" s="85">
        <f t="shared" si="96"/>
        <v>0.81108153100275315</v>
      </c>
      <c r="H244" s="86">
        <f t="shared" si="97"/>
        <v>-3.9682539682539708E-2</v>
      </c>
      <c r="I244" s="85">
        <f t="shared" si="98"/>
        <v>-0.467741935483871</v>
      </c>
      <c r="J244" s="85">
        <f t="shared" si="99"/>
        <v>0.4365562805183465</v>
      </c>
      <c r="K244" s="86">
        <f t="shared" si="100"/>
        <v>-0.42596141729656317</v>
      </c>
      <c r="L244" s="87">
        <f t="shared" si="101"/>
        <v>0.47670210587420669</v>
      </c>
      <c r="M244" s="86">
        <f t="shared" si="102"/>
        <v>-0.2685235735434775</v>
      </c>
      <c r="N244" s="87">
        <f t="shared" si="103"/>
        <v>0.69298056621382031</v>
      </c>
      <c r="O244" s="86">
        <f t="shared" si="104"/>
        <v>-0.45627408248320533</v>
      </c>
      <c r="P244" s="87">
        <f t="shared" si="105"/>
        <v>0.48221855979881423</v>
      </c>
      <c r="Q244" s="86">
        <f t="shared" si="106"/>
        <v>-0.42596141729656328</v>
      </c>
      <c r="R244" s="85">
        <f t="shared" si="107"/>
        <v>-0.33437942512854646</v>
      </c>
    </row>
    <row r="245" spans="2:18">
      <c r="B245" s="83"/>
      <c r="C245" s="84">
        <v>62</v>
      </c>
      <c r="D245" s="84">
        <v>32</v>
      </c>
      <c r="E245" s="84">
        <v>1.91843225</v>
      </c>
      <c r="F245" s="78"/>
      <c r="G245" s="85">
        <f t="shared" si="96"/>
        <v>0.47030373228360201</v>
      </c>
      <c r="H245" s="86">
        <f t="shared" si="97"/>
        <v>-2.3809523809523836E-2</v>
      </c>
      <c r="I245" s="85">
        <f t="shared" si="98"/>
        <v>-0.5</v>
      </c>
      <c r="J245" s="85">
        <f t="shared" si="99"/>
        <v>4.3059972869646579E-2</v>
      </c>
      <c r="K245" s="86">
        <f t="shared" si="100"/>
        <v>-0.46170297364710489</v>
      </c>
      <c r="L245" s="87">
        <f t="shared" si="101"/>
        <v>0.13398288313691784</v>
      </c>
      <c r="M245" s="86">
        <f t="shared" si="102"/>
        <v>-0.29883623873011977</v>
      </c>
      <c r="N245" s="87">
        <f t="shared" si="103"/>
        <v>0.35771922141927681</v>
      </c>
      <c r="O245" s="86">
        <f t="shared" si="104"/>
        <v>-0.46170297364710489</v>
      </c>
      <c r="P245" s="87">
        <f t="shared" si="105"/>
        <v>0.13398288313691784</v>
      </c>
      <c r="Q245" s="86">
        <f t="shared" si="106"/>
        <v>-0.46170297364710494</v>
      </c>
      <c r="R245" s="85">
        <f t="shared" si="107"/>
        <v>-0.33632084914668414</v>
      </c>
    </row>
    <row r="246" spans="2:18">
      <c r="B246" s="83"/>
      <c r="C246" s="84">
        <v>62</v>
      </c>
      <c r="D246" s="84">
        <v>64</v>
      </c>
      <c r="E246" s="84">
        <v>2.883327</v>
      </c>
      <c r="F246" s="78"/>
      <c r="G246" s="85">
        <f t="shared" si="96"/>
        <v>0.8380966778099701</v>
      </c>
      <c r="H246" s="86">
        <f t="shared" si="97"/>
        <v>-2.3809523809523836E-2</v>
      </c>
      <c r="I246" s="85">
        <f t="shared" si="98"/>
        <v>-0.467741935483871</v>
      </c>
      <c r="J246" s="85">
        <f t="shared" si="99"/>
        <v>0.46775068508103446</v>
      </c>
      <c r="K246" s="86">
        <f t="shared" si="100"/>
        <v>-0.43139030846046267</v>
      </c>
      <c r="L246" s="87">
        <f t="shared" si="101"/>
        <v>0.49625937473867832</v>
      </c>
      <c r="M246" s="86">
        <f t="shared" si="102"/>
        <v>-0.2685235735434775</v>
      </c>
      <c r="N246" s="87">
        <f t="shared" si="103"/>
        <v>0.71999571302103726</v>
      </c>
      <c r="O246" s="86">
        <f t="shared" si="104"/>
        <v>-0.46170297364710483</v>
      </c>
      <c r="P246" s="87">
        <f t="shared" si="105"/>
        <v>0.50177582866328585</v>
      </c>
      <c r="Q246" s="86">
        <f t="shared" si="106"/>
        <v>-0.43139030846046278</v>
      </c>
      <c r="R246" s="85">
        <f t="shared" si="107"/>
        <v>-0.34183730307129173</v>
      </c>
    </row>
    <row r="247" spans="2:18">
      <c r="B247" s="83"/>
      <c r="C247" s="84">
        <v>64</v>
      </c>
      <c r="D247" s="84">
        <v>32</v>
      </c>
      <c r="E247" s="84">
        <v>1.9405332500000001</v>
      </c>
      <c r="F247" s="78"/>
      <c r="G247" s="85">
        <f t="shared" si="96"/>
        <v>0.47872806238704424</v>
      </c>
      <c r="H247" s="86">
        <f t="shared" si="97"/>
        <v>-7.9365079365079638E-3</v>
      </c>
      <c r="I247" s="85">
        <f t="shared" si="98"/>
        <v>-0.5</v>
      </c>
      <c r="J247" s="85">
        <f t="shared" si="99"/>
        <v>5.2787551375575892E-2</v>
      </c>
      <c r="K247" s="86">
        <f t="shared" si="100"/>
        <v>-0.46713186481100438</v>
      </c>
      <c r="L247" s="87">
        <f t="shared" si="101"/>
        <v>0.1349493352976148</v>
      </c>
      <c r="M247" s="86">
        <f t="shared" si="102"/>
        <v>-0.29883623873011977</v>
      </c>
      <c r="N247" s="87">
        <f t="shared" si="103"/>
        <v>0.36614355152271905</v>
      </c>
      <c r="O247" s="86">
        <f t="shared" si="104"/>
        <v>-0.46713186481100438</v>
      </c>
      <c r="P247" s="87">
        <f t="shared" si="105"/>
        <v>0.1349493352976148</v>
      </c>
      <c r="Q247" s="86">
        <f t="shared" si="106"/>
        <v>-0.46713186481100444</v>
      </c>
      <c r="R247" s="85">
        <f t="shared" si="107"/>
        <v>-0.34377872708942947</v>
      </c>
    </row>
    <row r="248" spans="2:18">
      <c r="B248" s="83"/>
      <c r="C248" s="84">
        <v>64</v>
      </c>
      <c r="D248" s="84">
        <v>64</v>
      </c>
      <c r="E248" s="84">
        <v>2.9563032499999999</v>
      </c>
      <c r="F248" s="78"/>
      <c r="G248" s="85">
        <f t="shared" si="96"/>
        <v>0.86591333858148789</v>
      </c>
      <c r="H248" s="86">
        <f t="shared" si="97"/>
        <v>-7.9365079365079638E-3</v>
      </c>
      <c r="I248" s="85">
        <f t="shared" si="98"/>
        <v>-0.467741935483871</v>
      </c>
      <c r="J248" s="85">
        <f t="shared" si="99"/>
        <v>0.49987059824981916</v>
      </c>
      <c r="K248" s="86">
        <f t="shared" si="100"/>
        <v>-0.43681919962436216</v>
      </c>
      <c r="L248" s="87">
        <f t="shared" si="101"/>
        <v>0.51661815756745089</v>
      </c>
      <c r="M248" s="86">
        <f t="shared" si="102"/>
        <v>-0.2685235735434775</v>
      </c>
      <c r="N248" s="87">
        <f t="shared" si="103"/>
        <v>0.74781237379255516</v>
      </c>
      <c r="O248" s="86">
        <f t="shared" si="104"/>
        <v>-0.46713186481100433</v>
      </c>
      <c r="P248" s="87">
        <f t="shared" si="105"/>
        <v>0.52213461149205842</v>
      </c>
      <c r="Q248" s="86">
        <f t="shared" si="106"/>
        <v>-0.43681919962436228</v>
      </c>
      <c r="R248" s="85">
        <f t="shared" si="107"/>
        <v>-0.349295181014037</v>
      </c>
    </row>
    <row r="249" spans="2:18">
      <c r="B249" s="83"/>
      <c r="C249" s="84">
        <v>66</v>
      </c>
      <c r="D249" s="84">
        <v>32</v>
      </c>
      <c r="E249" s="84">
        <v>1.9622729999999999</v>
      </c>
      <c r="F249" s="78"/>
      <c r="G249" s="85">
        <f t="shared" si="96"/>
        <v>0.48701469332529601</v>
      </c>
      <c r="H249" s="86">
        <f t="shared" si="97"/>
        <v>7.9365079365079083E-3</v>
      </c>
      <c r="I249" s="85">
        <f t="shared" si="98"/>
        <v>-0.5</v>
      </c>
      <c r="J249" s="85">
        <f t="shared" si="99"/>
        <v>6.2356128581325332E-2</v>
      </c>
      <c r="K249" s="86">
        <f t="shared" si="100"/>
        <v>-0.47256075597490388</v>
      </c>
      <c r="L249" s="87">
        <f t="shared" si="101"/>
        <v>0.13577808829312124</v>
      </c>
      <c r="M249" s="86">
        <f t="shared" si="102"/>
        <v>-0.29883623873011977</v>
      </c>
      <c r="N249" s="87">
        <f t="shared" si="103"/>
        <v>0.37443018246097082</v>
      </c>
      <c r="O249" s="86">
        <f t="shared" si="104"/>
        <v>-0.47256075597490388</v>
      </c>
      <c r="P249" s="87">
        <f t="shared" si="105"/>
        <v>0.13577808829312124</v>
      </c>
      <c r="Q249" s="86">
        <f t="shared" si="106"/>
        <v>-0.47256075597490393</v>
      </c>
      <c r="R249" s="85">
        <f t="shared" si="107"/>
        <v>-0.3512366050321748</v>
      </c>
    </row>
    <row r="250" spans="2:18">
      <c r="B250" s="83"/>
      <c r="C250" s="84">
        <v>68</v>
      </c>
      <c r="D250" s="84">
        <v>32</v>
      </c>
      <c r="E250" s="84">
        <v>1.9946630000000001</v>
      </c>
      <c r="F250" s="78"/>
      <c r="G250" s="85">
        <f t="shared" si="96"/>
        <v>0.49936092435785079</v>
      </c>
      <c r="H250" s="86">
        <f t="shared" si="97"/>
        <v>2.3809523809523836E-2</v>
      </c>
      <c r="I250" s="85">
        <f t="shared" si="98"/>
        <v>-0.5</v>
      </c>
      <c r="J250" s="85">
        <f t="shared" si="99"/>
        <v>7.6612328201570934E-2</v>
      </c>
      <c r="K250" s="86">
        <f t="shared" si="100"/>
        <v>-0.47798964713880343</v>
      </c>
      <c r="L250" s="87">
        <f t="shared" si="101"/>
        <v>0.14066644138293066</v>
      </c>
      <c r="M250" s="86">
        <f t="shared" si="102"/>
        <v>-0.29883623873011977</v>
      </c>
      <c r="N250" s="87">
        <f t="shared" si="103"/>
        <v>0.38677641349352554</v>
      </c>
      <c r="O250" s="86">
        <f t="shared" si="104"/>
        <v>-0.47798964713880343</v>
      </c>
      <c r="P250" s="87">
        <f t="shared" si="105"/>
        <v>0.14066644138293066</v>
      </c>
      <c r="Q250" s="86">
        <f t="shared" si="106"/>
        <v>-0.47798964713880349</v>
      </c>
      <c r="R250" s="85">
        <f t="shared" si="107"/>
        <v>-0.35869448297492013</v>
      </c>
    </row>
    <row r="251" spans="2:18">
      <c r="B251" s="83"/>
      <c r="C251" s="84">
        <v>70</v>
      </c>
      <c r="D251" s="84">
        <v>32</v>
      </c>
      <c r="E251" s="84">
        <v>2.0230355000000002</v>
      </c>
      <c r="F251" s="78"/>
      <c r="G251" s="85">
        <f t="shared" si="96"/>
        <v>0.5101757882038267</v>
      </c>
      <c r="H251" s="86">
        <f t="shared" si="97"/>
        <v>3.9682539682539653E-2</v>
      </c>
      <c r="I251" s="85">
        <f t="shared" si="98"/>
        <v>-0.5</v>
      </c>
      <c r="J251" s="85">
        <f t="shared" si="99"/>
        <v>8.910025730701765E-2</v>
      </c>
      <c r="K251" s="86">
        <f t="shared" si="100"/>
        <v>-0.48341853830270293</v>
      </c>
      <c r="L251" s="87">
        <f t="shared" si="101"/>
        <v>0.14402342728616133</v>
      </c>
      <c r="M251" s="86">
        <f t="shared" si="102"/>
        <v>-0.29883623873011977</v>
      </c>
      <c r="N251" s="87">
        <f t="shared" si="103"/>
        <v>0.3975912773395015</v>
      </c>
      <c r="O251" s="86">
        <f t="shared" si="104"/>
        <v>-0.48341853830270293</v>
      </c>
      <c r="P251" s="87">
        <f t="shared" si="105"/>
        <v>0.14402342728616133</v>
      </c>
      <c r="Q251" s="86">
        <f t="shared" si="106"/>
        <v>-0.48341853830270298</v>
      </c>
      <c r="R251" s="85">
        <f t="shared" si="107"/>
        <v>-0.36615236091766534</v>
      </c>
    </row>
    <row r="252" spans="2:18">
      <c r="B252" s="83"/>
      <c r="C252" s="84">
        <v>72</v>
      </c>
      <c r="D252" s="84">
        <v>32</v>
      </c>
      <c r="E252" s="84">
        <v>2.0502604999999998</v>
      </c>
      <c r="F252" s="78"/>
      <c r="G252" s="85">
        <f t="shared" si="96"/>
        <v>0.520553254701551</v>
      </c>
      <c r="H252" s="86">
        <f t="shared" si="97"/>
        <v>5.555555555555558E-2</v>
      </c>
      <c r="I252" s="85">
        <f t="shared" si="98"/>
        <v>-0.5</v>
      </c>
      <c r="J252" s="85">
        <f t="shared" si="99"/>
        <v>0.10108312345895265</v>
      </c>
      <c r="K252" s="86">
        <f t="shared" si="100"/>
        <v>-0.48884742946660242</v>
      </c>
      <c r="L252" s="87">
        <f t="shared" si="101"/>
        <v>0.14694301584114039</v>
      </c>
      <c r="M252" s="86">
        <f t="shared" si="102"/>
        <v>-0.29883623873011977</v>
      </c>
      <c r="N252" s="87">
        <f t="shared" si="103"/>
        <v>0.40796874383722592</v>
      </c>
      <c r="O252" s="86">
        <f t="shared" si="104"/>
        <v>-0.48884742946660242</v>
      </c>
      <c r="P252" s="87">
        <f t="shared" si="105"/>
        <v>0.14694301584114039</v>
      </c>
      <c r="Q252" s="86">
        <f t="shared" si="106"/>
        <v>-0.48884742946660248</v>
      </c>
      <c r="R252" s="85">
        <f t="shared" si="107"/>
        <v>-0.37361023886041067</v>
      </c>
    </row>
    <row r="253" spans="2:18">
      <c r="B253" s="83"/>
      <c r="C253" s="84">
        <v>74</v>
      </c>
      <c r="D253" s="84">
        <v>32</v>
      </c>
      <c r="E253" s="84">
        <v>2.0761145000000001</v>
      </c>
      <c r="F253" s="78"/>
      <c r="G253" s="85">
        <f t="shared" si="96"/>
        <v>0.5304081314263327</v>
      </c>
      <c r="H253" s="86">
        <f t="shared" si="97"/>
        <v>7.1428571428571397E-2</v>
      </c>
      <c r="I253" s="85">
        <f t="shared" si="98"/>
        <v>-0.5</v>
      </c>
      <c r="J253" s="85">
        <f t="shared" si="99"/>
        <v>0.11246255491871904</v>
      </c>
      <c r="K253" s="86">
        <f t="shared" si="100"/>
        <v>-0.49427632063050192</v>
      </c>
      <c r="L253" s="87">
        <f t="shared" si="101"/>
        <v>0.14934001462317664</v>
      </c>
      <c r="M253" s="86">
        <f t="shared" si="102"/>
        <v>-0.29883623873011977</v>
      </c>
      <c r="N253" s="87">
        <f t="shared" si="103"/>
        <v>0.41782362056200745</v>
      </c>
      <c r="O253" s="86">
        <f t="shared" si="104"/>
        <v>-0.49427632063050192</v>
      </c>
      <c r="P253" s="87">
        <f t="shared" si="105"/>
        <v>0.14934001462317664</v>
      </c>
      <c r="Q253" s="86">
        <f t="shared" si="106"/>
        <v>-0.49427632063050198</v>
      </c>
      <c r="R253" s="85">
        <f t="shared" si="107"/>
        <v>-0.381068116803156</v>
      </c>
    </row>
    <row r="254" spans="2:18">
      <c r="B254" s="83"/>
      <c r="C254" s="84">
        <v>76</v>
      </c>
      <c r="D254" s="84">
        <v>32</v>
      </c>
      <c r="E254" s="84">
        <v>2.0991862499999998</v>
      </c>
      <c r="F254" s="78"/>
      <c r="G254" s="85">
        <f t="shared" ref="G254:G280" si="108">D$19*(L254-R254)</f>
        <v>0.53920248634529944</v>
      </c>
      <c r="H254" s="86">
        <f t="shared" ref="H254:H280" si="109">(C254-H$16)/H$17-0.5</f>
        <v>8.7301587301587324E-2</v>
      </c>
      <c r="I254" s="85">
        <f t="shared" ref="I254:I280" si="110">(D254-I$16)/I$17-0.5</f>
        <v>-0.5</v>
      </c>
      <c r="J254" s="85">
        <f t="shared" ref="J254:J280" si="111">(E254-J$16)/J$17-0.5</f>
        <v>0.1226174012783483</v>
      </c>
      <c r="K254" s="86">
        <f t="shared" ref="K254:K285" si="112">(H254*$H$13+I254*$I$13+J254*$J$13+$D$27)*$C$27</f>
        <v>-0.49970521179440142</v>
      </c>
      <c r="L254" s="87">
        <f t="shared" ref="L254:L280" si="113">(H254*$H$14+I254*$I$14+J254*$J$14+$E$27)*$C$27</f>
        <v>0.15067649159939819</v>
      </c>
      <c r="M254" s="86">
        <f t="shared" ref="M254:M280" si="114">(H$27*$H$13+I254*$I$13+J254*$J$13+$D$27)*$C$27</f>
        <v>-0.29883623873011977</v>
      </c>
      <c r="N254" s="87">
        <f t="shared" ref="N254:N280" si="115">(H$27*$H$14+I254*$I$14+J254*$J$14+$E$27)*$C$27</f>
        <v>0.4266179754809743</v>
      </c>
      <c r="O254" s="86">
        <f t="shared" ref="O254:O280" si="116">(H254*$H$13+I$27*$I$13+J254*$J$13+$D$27)*$C$27</f>
        <v>-0.49970521179440142</v>
      </c>
      <c r="P254" s="87">
        <f t="shared" ref="P254:P280" si="117">(H254*$H$14+I$27*$I$14+J254*$J$14+$E$27)*$C$27</f>
        <v>0.15067649159939819</v>
      </c>
      <c r="Q254" s="86">
        <f t="shared" ref="Q254:Q280" si="118">(H254*$H$13+I254*$I$13+J$27*$J$13+$D$27)*$C$27</f>
        <v>-0.49970521179440147</v>
      </c>
      <c r="R254" s="85">
        <f t="shared" ref="R254:R280" si="119">(H254*$H$14+I254*$I$14+J$27*$J$14+$E$27)*$C$27</f>
        <v>-0.38852599474590127</v>
      </c>
    </row>
    <row r="255" spans="2:18">
      <c r="B255" s="83"/>
      <c r="C255" s="84">
        <v>78</v>
      </c>
      <c r="D255" s="84">
        <v>32</v>
      </c>
      <c r="E255" s="84">
        <v>2.1247544999999999</v>
      </c>
      <c r="F255" s="78"/>
      <c r="G255" s="85">
        <f t="shared" si="108"/>
        <v>0.5489484425539477</v>
      </c>
      <c r="H255" s="86">
        <f t="shared" si="109"/>
        <v>0.10317460317460314</v>
      </c>
      <c r="I255" s="85">
        <f t="shared" si="110"/>
        <v>-0.5</v>
      </c>
      <c r="J255" s="85">
        <f t="shared" si="111"/>
        <v>0.13387106215949507</v>
      </c>
      <c r="K255" s="86">
        <f t="shared" si="112"/>
        <v>-0.50513410295830097</v>
      </c>
      <c r="L255" s="87">
        <f t="shared" si="113"/>
        <v>0.15296456986530119</v>
      </c>
      <c r="M255" s="86">
        <f t="shared" si="114"/>
        <v>-0.29883623873011977</v>
      </c>
      <c r="N255" s="87">
        <f t="shared" si="115"/>
        <v>0.43636393168962256</v>
      </c>
      <c r="O255" s="86">
        <f t="shared" si="116"/>
        <v>-0.50513410295830097</v>
      </c>
      <c r="P255" s="87">
        <f t="shared" si="117"/>
        <v>0.15296456986530119</v>
      </c>
      <c r="Q255" s="86">
        <f t="shared" si="118"/>
        <v>-0.50513410295830108</v>
      </c>
      <c r="R255" s="85">
        <f t="shared" si="119"/>
        <v>-0.39598387268864654</v>
      </c>
    </row>
    <row r="256" spans="2:18">
      <c r="B256" s="83"/>
      <c r="C256" s="84">
        <v>80</v>
      </c>
      <c r="D256" s="84">
        <v>32</v>
      </c>
      <c r="E256" s="84">
        <v>2.1512380000000002</v>
      </c>
      <c r="F256" s="78"/>
      <c r="G256" s="85">
        <f t="shared" si="108"/>
        <v>0.55904326841225793</v>
      </c>
      <c r="H256" s="86">
        <f t="shared" si="109"/>
        <v>0.11904761904761907</v>
      </c>
      <c r="I256" s="85">
        <f t="shared" si="110"/>
        <v>-0.5</v>
      </c>
      <c r="J256" s="85">
        <f t="shared" si="111"/>
        <v>0.14552756301293057</v>
      </c>
      <c r="K256" s="86">
        <f t="shared" si="112"/>
        <v>-0.51056299412220041</v>
      </c>
      <c r="L256" s="87">
        <f t="shared" si="113"/>
        <v>0.15560151778086601</v>
      </c>
      <c r="M256" s="86">
        <f t="shared" si="114"/>
        <v>-0.29883623873011977</v>
      </c>
      <c r="N256" s="87">
        <f t="shared" si="115"/>
        <v>0.44645875754793274</v>
      </c>
      <c r="O256" s="86">
        <f t="shared" si="116"/>
        <v>-0.51056299412220041</v>
      </c>
      <c r="P256" s="87">
        <f t="shared" si="117"/>
        <v>0.15560151778086601</v>
      </c>
      <c r="Q256" s="86">
        <f t="shared" si="118"/>
        <v>-0.51056299412220052</v>
      </c>
      <c r="R256" s="85">
        <f t="shared" si="119"/>
        <v>-0.40344175063139187</v>
      </c>
    </row>
    <row r="257" spans="2:18">
      <c r="B257" s="83"/>
      <c r="C257" s="84">
        <v>82</v>
      </c>
      <c r="D257" s="84">
        <v>32</v>
      </c>
      <c r="E257" s="84">
        <v>2.1727959999999999</v>
      </c>
      <c r="F257" s="78"/>
      <c r="G257" s="85">
        <f t="shared" si="108"/>
        <v>0.56726062094698504</v>
      </c>
      <c r="H257" s="86">
        <f t="shared" si="109"/>
        <v>0.13492063492063489</v>
      </c>
      <c r="I257" s="85">
        <f t="shared" si="110"/>
        <v>-0.5</v>
      </c>
      <c r="J257" s="85">
        <f t="shared" si="111"/>
        <v>0.15501614440883205</v>
      </c>
      <c r="K257" s="86">
        <f t="shared" si="112"/>
        <v>-0.51599188528609996</v>
      </c>
      <c r="L257" s="87">
        <f t="shared" si="113"/>
        <v>0.15636099237284781</v>
      </c>
      <c r="M257" s="86">
        <f t="shared" si="114"/>
        <v>-0.29883623873011977</v>
      </c>
      <c r="N257" s="87">
        <f t="shared" si="115"/>
        <v>0.45467611008265979</v>
      </c>
      <c r="O257" s="86">
        <f t="shared" si="116"/>
        <v>-0.51599188528609996</v>
      </c>
      <c r="P257" s="87">
        <f t="shared" si="117"/>
        <v>0.15636099237284781</v>
      </c>
      <c r="Q257" s="86">
        <f t="shared" si="118"/>
        <v>-0.51599188528610007</v>
      </c>
      <c r="R257" s="85">
        <f t="shared" si="119"/>
        <v>-0.4108996285741372</v>
      </c>
    </row>
    <row r="258" spans="2:18">
      <c r="B258" s="83"/>
      <c r="C258" s="84">
        <v>84</v>
      </c>
      <c r="D258" s="84">
        <v>32</v>
      </c>
      <c r="E258" s="84">
        <v>2.2003282500000001</v>
      </c>
      <c r="F258" s="78"/>
      <c r="G258" s="85">
        <f t="shared" si="108"/>
        <v>0.57775520320527618</v>
      </c>
      <c r="H258" s="86">
        <f t="shared" si="109"/>
        <v>0.15079365079365081</v>
      </c>
      <c r="I258" s="85">
        <f t="shared" si="110"/>
        <v>-0.5</v>
      </c>
      <c r="J258" s="85">
        <f t="shared" si="111"/>
        <v>0.1671342441925463</v>
      </c>
      <c r="K258" s="86">
        <f t="shared" si="112"/>
        <v>-0.52142077644999951</v>
      </c>
      <c r="L258" s="87">
        <f t="shared" si="113"/>
        <v>0.15939769668839376</v>
      </c>
      <c r="M258" s="86">
        <f t="shared" si="114"/>
        <v>-0.29883623873011977</v>
      </c>
      <c r="N258" s="87">
        <f t="shared" si="115"/>
        <v>0.46517069234095104</v>
      </c>
      <c r="O258" s="86">
        <f t="shared" si="116"/>
        <v>-0.52142077644999951</v>
      </c>
      <c r="P258" s="87">
        <f t="shared" si="117"/>
        <v>0.15939769668839376</v>
      </c>
      <c r="Q258" s="86">
        <f t="shared" si="118"/>
        <v>-0.52142077644999962</v>
      </c>
      <c r="R258" s="85">
        <f t="shared" si="119"/>
        <v>-0.41835750651688247</v>
      </c>
    </row>
    <row r="259" spans="2:18">
      <c r="B259" s="83"/>
      <c r="C259" s="84">
        <v>86</v>
      </c>
      <c r="D259" s="84">
        <v>32</v>
      </c>
      <c r="E259" s="84">
        <v>2.2337075</v>
      </c>
      <c r="F259" s="78"/>
      <c r="G259" s="85">
        <f t="shared" si="108"/>
        <v>0.59047851077531011</v>
      </c>
      <c r="H259" s="86">
        <f t="shared" si="109"/>
        <v>0.16666666666666663</v>
      </c>
      <c r="I259" s="85">
        <f t="shared" si="110"/>
        <v>-0.5</v>
      </c>
      <c r="J259" s="85">
        <f t="shared" si="111"/>
        <v>0.18182585429362919</v>
      </c>
      <c r="K259" s="86">
        <f t="shared" si="112"/>
        <v>-0.52684966761389895</v>
      </c>
      <c r="L259" s="87">
        <f t="shared" si="113"/>
        <v>0.16466312631568231</v>
      </c>
      <c r="M259" s="86">
        <f t="shared" si="114"/>
        <v>-0.29883623873011977</v>
      </c>
      <c r="N259" s="87">
        <f t="shared" si="115"/>
        <v>0.47789399991098491</v>
      </c>
      <c r="O259" s="86">
        <f t="shared" si="116"/>
        <v>-0.52684966761389895</v>
      </c>
      <c r="P259" s="87">
        <f t="shared" si="117"/>
        <v>0.16466312631568231</v>
      </c>
      <c r="Q259" s="86">
        <f t="shared" si="118"/>
        <v>-0.52684966761389906</v>
      </c>
      <c r="R259" s="85">
        <f t="shared" si="119"/>
        <v>-0.42581538445962774</v>
      </c>
    </row>
    <row r="260" spans="2:18">
      <c r="B260" s="83"/>
      <c r="C260" s="84">
        <v>88</v>
      </c>
      <c r="D260" s="84">
        <v>32</v>
      </c>
      <c r="E260" s="84">
        <v>2.2598047499999998</v>
      </c>
      <c r="F260" s="78"/>
      <c r="G260" s="85">
        <f t="shared" si="108"/>
        <v>0.60042610811443753</v>
      </c>
      <c r="H260" s="86">
        <f t="shared" si="109"/>
        <v>0.18253968253968256</v>
      </c>
      <c r="I260" s="85">
        <f t="shared" si="110"/>
        <v>-0.5</v>
      </c>
      <c r="J260" s="85">
        <f t="shared" si="111"/>
        <v>0.19331235029669958</v>
      </c>
      <c r="K260" s="86">
        <f t="shared" si="112"/>
        <v>-0.53227855877779851</v>
      </c>
      <c r="L260" s="87">
        <f t="shared" si="113"/>
        <v>0.1671528457120644</v>
      </c>
      <c r="M260" s="86">
        <f t="shared" si="114"/>
        <v>-0.29883623873011977</v>
      </c>
      <c r="N260" s="87">
        <f t="shared" si="115"/>
        <v>0.48784159725011228</v>
      </c>
      <c r="O260" s="86">
        <f t="shared" si="116"/>
        <v>-0.53227855877779851</v>
      </c>
      <c r="P260" s="87">
        <f t="shared" si="117"/>
        <v>0.1671528457120644</v>
      </c>
      <c r="Q260" s="86">
        <f t="shared" si="118"/>
        <v>-0.53227855877779862</v>
      </c>
      <c r="R260" s="85">
        <f t="shared" si="119"/>
        <v>-0.43327326240237307</v>
      </c>
    </row>
    <row r="261" spans="2:18">
      <c r="B261" s="83"/>
      <c r="C261" s="84">
        <v>90</v>
      </c>
      <c r="D261" s="84">
        <v>32</v>
      </c>
      <c r="E261" s="84">
        <v>2.2920855000000002</v>
      </c>
      <c r="F261" s="78"/>
      <c r="G261" s="85">
        <f t="shared" si="108"/>
        <v>0.61273069587004558</v>
      </c>
      <c r="H261" s="86">
        <f t="shared" si="109"/>
        <v>0.19841269841269837</v>
      </c>
      <c r="I261" s="85">
        <f t="shared" si="110"/>
        <v>-0.5</v>
      </c>
      <c r="J261" s="85">
        <f t="shared" si="111"/>
        <v>0.20752046440263494</v>
      </c>
      <c r="K261" s="86">
        <f t="shared" si="112"/>
        <v>-0.53770744994169795</v>
      </c>
      <c r="L261" s="87">
        <f t="shared" si="113"/>
        <v>0.17199955552492718</v>
      </c>
      <c r="M261" s="86">
        <f t="shared" si="114"/>
        <v>-0.29883623873011977</v>
      </c>
      <c r="N261" s="87">
        <f t="shared" si="115"/>
        <v>0.50014618500572028</v>
      </c>
      <c r="O261" s="86">
        <f t="shared" si="116"/>
        <v>-0.53770744994169795</v>
      </c>
      <c r="P261" s="87">
        <f t="shared" si="117"/>
        <v>0.17199955552492718</v>
      </c>
      <c r="Q261" s="86">
        <f t="shared" si="118"/>
        <v>-0.53770744994169806</v>
      </c>
      <c r="R261" s="85">
        <f t="shared" si="119"/>
        <v>-0.44073114034511834</v>
      </c>
    </row>
    <row r="262" spans="2:18">
      <c r="B262" s="83"/>
      <c r="C262" s="84">
        <v>92</v>
      </c>
      <c r="D262" s="84">
        <v>32</v>
      </c>
      <c r="E262" s="84">
        <v>2.3205262499999999</v>
      </c>
      <c r="F262" s="78"/>
      <c r="G262" s="85">
        <f t="shared" si="108"/>
        <v>0.62357157485242043</v>
      </c>
      <c r="H262" s="86">
        <f t="shared" si="109"/>
        <v>0.2142857142857143</v>
      </c>
      <c r="I262" s="85">
        <f t="shared" si="110"/>
        <v>-0.5</v>
      </c>
      <c r="J262" s="85">
        <f t="shared" si="111"/>
        <v>0.22003843320008765</v>
      </c>
      <c r="K262" s="86">
        <f t="shared" si="112"/>
        <v>-0.5431363411055975</v>
      </c>
      <c r="L262" s="87">
        <f t="shared" si="113"/>
        <v>0.17538255656455681</v>
      </c>
      <c r="M262" s="86">
        <f t="shared" si="114"/>
        <v>-0.29883623873011977</v>
      </c>
      <c r="N262" s="87">
        <f t="shared" si="115"/>
        <v>0.51098706398809535</v>
      </c>
      <c r="O262" s="86">
        <f t="shared" si="116"/>
        <v>-0.5431363411055975</v>
      </c>
      <c r="P262" s="87">
        <f t="shared" si="117"/>
        <v>0.17538255656455681</v>
      </c>
      <c r="Q262" s="86">
        <f t="shared" si="118"/>
        <v>-0.54313634110559761</v>
      </c>
      <c r="R262" s="85">
        <f t="shared" si="119"/>
        <v>-0.44818901828786367</v>
      </c>
    </row>
    <row r="263" spans="2:18">
      <c r="B263" s="83"/>
      <c r="C263" s="84">
        <v>94</v>
      </c>
      <c r="D263" s="84">
        <v>32</v>
      </c>
      <c r="E263" s="84">
        <v>2.3509755000000001</v>
      </c>
      <c r="F263" s="78"/>
      <c r="G263" s="85">
        <f t="shared" si="108"/>
        <v>0.63517804213454498</v>
      </c>
      <c r="H263" s="86">
        <f t="shared" si="109"/>
        <v>0.23015873015873012</v>
      </c>
      <c r="I263" s="85">
        <f t="shared" si="110"/>
        <v>-0.5</v>
      </c>
      <c r="J263" s="85">
        <f t="shared" si="111"/>
        <v>0.23344042721943803</v>
      </c>
      <c r="K263" s="86">
        <f t="shared" si="112"/>
        <v>-0.54856523226949694</v>
      </c>
      <c r="L263" s="87">
        <f t="shared" si="113"/>
        <v>0.1795311459039361</v>
      </c>
      <c r="M263" s="86">
        <f t="shared" si="114"/>
        <v>-0.29883623873011972</v>
      </c>
      <c r="N263" s="87">
        <f t="shared" si="115"/>
        <v>0.5225935312702199</v>
      </c>
      <c r="O263" s="86">
        <f t="shared" si="116"/>
        <v>-0.54856523226949694</v>
      </c>
      <c r="P263" s="87">
        <f t="shared" si="117"/>
        <v>0.1795311459039361</v>
      </c>
      <c r="Q263" s="86">
        <f t="shared" si="118"/>
        <v>-0.54856523226949705</v>
      </c>
      <c r="R263" s="85">
        <f t="shared" si="119"/>
        <v>-0.45564689623060894</v>
      </c>
    </row>
    <row r="264" spans="2:18">
      <c r="B264" s="83"/>
      <c r="C264" s="84">
        <v>96</v>
      </c>
      <c r="D264" s="84">
        <v>32</v>
      </c>
      <c r="E264" s="84">
        <v>2.3934350000000002</v>
      </c>
      <c r="F264" s="78"/>
      <c r="G264" s="85">
        <f t="shared" si="108"/>
        <v>0.65136250636815896</v>
      </c>
      <c r="H264" s="86">
        <f t="shared" si="109"/>
        <v>0.24603174603174605</v>
      </c>
      <c r="I264" s="85">
        <f t="shared" si="110"/>
        <v>-0.5</v>
      </c>
      <c r="J264" s="85">
        <f t="shared" si="111"/>
        <v>0.25212863678337183</v>
      </c>
      <c r="K264" s="86">
        <f t="shared" si="112"/>
        <v>-0.55399412343339649</v>
      </c>
      <c r="L264" s="87">
        <f t="shared" si="113"/>
        <v>0.18825773219480474</v>
      </c>
      <c r="M264" s="86">
        <f t="shared" si="114"/>
        <v>-0.29883623873011972</v>
      </c>
      <c r="N264" s="87">
        <f t="shared" si="115"/>
        <v>0.53877799550383387</v>
      </c>
      <c r="O264" s="86">
        <f t="shared" si="116"/>
        <v>-0.55399412343339649</v>
      </c>
      <c r="P264" s="87">
        <f t="shared" si="117"/>
        <v>0.18825773219480474</v>
      </c>
      <c r="Q264" s="86">
        <f t="shared" si="118"/>
        <v>-0.5539941234333966</v>
      </c>
      <c r="R264" s="85">
        <f t="shared" si="119"/>
        <v>-0.46310477417335427</v>
      </c>
    </row>
    <row r="265" spans="2:18">
      <c r="B265" s="83"/>
      <c r="C265" s="84">
        <v>98</v>
      </c>
      <c r="D265" s="84">
        <v>32</v>
      </c>
      <c r="E265" s="84">
        <v>2.4201169999999999</v>
      </c>
      <c r="F265" s="78"/>
      <c r="G265" s="85">
        <f t="shared" si="108"/>
        <v>0.66153299529716847</v>
      </c>
      <c r="H265" s="86">
        <f t="shared" si="109"/>
        <v>0.26190476190476186</v>
      </c>
      <c r="I265" s="85">
        <f t="shared" si="110"/>
        <v>-0.5</v>
      </c>
      <c r="J265" s="85">
        <f t="shared" si="111"/>
        <v>0.26387250582527932</v>
      </c>
      <c r="K265" s="86">
        <f t="shared" si="112"/>
        <v>-0.55942301459729593</v>
      </c>
      <c r="L265" s="87">
        <f t="shared" si="113"/>
        <v>0.19097034318106898</v>
      </c>
      <c r="M265" s="86">
        <f t="shared" si="114"/>
        <v>-0.29883623873011972</v>
      </c>
      <c r="N265" s="87">
        <f t="shared" si="115"/>
        <v>0.54894848443284339</v>
      </c>
      <c r="O265" s="86">
        <f t="shared" si="116"/>
        <v>-0.55942301459729593</v>
      </c>
      <c r="P265" s="87">
        <f t="shared" si="117"/>
        <v>0.19097034318106898</v>
      </c>
      <c r="Q265" s="86">
        <f t="shared" si="118"/>
        <v>-0.55942301459729604</v>
      </c>
      <c r="R265" s="85">
        <f t="shared" si="119"/>
        <v>-0.47056265211609954</v>
      </c>
    </row>
    <row r="266" spans="2:18">
      <c r="B266" s="83"/>
      <c r="C266" s="84">
        <v>100</v>
      </c>
      <c r="D266" s="84">
        <v>32</v>
      </c>
      <c r="E266" s="84">
        <v>2.45951925</v>
      </c>
      <c r="F266" s="78"/>
      <c r="G266" s="85">
        <f t="shared" si="108"/>
        <v>0.67655211483105182</v>
      </c>
      <c r="H266" s="86">
        <f t="shared" si="109"/>
        <v>0.27777777777777779</v>
      </c>
      <c r="I266" s="85">
        <f t="shared" si="110"/>
        <v>-0.5</v>
      </c>
      <c r="J266" s="85">
        <f t="shared" si="111"/>
        <v>0.2812150912370367</v>
      </c>
      <c r="K266" s="86">
        <f t="shared" si="112"/>
        <v>-0.56485190576119548</v>
      </c>
      <c r="L266" s="87">
        <f t="shared" si="113"/>
        <v>0.19853158477220695</v>
      </c>
      <c r="M266" s="86">
        <f t="shared" si="114"/>
        <v>-0.29883623873011972</v>
      </c>
      <c r="N266" s="87">
        <f t="shared" si="115"/>
        <v>0.56396760396672663</v>
      </c>
      <c r="O266" s="86">
        <f t="shared" si="116"/>
        <v>-0.56485190576119548</v>
      </c>
      <c r="P266" s="87">
        <f t="shared" si="117"/>
        <v>0.19853158477220695</v>
      </c>
      <c r="Q266" s="86">
        <f t="shared" si="118"/>
        <v>-0.56485190576119559</v>
      </c>
      <c r="R266" s="85">
        <f t="shared" si="119"/>
        <v>-0.47802053005884487</v>
      </c>
    </row>
    <row r="267" spans="2:18">
      <c r="B267" s="83"/>
      <c r="C267" s="84">
        <v>102</v>
      </c>
      <c r="D267" s="84">
        <v>32</v>
      </c>
      <c r="E267" s="84">
        <v>2.4897170000000002</v>
      </c>
      <c r="F267" s="78"/>
      <c r="G267" s="85">
        <f t="shared" si="108"/>
        <v>0.68806271681201292</v>
      </c>
      <c r="H267" s="86">
        <f t="shared" si="109"/>
        <v>0.29365079365079361</v>
      </c>
      <c r="I267" s="85">
        <f t="shared" si="110"/>
        <v>-0.5</v>
      </c>
      <c r="J267" s="85">
        <f t="shared" si="111"/>
        <v>0.29450638954152175</v>
      </c>
      <c r="K267" s="86">
        <f t="shared" si="112"/>
        <v>-0.57028079692509503</v>
      </c>
      <c r="L267" s="87">
        <f t="shared" si="113"/>
        <v>0.20258430881042278</v>
      </c>
      <c r="M267" s="86">
        <f t="shared" si="114"/>
        <v>-0.29883623873011972</v>
      </c>
      <c r="N267" s="87">
        <f t="shared" si="115"/>
        <v>0.57547820594768773</v>
      </c>
      <c r="O267" s="86">
        <f t="shared" si="116"/>
        <v>-0.57028079692509503</v>
      </c>
      <c r="P267" s="87">
        <f t="shared" si="117"/>
        <v>0.20258430881042278</v>
      </c>
      <c r="Q267" s="86">
        <f t="shared" si="118"/>
        <v>-0.57028079692509515</v>
      </c>
      <c r="R267" s="85">
        <f t="shared" si="119"/>
        <v>-0.48547840800159014</v>
      </c>
    </row>
    <row r="268" spans="2:18">
      <c r="B268" s="83"/>
      <c r="C268" s="84">
        <v>104</v>
      </c>
      <c r="D268" s="84">
        <v>32</v>
      </c>
      <c r="E268" s="84">
        <v>2.5185944999999998</v>
      </c>
      <c r="F268" s="78"/>
      <c r="G268" s="85">
        <f t="shared" si="108"/>
        <v>0.69907007360863505</v>
      </c>
      <c r="H268" s="86">
        <f t="shared" si="109"/>
        <v>0.30952380952380953</v>
      </c>
      <c r="I268" s="85">
        <f t="shared" si="110"/>
        <v>-0.5</v>
      </c>
      <c r="J268" s="85">
        <f t="shared" si="111"/>
        <v>0.30721659036071391</v>
      </c>
      <c r="K268" s="86">
        <f t="shared" si="112"/>
        <v>-0.57570968808899448</v>
      </c>
      <c r="L268" s="87">
        <f t="shared" si="113"/>
        <v>0.20613378766429963</v>
      </c>
      <c r="M268" s="86">
        <f t="shared" si="114"/>
        <v>-0.29883623873011972</v>
      </c>
      <c r="N268" s="87">
        <f t="shared" si="115"/>
        <v>0.58648556274430996</v>
      </c>
      <c r="O268" s="86">
        <f t="shared" si="116"/>
        <v>-0.57570968808899448</v>
      </c>
      <c r="P268" s="87">
        <f t="shared" si="117"/>
        <v>0.20613378766429963</v>
      </c>
      <c r="Q268" s="86">
        <f t="shared" si="118"/>
        <v>-0.57570968808899459</v>
      </c>
      <c r="R268" s="85">
        <f t="shared" si="119"/>
        <v>-0.49293628594433547</v>
      </c>
    </row>
    <row r="269" spans="2:18">
      <c r="B269" s="83"/>
      <c r="C269" s="84">
        <v>106</v>
      </c>
      <c r="D269" s="84">
        <v>32</v>
      </c>
      <c r="E269" s="84">
        <v>2.5552312499999998</v>
      </c>
      <c r="F269" s="78"/>
      <c r="G269" s="85">
        <f t="shared" si="108"/>
        <v>0.71303505600387895</v>
      </c>
      <c r="H269" s="86">
        <f t="shared" si="109"/>
        <v>0.32539682539682535</v>
      </c>
      <c r="I269" s="85">
        <f t="shared" si="110"/>
        <v>-0.5</v>
      </c>
      <c r="J269" s="85">
        <f t="shared" si="111"/>
        <v>0.32334196305095864</v>
      </c>
      <c r="K269" s="86">
        <f t="shared" si="112"/>
        <v>-0.58113857925289403</v>
      </c>
      <c r="L269" s="87">
        <f t="shared" si="113"/>
        <v>0.2126408921167981</v>
      </c>
      <c r="M269" s="86">
        <f t="shared" si="114"/>
        <v>-0.29883623873011972</v>
      </c>
      <c r="N269" s="87">
        <f t="shared" si="115"/>
        <v>0.60045054513955365</v>
      </c>
      <c r="O269" s="86">
        <f t="shared" si="116"/>
        <v>-0.58113857925289403</v>
      </c>
      <c r="P269" s="87">
        <f t="shared" si="117"/>
        <v>0.2126408921167981</v>
      </c>
      <c r="Q269" s="86">
        <f t="shared" si="118"/>
        <v>-0.58113857925289414</v>
      </c>
      <c r="R269" s="85">
        <f t="shared" si="119"/>
        <v>-0.5003941638870808</v>
      </c>
    </row>
    <row r="270" spans="2:18">
      <c r="B270" s="83"/>
      <c r="C270" s="84">
        <v>108</v>
      </c>
      <c r="D270" s="84">
        <v>32</v>
      </c>
      <c r="E270" s="84">
        <v>2.5918922499999999</v>
      </c>
      <c r="F270" s="78"/>
      <c r="G270" s="85">
        <f t="shared" si="108"/>
        <v>0.72700928187249536</v>
      </c>
      <c r="H270" s="86">
        <f t="shared" si="109"/>
        <v>0.34126984126984128</v>
      </c>
      <c r="I270" s="85">
        <f t="shared" si="110"/>
        <v>-0.5</v>
      </c>
      <c r="J270" s="85">
        <f t="shared" si="111"/>
        <v>0.33947800918488336</v>
      </c>
      <c r="K270" s="86">
        <f t="shared" si="112"/>
        <v>-0.58656747041679358</v>
      </c>
      <c r="L270" s="87">
        <f t="shared" si="113"/>
        <v>0.21915724004266929</v>
      </c>
      <c r="M270" s="86">
        <f t="shared" si="114"/>
        <v>-0.29883623873011972</v>
      </c>
      <c r="N270" s="87">
        <f t="shared" si="115"/>
        <v>0.61442477100817017</v>
      </c>
      <c r="O270" s="86">
        <f t="shared" si="116"/>
        <v>-0.58656747041679358</v>
      </c>
      <c r="P270" s="87">
        <f t="shared" si="117"/>
        <v>0.21915724004266929</v>
      </c>
      <c r="Q270" s="86">
        <f t="shared" si="118"/>
        <v>-0.58656747041679369</v>
      </c>
      <c r="R270" s="85">
        <f t="shared" si="119"/>
        <v>-0.50785204182982602</v>
      </c>
    </row>
    <row r="271" spans="2:18">
      <c r="B271" s="83"/>
      <c r="C271" s="84">
        <v>110</v>
      </c>
      <c r="D271" s="84">
        <v>32</v>
      </c>
      <c r="E271" s="84">
        <v>2.62698425</v>
      </c>
      <c r="F271" s="78"/>
      <c r="G271" s="85">
        <f t="shared" si="108"/>
        <v>0.74038544548454865</v>
      </c>
      <c r="H271" s="86">
        <f t="shared" si="109"/>
        <v>0.3571428571428571</v>
      </c>
      <c r="I271" s="85">
        <f t="shared" si="110"/>
        <v>-0.5</v>
      </c>
      <c r="J271" s="85">
        <f t="shared" si="111"/>
        <v>0.35492347250917033</v>
      </c>
      <c r="K271" s="86">
        <f t="shared" si="112"/>
        <v>-0.59199636158069302</v>
      </c>
      <c r="L271" s="87">
        <f t="shared" si="113"/>
        <v>0.22507552571197736</v>
      </c>
      <c r="M271" s="86">
        <f t="shared" si="114"/>
        <v>-0.29883623873011972</v>
      </c>
      <c r="N271" s="87">
        <f t="shared" si="115"/>
        <v>0.62780093462022357</v>
      </c>
      <c r="O271" s="86">
        <f t="shared" si="116"/>
        <v>-0.59199636158069302</v>
      </c>
      <c r="P271" s="87">
        <f t="shared" si="117"/>
        <v>0.22507552571197736</v>
      </c>
      <c r="Q271" s="86">
        <f t="shared" si="118"/>
        <v>-0.59199636158069313</v>
      </c>
      <c r="R271" s="85">
        <f t="shared" si="119"/>
        <v>-0.51530991977257135</v>
      </c>
    </row>
    <row r="272" spans="2:18">
      <c r="B272" s="83"/>
      <c r="C272" s="84">
        <v>112</v>
      </c>
      <c r="D272" s="84">
        <v>32</v>
      </c>
      <c r="E272" s="84">
        <v>2.6660252500000001</v>
      </c>
      <c r="F272" s="78"/>
      <c r="G272" s="85">
        <f t="shared" si="108"/>
        <v>0.75526686585324176</v>
      </c>
      <c r="H272" s="86">
        <f t="shared" si="109"/>
        <v>0.37301587301587302</v>
      </c>
      <c r="I272" s="85">
        <f t="shared" si="110"/>
        <v>-0.5</v>
      </c>
      <c r="J272" s="85">
        <f t="shared" si="111"/>
        <v>0.37210705662074817</v>
      </c>
      <c r="K272" s="86">
        <f t="shared" si="112"/>
        <v>-0.59742525274459257</v>
      </c>
      <c r="L272" s="87">
        <f t="shared" si="113"/>
        <v>0.23249906813792509</v>
      </c>
      <c r="M272" s="86">
        <f t="shared" si="114"/>
        <v>-0.29883623873011972</v>
      </c>
      <c r="N272" s="87">
        <f t="shared" si="115"/>
        <v>0.64268235498891657</v>
      </c>
      <c r="O272" s="86">
        <f t="shared" si="116"/>
        <v>-0.59742525274459257</v>
      </c>
      <c r="P272" s="87">
        <f t="shared" si="117"/>
        <v>0.23249906813792509</v>
      </c>
      <c r="Q272" s="86">
        <f t="shared" si="118"/>
        <v>-0.59742525274459268</v>
      </c>
      <c r="R272" s="85">
        <f t="shared" si="119"/>
        <v>-0.52276779771531667</v>
      </c>
    </row>
    <row r="273" spans="2:18">
      <c r="B273" s="83"/>
      <c r="C273" s="84">
        <v>114</v>
      </c>
      <c r="D273" s="84">
        <v>32</v>
      </c>
      <c r="E273" s="84">
        <v>2.7040565000000001</v>
      </c>
      <c r="F273" s="78"/>
      <c r="G273" s="85">
        <f t="shared" si="108"/>
        <v>0.76976339561418161</v>
      </c>
      <c r="H273" s="86">
        <f t="shared" si="109"/>
        <v>0.38888888888888884</v>
      </c>
      <c r="I273" s="85">
        <f t="shared" si="110"/>
        <v>-0.5</v>
      </c>
      <c r="J273" s="85">
        <f t="shared" si="111"/>
        <v>0.38884620734033626</v>
      </c>
      <c r="K273" s="86">
        <f t="shared" si="112"/>
        <v>-0.60285414390849201</v>
      </c>
      <c r="L273" s="87">
        <f t="shared" si="113"/>
        <v>0.23953771995611967</v>
      </c>
      <c r="M273" s="86">
        <f t="shared" si="114"/>
        <v>-0.29883623873011972</v>
      </c>
      <c r="N273" s="87">
        <f t="shared" si="115"/>
        <v>0.65717888474985642</v>
      </c>
      <c r="O273" s="86">
        <f t="shared" si="116"/>
        <v>-0.60285414390849201</v>
      </c>
      <c r="P273" s="87">
        <f t="shared" si="117"/>
        <v>0.23953771995611967</v>
      </c>
      <c r="Q273" s="86">
        <f t="shared" si="118"/>
        <v>-0.60285414390849212</v>
      </c>
      <c r="R273" s="85">
        <f t="shared" si="119"/>
        <v>-0.53022567565806189</v>
      </c>
    </row>
    <row r="274" spans="2:18">
      <c r="B274" s="83"/>
      <c r="C274" s="84">
        <v>116</v>
      </c>
      <c r="D274" s="84">
        <v>32</v>
      </c>
      <c r="E274" s="84">
        <v>2.7361107499999999</v>
      </c>
      <c r="F274" s="78"/>
      <c r="G274" s="85">
        <f t="shared" si="108"/>
        <v>0.78198164742261833</v>
      </c>
      <c r="H274" s="86">
        <f t="shared" si="109"/>
        <v>0.40476190476190477</v>
      </c>
      <c r="I274" s="85">
        <f t="shared" si="110"/>
        <v>-0.5</v>
      </c>
      <c r="J274" s="85">
        <f t="shared" si="111"/>
        <v>0.40295462928159131</v>
      </c>
      <c r="K274" s="86">
        <f t="shared" si="112"/>
        <v>-0.60828303507239156</v>
      </c>
      <c r="L274" s="87">
        <f t="shared" si="113"/>
        <v>0.244298093821811</v>
      </c>
      <c r="M274" s="86">
        <f t="shared" si="114"/>
        <v>-0.29883623873011972</v>
      </c>
      <c r="N274" s="87">
        <f t="shared" si="115"/>
        <v>0.66939713655829314</v>
      </c>
      <c r="O274" s="86">
        <f t="shared" si="116"/>
        <v>-0.60828303507239156</v>
      </c>
      <c r="P274" s="87">
        <f t="shared" si="117"/>
        <v>0.244298093821811</v>
      </c>
      <c r="Q274" s="86">
        <f t="shared" si="118"/>
        <v>-0.60828303507239168</v>
      </c>
      <c r="R274" s="85">
        <f t="shared" si="119"/>
        <v>-0.53768355360080733</v>
      </c>
    </row>
    <row r="275" spans="2:18">
      <c r="B275" s="83"/>
      <c r="C275" s="84">
        <v>118</v>
      </c>
      <c r="D275" s="84">
        <v>32</v>
      </c>
      <c r="E275" s="84">
        <v>2.7851024999999998</v>
      </c>
      <c r="F275" s="78"/>
      <c r="G275" s="85">
        <f t="shared" si="108"/>
        <v>0.80065603656090656</v>
      </c>
      <c r="H275" s="86">
        <f t="shared" si="109"/>
        <v>0.42063492063492058</v>
      </c>
      <c r="I275" s="85">
        <f t="shared" si="110"/>
        <v>-0.5</v>
      </c>
      <c r="J275" s="85">
        <f t="shared" si="111"/>
        <v>0.42451795647347645</v>
      </c>
      <c r="K275" s="86">
        <f t="shared" si="112"/>
        <v>-0.61371192623629101</v>
      </c>
      <c r="L275" s="87">
        <f t="shared" si="113"/>
        <v>0.25551460501735401</v>
      </c>
      <c r="M275" s="86">
        <f t="shared" si="114"/>
        <v>-0.29883623873011972</v>
      </c>
      <c r="N275" s="87">
        <f t="shared" si="115"/>
        <v>0.68807152569658137</v>
      </c>
      <c r="O275" s="86">
        <f t="shared" si="116"/>
        <v>-0.61371192623629101</v>
      </c>
      <c r="P275" s="87">
        <f t="shared" si="117"/>
        <v>0.25551460501735401</v>
      </c>
      <c r="Q275" s="86">
        <f t="shared" si="118"/>
        <v>-0.61371192623629112</v>
      </c>
      <c r="R275" s="85">
        <f t="shared" si="119"/>
        <v>-0.54514143154355255</v>
      </c>
    </row>
    <row r="276" spans="2:18">
      <c r="B276" s="83"/>
      <c r="C276" s="84">
        <v>120</v>
      </c>
      <c r="D276" s="84">
        <v>32</v>
      </c>
      <c r="E276" s="84">
        <v>2.8090972500000002</v>
      </c>
      <c r="F276" s="78"/>
      <c r="G276" s="85">
        <f t="shared" si="108"/>
        <v>0.8098022152292732</v>
      </c>
      <c r="H276" s="86">
        <f t="shared" si="109"/>
        <v>0.43650793650793651</v>
      </c>
      <c r="I276" s="85">
        <f t="shared" si="110"/>
        <v>-0.5</v>
      </c>
      <c r="J276" s="85">
        <f t="shared" si="111"/>
        <v>0.43507905390595225</v>
      </c>
      <c r="K276" s="86">
        <f t="shared" si="112"/>
        <v>-0.61914081740019056</v>
      </c>
      <c r="L276" s="87">
        <f t="shared" si="113"/>
        <v>0.25720290574297533</v>
      </c>
      <c r="M276" s="86">
        <f t="shared" si="114"/>
        <v>-0.29883623873011972</v>
      </c>
      <c r="N276" s="87">
        <f t="shared" si="115"/>
        <v>0.69721770436494801</v>
      </c>
      <c r="O276" s="86">
        <f t="shared" si="116"/>
        <v>-0.61914081740019056</v>
      </c>
      <c r="P276" s="87">
        <f t="shared" si="117"/>
        <v>0.25720290574297533</v>
      </c>
      <c r="Q276" s="86">
        <f t="shared" si="118"/>
        <v>-0.61914081740019067</v>
      </c>
      <c r="R276" s="85">
        <f t="shared" si="119"/>
        <v>-0.55259930948629787</v>
      </c>
    </row>
    <row r="277" spans="2:18">
      <c r="B277" s="83"/>
      <c r="C277" s="84">
        <v>122</v>
      </c>
      <c r="D277" s="84">
        <v>32</v>
      </c>
      <c r="E277" s="84">
        <v>2.8455705</v>
      </c>
      <c r="F277" s="78"/>
      <c r="G277" s="85">
        <f t="shared" si="108"/>
        <v>0.82370487564940664</v>
      </c>
      <c r="H277" s="86">
        <f t="shared" si="109"/>
        <v>0.45238095238095233</v>
      </c>
      <c r="I277" s="85">
        <f t="shared" si="110"/>
        <v>-0.5</v>
      </c>
      <c r="J277" s="85">
        <f t="shared" si="111"/>
        <v>0.45113246337798418</v>
      </c>
      <c r="K277" s="86">
        <f t="shared" si="112"/>
        <v>-0.62456970856409</v>
      </c>
      <c r="L277" s="87">
        <f t="shared" si="113"/>
        <v>0.26364768822036344</v>
      </c>
      <c r="M277" s="86">
        <f t="shared" si="114"/>
        <v>-0.29883623873011972</v>
      </c>
      <c r="N277" s="87">
        <f t="shared" si="115"/>
        <v>0.71112036478508145</v>
      </c>
      <c r="O277" s="86">
        <f t="shared" si="116"/>
        <v>-0.62456970856409</v>
      </c>
      <c r="P277" s="87">
        <f t="shared" si="117"/>
        <v>0.26364768822036344</v>
      </c>
      <c r="Q277" s="86">
        <f t="shared" si="118"/>
        <v>-0.62456970856409011</v>
      </c>
      <c r="R277" s="85">
        <f t="shared" si="119"/>
        <v>-0.5600571874290432</v>
      </c>
    </row>
    <row r="278" spans="2:18">
      <c r="B278" s="83"/>
      <c r="C278" s="84">
        <v>124</v>
      </c>
      <c r="D278" s="84">
        <v>32</v>
      </c>
      <c r="E278" s="84">
        <v>2.8795917499999999</v>
      </c>
      <c r="F278" s="78"/>
      <c r="G278" s="85">
        <f t="shared" si="108"/>
        <v>0.83667289702996528</v>
      </c>
      <c r="H278" s="86">
        <f t="shared" si="109"/>
        <v>0.46825396825396826</v>
      </c>
      <c r="I278" s="85">
        <f t="shared" si="110"/>
        <v>-0.5</v>
      </c>
      <c r="J278" s="85">
        <f t="shared" si="111"/>
        <v>0.46610664464782903</v>
      </c>
      <c r="K278" s="86">
        <f t="shared" si="112"/>
        <v>-0.62999859972798944</v>
      </c>
      <c r="L278" s="87">
        <f t="shared" si="113"/>
        <v>0.26915783165817692</v>
      </c>
      <c r="M278" s="86">
        <f t="shared" si="114"/>
        <v>-0.29883623873011972</v>
      </c>
      <c r="N278" s="87">
        <f t="shared" si="115"/>
        <v>0.7240883861656402</v>
      </c>
      <c r="O278" s="86">
        <f t="shared" si="116"/>
        <v>-0.62999859972798944</v>
      </c>
      <c r="P278" s="87">
        <f t="shared" si="117"/>
        <v>0.26915783165817692</v>
      </c>
      <c r="Q278" s="86">
        <f t="shared" si="118"/>
        <v>-0.62999859972798966</v>
      </c>
      <c r="R278" s="85">
        <f t="shared" si="119"/>
        <v>-0.56751506537178842</v>
      </c>
    </row>
    <row r="279" spans="2:18">
      <c r="B279" s="83"/>
      <c r="C279" s="84">
        <v>126</v>
      </c>
      <c r="D279" s="84">
        <v>32</v>
      </c>
      <c r="E279" s="84">
        <v>2.923473</v>
      </c>
      <c r="F279" s="78"/>
      <c r="G279" s="85">
        <f t="shared" si="108"/>
        <v>0.85339929562512706</v>
      </c>
      <c r="H279" s="86">
        <f t="shared" si="109"/>
        <v>0.48412698412698407</v>
      </c>
      <c r="I279" s="85">
        <f t="shared" si="110"/>
        <v>-0.5</v>
      </c>
      <c r="J279" s="85">
        <f t="shared" si="111"/>
        <v>0.48542062611080827</v>
      </c>
      <c r="K279" s="86">
        <f t="shared" si="112"/>
        <v>-0.63542749089188899</v>
      </c>
      <c r="L279" s="87">
        <f t="shared" si="113"/>
        <v>0.27842635231059337</v>
      </c>
      <c r="M279" s="86">
        <f t="shared" si="114"/>
        <v>-0.29883623873011972</v>
      </c>
      <c r="N279" s="87">
        <f t="shared" si="115"/>
        <v>0.74081478476080198</v>
      </c>
      <c r="O279" s="86">
        <f t="shared" si="116"/>
        <v>-0.63542749089188899</v>
      </c>
      <c r="P279" s="87">
        <f t="shared" si="117"/>
        <v>0.27842635231059337</v>
      </c>
      <c r="Q279" s="86">
        <f t="shared" si="118"/>
        <v>-0.63542749089188921</v>
      </c>
      <c r="R279" s="85">
        <f t="shared" si="119"/>
        <v>-0.57497294331453375</v>
      </c>
    </row>
    <row r="280" spans="2:18">
      <c r="B280" s="83"/>
      <c r="C280" s="84">
        <v>128</v>
      </c>
      <c r="D280" s="84">
        <v>32</v>
      </c>
      <c r="E280" s="84">
        <v>2.951873</v>
      </c>
      <c r="F280" s="78"/>
      <c r="G280" s="85">
        <f t="shared" si="108"/>
        <v>0.86422464176049463</v>
      </c>
      <c r="H280" s="86">
        <f t="shared" si="109"/>
        <v>0.5</v>
      </c>
      <c r="I280" s="85">
        <f t="shared" si="110"/>
        <v>-0.5</v>
      </c>
      <c r="J280" s="85">
        <f t="shared" si="111"/>
        <v>0.49792065912145889</v>
      </c>
      <c r="K280" s="86">
        <f t="shared" si="112"/>
        <v>-0.64085638205578843</v>
      </c>
      <c r="L280" s="87">
        <f t="shared" si="113"/>
        <v>0.28179382050321555</v>
      </c>
      <c r="M280" s="86">
        <f t="shared" si="114"/>
        <v>-0.29883623873011972</v>
      </c>
      <c r="N280" s="87">
        <f t="shared" si="115"/>
        <v>0.75164013089616943</v>
      </c>
      <c r="O280" s="86">
        <f t="shared" si="116"/>
        <v>-0.64085638205578843</v>
      </c>
      <c r="P280" s="87">
        <f t="shared" si="117"/>
        <v>0.28179382050321555</v>
      </c>
      <c r="Q280" s="86">
        <f t="shared" si="118"/>
        <v>-0.64085638205578865</v>
      </c>
      <c r="R280" s="85">
        <f t="shared" si="119"/>
        <v>-0.58243082125727907</v>
      </c>
    </row>
    <row r="281" spans="2:18">
      <c r="F281"/>
      <c r="G281"/>
    </row>
    <row r="282" spans="2:18">
      <c r="F282"/>
      <c r="G282"/>
    </row>
    <row r="283" spans="2:18">
      <c r="F283"/>
      <c r="G283"/>
    </row>
    <row r="284" spans="2:18">
      <c r="F284"/>
      <c r="G284"/>
    </row>
    <row r="285" spans="2:18">
      <c r="F285"/>
      <c r="G285"/>
    </row>
    <row r="286" spans="2:18">
      <c r="F286"/>
      <c r="G286"/>
    </row>
    <row r="287" spans="2:18">
      <c r="F287"/>
      <c r="G287"/>
    </row>
    <row r="288" spans="2:18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</sheetData>
  <phoneticPr fontId="4"/>
  <dataValidations count="1">
    <dataValidation allowBlank="1" showInputMessage="1" showErrorMessage="1" sqref="F33:R280 B33:B280"/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28575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28575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28575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28575</xdr:colOff>
                    <xdr:row>19</xdr:row>
                    <xdr:rowOff>9525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28575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28575</xdr:colOff>
                    <xdr:row>21</xdr:row>
                    <xdr:rowOff>9525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714375</xdr:colOff>
                    <xdr:row>21</xdr:row>
                    <xdr:rowOff>180975</xdr:rowOff>
                  </from>
                  <to>
                    <xdr:col>3</xdr:col>
                    <xdr:colOff>257175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714375</xdr:colOff>
                    <xdr:row>17</xdr:row>
                    <xdr:rowOff>190500</xdr:rowOff>
                  </from>
                  <to>
                    <xdr:col>2</xdr:col>
                    <xdr:colOff>904875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plot</vt:lpstr>
      <vt:lpstr>firstLabel</vt:lpstr>
      <vt:lpstr>firstZ</vt:lpstr>
      <vt:lpstr>NrPoints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Jochen Schwander</cp:lastModifiedBy>
  <dcterms:created xsi:type="dcterms:W3CDTF">2012-09-19T17:34:13Z</dcterms:created>
  <dcterms:modified xsi:type="dcterms:W3CDTF">2014-06-23T13:59:13Z</dcterms:modified>
</cp:coreProperties>
</file>